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vmcorrea\Downloads\"/>
    </mc:Choice>
  </mc:AlternateContent>
  <xr:revisionPtr revIDLastSave="0" documentId="13_ncr:1_{E8A7C6E1-AD37-442E-80ED-A5BEF8827309}" xr6:coauthVersionLast="47" xr6:coauthVersionMax="47" xr10:uidLastSave="{00000000-0000-0000-0000-000000000000}"/>
  <workbookProtection workbookAlgorithmName="SHA-512" workbookHashValue="Qy/XK7W8MHS7IdYRs6Q9RyHTmiAlbvEvH0hprkiEZD1FMBRhDb/TN++pSEuHQhuSV7xLzXokkN5MIJVjdzLZ6g==" workbookSaltValue="igLKh2BRo6GwWLDpbgZXxw==" workbookSpinCount="100000" lockStructure="1"/>
  <bookViews>
    <workbookView xWindow="57480" yWindow="-1965" windowWidth="38640" windowHeight="21120" tabRatio="463" xr2:uid="{00000000-000D-0000-FFFF-FFFF00000000}"/>
  </bookViews>
  <sheets>
    <sheet name="DRE Acumulado" sheetId="1" r:id="rId1"/>
    <sheet name="DRE Mês" sheetId="10" r:id="rId2"/>
    <sheet name="Data" sheetId="5" state="hidden" r:id="rId3"/>
    <sheet name="Translation" sheetId="9" state="hidden" r:id="rId4"/>
  </sheets>
  <definedNames>
    <definedName name="_Order1" hidden="1">255</definedName>
    <definedName name="LanguageID">'Data'!$G$2</definedName>
    <definedName name="TranslationHeaders">'Translation'!$F$1:$G$31</definedName>
    <definedName name="_xlnm._FilterDatabase" localSheetId="0" hidden="1">'DRE Acumulado'!$A$4:$J$324</definedName>
    <definedName name="_xlnm.Print_Area" localSheetId="0">'DRE Acumulado'!$A$1:$J$526</definedName>
    <definedName name="_xlnm.Print_Titles" localSheetId="0">'DRE Acumulado'!$1:$2</definedName>
    <definedName name="_xlnm._FilterDatabase" localSheetId="1" hidden="1">'DRE Mês'!$A$4:$J$324</definedName>
    <definedName name="_xlnm.Print_Area" localSheetId="1">'DRE Mês'!$A$1:$J$526</definedName>
    <definedName name="_xlnm.Print_Titles" localSheetId="1">'DRE Mês'!$1:$2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<sst xmlns="http://schemas.openxmlformats.org/spreadsheetml/2006/main" count="4023" uniqueCount="4023">
  <si>
    <t>VENDA NOVOS</t>
  </si>
  <si>
    <t>LINHA SCOOTER &lt;200 cc</t>
  </si>
  <si>
    <t>UNITS</t>
  </si>
  <si>
    <t>SALES</t>
  </si>
  <si>
    <t>URETURN</t>
  </si>
  <si>
    <t>SC</t>
  </si>
  <si>
    <t xml:space="preserve">DISC </t>
  </si>
  <si>
    <t>NS</t>
  </si>
  <si>
    <t>COS</t>
  </si>
  <si>
    <t>GP</t>
  </si>
  <si>
    <t>A1000</t>
  </si>
  <si>
    <t>NEO 125</t>
  </si>
  <si>
    <t>A1000.1</t>
  </si>
  <si>
    <t>A1000.2</t>
  </si>
  <si>
    <t>A1000.8</t>
  </si>
  <si>
    <t>A1000.3</t>
  </si>
  <si>
    <t>A1000.4</t>
  </si>
  <si>
    <t>A1000.5</t>
  </si>
  <si>
    <t>A1000.6</t>
  </si>
  <si>
    <t>A1000.7</t>
  </si>
  <si>
    <t>A1010</t>
  </si>
  <si>
    <t>NMAX 160 ABS</t>
  </si>
  <si>
    <t>A1010.1</t>
  </si>
  <si>
    <t>A1010.2</t>
  </si>
  <si>
    <t>A1010.8</t>
  </si>
  <si>
    <t>A1010.3</t>
  </si>
  <si>
    <t>A1010.4</t>
  </si>
  <si>
    <t>A1010.5</t>
  </si>
  <si>
    <t>A1010.6</t>
  </si>
  <si>
    <t>A1010.7</t>
  </si>
  <si>
    <t>LINHA SCOOTER &gt;200 cc</t>
  </si>
  <si>
    <t>A1020</t>
  </si>
  <si>
    <t>TMAX 530</t>
  </si>
  <si>
    <t>A1020.1</t>
  </si>
  <si>
    <t>A1020.2</t>
  </si>
  <si>
    <t>A1020.8</t>
  </si>
  <si>
    <t>A1020.3</t>
  </si>
  <si>
    <t>A1020.4</t>
  </si>
  <si>
    <t>A1020.5</t>
  </si>
  <si>
    <t>A1020.6</t>
  </si>
  <si>
    <t>A1020.7</t>
  </si>
  <si>
    <t>X MAX ABS</t>
  </si>
  <si>
    <t>A1021</t>
  </si>
  <si>
    <t>A1021.1</t>
  </si>
  <si>
    <t>A1021.2</t>
  </si>
  <si>
    <t>A1021.8</t>
  </si>
  <si>
    <t>A1021.3</t>
  </si>
  <si>
    <t>A1021.4</t>
  </si>
  <si>
    <t>A1021.5</t>
  </si>
  <si>
    <t>A1021.6</t>
  </si>
  <si>
    <t>A1021.7</t>
  </si>
  <si>
    <t>NEOS CONNECTED</t>
  </si>
  <si>
    <t>A1022</t>
  </si>
  <si>
    <t>A1022.1</t>
  </si>
  <si>
    <t>A1022.2</t>
  </si>
  <si>
    <t>A1022.8</t>
  </si>
  <si>
    <t>A1022.3</t>
  </si>
  <si>
    <t>A1022.4</t>
  </si>
  <si>
    <t>A1022.5</t>
  </si>
  <si>
    <t>A1022.6</t>
  </si>
  <si>
    <t>A1022.7</t>
  </si>
  <si>
    <t>A1030</t>
  </si>
  <si>
    <t>TOTAL DE VENDAS - SCOOTER</t>
  </si>
  <si>
    <t>A1030.1</t>
  </si>
  <si>
    <t>A1030.2</t>
  </si>
  <si>
    <t>A1030.8</t>
  </si>
  <si>
    <t>A1030.3</t>
  </si>
  <si>
    <t>A1030.4</t>
  </si>
  <si>
    <t>A1030.5</t>
  </si>
  <si>
    <t>A1030.6</t>
  </si>
  <si>
    <t>A1030.7</t>
  </si>
  <si>
    <t>LINHA OFF ROAD</t>
  </si>
  <si>
    <t>A1040</t>
  </si>
  <si>
    <t xml:space="preserve">TTR 230 </t>
  </si>
  <si>
    <t>A1040.1</t>
  </si>
  <si>
    <t>A1040.2</t>
  </si>
  <si>
    <t>A1040.8</t>
  </si>
  <si>
    <t>A1040.3</t>
  </si>
  <si>
    <t>A1040.4</t>
  </si>
  <si>
    <t>A1040.5</t>
  </si>
  <si>
    <t>A1040.6</t>
  </si>
  <si>
    <t>A1040.7</t>
  </si>
  <si>
    <t>YZ 85LW</t>
  </si>
  <si>
    <t>A1045</t>
  </si>
  <si>
    <t>A1045.1</t>
  </si>
  <si>
    <t>A1045.2</t>
  </si>
  <si>
    <t>A1045.8</t>
  </si>
  <si>
    <t>A1045.3</t>
  </si>
  <si>
    <t>A1045.4</t>
  </si>
  <si>
    <t>A1045.5</t>
  </si>
  <si>
    <t>A1045.6</t>
  </si>
  <si>
    <t>A1045.7</t>
  </si>
  <si>
    <t>A1050</t>
  </si>
  <si>
    <t>YZ 250</t>
  </si>
  <si>
    <t>A1050.1</t>
  </si>
  <si>
    <t>A1050.2</t>
  </si>
  <si>
    <t>A1050.8</t>
  </si>
  <si>
    <t>A1050.3</t>
  </si>
  <si>
    <t>A1050.4</t>
  </si>
  <si>
    <t>A1050.5</t>
  </si>
  <si>
    <t>A1050.6</t>
  </si>
  <si>
    <t>A1050.7</t>
  </si>
  <si>
    <t>A1060</t>
  </si>
  <si>
    <t>YZ 250F</t>
  </si>
  <si>
    <t>A1060.1</t>
  </si>
  <si>
    <t>A1060.2</t>
  </si>
  <si>
    <t>A1060.8</t>
  </si>
  <si>
    <t>A1060.3</t>
  </si>
  <si>
    <t>A1060.4</t>
  </si>
  <si>
    <t>A1060.5</t>
  </si>
  <si>
    <t>A1060.6</t>
  </si>
  <si>
    <t>A1060.7</t>
  </si>
  <si>
    <t>A1070</t>
  </si>
  <si>
    <t>YZ 250FX</t>
  </si>
  <si>
    <t>A1070.1</t>
  </si>
  <si>
    <t>A1070.2</t>
  </si>
  <si>
    <t>A1070.8</t>
  </si>
  <si>
    <t>A1070.3</t>
  </si>
  <si>
    <t>A1070.4</t>
  </si>
  <si>
    <t>A1070.5</t>
  </si>
  <si>
    <t>A1070.6</t>
  </si>
  <si>
    <t>A1070.7</t>
  </si>
  <si>
    <t>YZ 250X</t>
  </si>
  <si>
    <t>A1075</t>
  </si>
  <si>
    <t>A1075.1</t>
  </si>
  <si>
    <t>A1075.2</t>
  </si>
  <si>
    <t>A1075.8</t>
  </si>
  <si>
    <t>A1075.3</t>
  </si>
  <si>
    <t>A1075.4</t>
  </si>
  <si>
    <t>A1075.5</t>
  </si>
  <si>
    <t>A1075.6</t>
  </si>
  <si>
    <t>A1075.7</t>
  </si>
  <si>
    <t>A1080</t>
  </si>
  <si>
    <t>YZ 450F</t>
  </si>
  <si>
    <t>A1080.1</t>
  </si>
  <si>
    <t>A1080.2</t>
  </si>
  <si>
    <t>A1080.8</t>
  </si>
  <si>
    <t>A1080.3</t>
  </si>
  <si>
    <t>A1080.4</t>
  </si>
  <si>
    <t>A1080.5</t>
  </si>
  <si>
    <t>A1080.6</t>
  </si>
  <si>
    <t>A1080.7</t>
  </si>
  <si>
    <t>YZ 450 FX</t>
  </si>
  <si>
    <t>A1085</t>
  </si>
  <si>
    <t>A1085.1</t>
  </si>
  <si>
    <t>A1085.2</t>
  </si>
  <si>
    <t>A1085.8</t>
  </si>
  <si>
    <t>A1085.3</t>
  </si>
  <si>
    <t>A1085.4</t>
  </si>
  <si>
    <t>A1085.5</t>
  </si>
  <si>
    <t>A1085.6</t>
  </si>
  <si>
    <t>A1085.7</t>
  </si>
  <si>
    <t>A1090</t>
  </si>
  <si>
    <t>WR 250F</t>
  </si>
  <si>
    <t>A1090.1</t>
  </si>
  <si>
    <t>A1090.2</t>
  </si>
  <si>
    <t>A1090.8</t>
  </si>
  <si>
    <t>A1090.3</t>
  </si>
  <si>
    <t>A1090.4</t>
  </si>
  <si>
    <t>A1090.5</t>
  </si>
  <si>
    <t>A1090.6</t>
  </si>
  <si>
    <t>A1090.7</t>
  </si>
  <si>
    <t>WR 450F</t>
  </si>
  <si>
    <t>A1095</t>
  </si>
  <si>
    <t>A1095.1</t>
  </si>
  <si>
    <t>A1095.2</t>
  </si>
  <si>
    <t>A1095.8</t>
  </si>
  <si>
    <t>A1095.3</t>
  </si>
  <si>
    <t>A1095.4</t>
  </si>
  <si>
    <t>A1095.5</t>
  </si>
  <si>
    <t>A1095.6</t>
  </si>
  <si>
    <t>A1095.7</t>
  </si>
  <si>
    <t>A1100</t>
  </si>
  <si>
    <t>TOTAL DE VENDAS - LINHA OFF ROAD</t>
  </si>
  <si>
    <t>A1100.1</t>
  </si>
  <si>
    <t>A1100.2</t>
  </si>
  <si>
    <t>A1100.8</t>
  </si>
  <si>
    <t>A1100.3</t>
  </si>
  <si>
    <t>A1100.4</t>
  </si>
  <si>
    <t>A1100.5</t>
  </si>
  <si>
    <t>A1100.6</t>
  </si>
  <si>
    <t>A1100.7</t>
  </si>
  <si>
    <t>LINHA 125 cc</t>
  </si>
  <si>
    <t>A1110</t>
  </si>
  <si>
    <t>FACTOR YBR 125i ED</t>
  </si>
  <si>
    <t>A1110.1</t>
  </si>
  <si>
    <t>A1110.2</t>
  </si>
  <si>
    <t>A1110.8</t>
  </si>
  <si>
    <t>A1110.3</t>
  </si>
  <si>
    <t>A1110.4</t>
  </si>
  <si>
    <t>A1110.5</t>
  </si>
  <si>
    <t>A1110.6</t>
  </si>
  <si>
    <t>A1110.7</t>
  </si>
  <si>
    <t>FLUO ABS</t>
  </si>
  <si>
    <t>A1111</t>
  </si>
  <si>
    <t>A1111.1</t>
  </si>
  <si>
    <t>A1111.2</t>
  </si>
  <si>
    <t>A1111.8</t>
  </si>
  <si>
    <t>A1111.3</t>
  </si>
  <si>
    <t>A1111.4</t>
  </si>
  <si>
    <t>A1111.5</t>
  </si>
  <si>
    <t>A1111.6</t>
  </si>
  <si>
    <t>A1111.7</t>
  </si>
  <si>
    <t>A1120</t>
  </si>
  <si>
    <t>TOTAL DE VENDAS - LINHA 125 cc</t>
  </si>
  <si>
    <t>A1120.1</t>
  </si>
  <si>
    <t>A1120.2</t>
  </si>
  <si>
    <t>A1120.8</t>
  </si>
  <si>
    <t>A1120.3</t>
  </si>
  <si>
    <t>A1120.4</t>
  </si>
  <si>
    <t>A1120.5</t>
  </si>
  <si>
    <t>A1120.6</t>
  </si>
  <si>
    <t>A1120.7</t>
  </si>
  <si>
    <t>LINHA 150 cc - Street</t>
  </si>
  <si>
    <t>A1130</t>
  </si>
  <si>
    <t>FACTOR 150E</t>
  </si>
  <si>
    <t>A1130.1</t>
  </si>
  <si>
    <t>A1130.2</t>
  </si>
  <si>
    <t>A1130.8</t>
  </si>
  <si>
    <t>A1130.3</t>
  </si>
  <si>
    <t>A1130.4</t>
  </si>
  <si>
    <t>A1130.5</t>
  </si>
  <si>
    <t>A1130.6</t>
  </si>
  <si>
    <t>A1130.7</t>
  </si>
  <si>
    <t>A1140</t>
  </si>
  <si>
    <t>FACTOR 150ED</t>
  </si>
  <si>
    <t>A1140.1</t>
  </si>
  <si>
    <t>A1140.2</t>
  </si>
  <si>
    <t>A1140.8</t>
  </si>
  <si>
    <t>A1140.3</t>
  </si>
  <si>
    <t>A1140.4</t>
  </si>
  <si>
    <t>A1140.5</t>
  </si>
  <si>
    <t>A1140.6</t>
  </si>
  <si>
    <t>A1140.7</t>
  </si>
  <si>
    <t>A1150</t>
  </si>
  <si>
    <t>YS 150 FAZER SED</t>
  </si>
  <si>
    <t>A1150.1</t>
  </si>
  <si>
    <t>A1150.2</t>
  </si>
  <si>
    <t>A1150.8</t>
  </si>
  <si>
    <t>A1150.3</t>
  </si>
  <si>
    <t>A1150.4</t>
  </si>
  <si>
    <t>A1150.5</t>
  </si>
  <si>
    <t>A1150.6</t>
  </si>
  <si>
    <t>A1150.7</t>
  </si>
  <si>
    <t>YZF R15 ABS</t>
  </si>
  <si>
    <t>A1151</t>
  </si>
  <si>
    <t>A1151.1</t>
  </si>
  <si>
    <t>A1151.2</t>
  </si>
  <si>
    <t>A1151.8</t>
  </si>
  <si>
    <t>A1151.3</t>
  </si>
  <si>
    <t>A1151.4</t>
  </si>
  <si>
    <t>A1151.5</t>
  </si>
  <si>
    <t>A1151.6</t>
  </si>
  <si>
    <t>A1151.7</t>
  </si>
  <si>
    <t>FZ15 FAZER ABS</t>
  </si>
  <si>
    <t>A1152</t>
  </si>
  <si>
    <t>A1152.1</t>
  </si>
  <si>
    <t>A1152.2</t>
  </si>
  <si>
    <t>A1152.8</t>
  </si>
  <si>
    <t>A1152.3</t>
  </si>
  <si>
    <t>A1152.4</t>
  </si>
  <si>
    <t>A1152.5</t>
  </si>
  <si>
    <t>A1152.6</t>
  </si>
  <si>
    <t>A1152.7</t>
  </si>
  <si>
    <t>LINHA 150 cc - On/Off</t>
  </si>
  <si>
    <t>A1160</t>
  </si>
  <si>
    <t>XTZ 150 CROSSER E</t>
  </si>
  <si>
    <t>A1160.1</t>
  </si>
  <si>
    <t>A1160.2</t>
  </si>
  <si>
    <t>A1160.8</t>
  </si>
  <si>
    <t>A1160.3</t>
  </si>
  <si>
    <t>A1160.4</t>
  </si>
  <si>
    <t>A1160.5</t>
  </si>
  <si>
    <t>A1160.6</t>
  </si>
  <si>
    <t>A1160.7</t>
  </si>
  <si>
    <t>A1170</t>
  </si>
  <si>
    <t>XTZ 150 CROSSER ED</t>
  </si>
  <si>
    <t>A1170.1</t>
  </si>
  <si>
    <t>A1170.2</t>
  </si>
  <si>
    <t>A1170.8</t>
  </si>
  <si>
    <t>A1170.3</t>
  </si>
  <si>
    <t>A1170.4</t>
  </si>
  <si>
    <t>A1170.5</t>
  </si>
  <si>
    <t>A1170.6</t>
  </si>
  <si>
    <t>A1170.7</t>
  </si>
  <si>
    <t>XTZ 150 CROSSER S</t>
  </si>
  <si>
    <t>A1174</t>
  </si>
  <si>
    <t>A1174.1</t>
  </si>
  <si>
    <t>A1174.2</t>
  </si>
  <si>
    <t>A1174.8</t>
  </si>
  <si>
    <t>A1174.3</t>
  </si>
  <si>
    <t>A1174.4</t>
  </si>
  <si>
    <t>A1174.5</t>
  </si>
  <si>
    <t>A1174.6</t>
  </si>
  <si>
    <t>A1174.7</t>
  </si>
  <si>
    <t>XTZ 150 CROSSER Z</t>
  </si>
  <si>
    <t>A1176</t>
  </si>
  <si>
    <t>A1176.1</t>
  </si>
  <si>
    <t>A1176.2</t>
  </si>
  <si>
    <t>A1176.8</t>
  </si>
  <si>
    <t>A1176.3</t>
  </si>
  <si>
    <t>A1176.4</t>
  </si>
  <si>
    <t>A1176.5</t>
  </si>
  <si>
    <t>A1176.6</t>
  </si>
  <si>
    <t>A1176.7</t>
  </si>
  <si>
    <t>A1180</t>
  </si>
  <si>
    <t>TOTAL DE VENDAS - LINHA 150 cc</t>
  </si>
  <si>
    <t>A1180.1</t>
  </si>
  <si>
    <t>A1180.2</t>
  </si>
  <si>
    <t>A1180.8</t>
  </si>
  <si>
    <t>A1180.3</t>
  </si>
  <si>
    <t>A1180.4</t>
  </si>
  <si>
    <t>A1180.5</t>
  </si>
  <si>
    <t>A1180.6</t>
  </si>
  <si>
    <t>A1180.7</t>
  </si>
  <si>
    <t>LINHA 250 cc - Street</t>
  </si>
  <si>
    <t>A1190</t>
  </si>
  <si>
    <t>YS 250 FAZER BLUEFLEX</t>
  </si>
  <si>
    <t>A1190.1</t>
  </si>
  <si>
    <t>A1190.2</t>
  </si>
  <si>
    <t>A1190.8</t>
  </si>
  <si>
    <t>A1190.3</t>
  </si>
  <si>
    <t>A1190.4</t>
  </si>
  <si>
    <t>A1190.5</t>
  </si>
  <si>
    <t>A1190.6</t>
  </si>
  <si>
    <t>A1190.7</t>
  </si>
  <si>
    <t>FZ25 FAZER ABS</t>
  </si>
  <si>
    <t>A1195</t>
  </si>
  <si>
    <t>A1195.1</t>
  </si>
  <si>
    <t>A1195.2</t>
  </si>
  <si>
    <t>A1195.8</t>
  </si>
  <si>
    <t>A1195.3</t>
  </si>
  <si>
    <t>A1195.4</t>
  </si>
  <si>
    <t>A1195.5</t>
  </si>
  <si>
    <t>A1195.6</t>
  </si>
  <si>
    <t>A1195.7</t>
  </si>
  <si>
    <t>LINHA 250 cc - On/Off</t>
  </si>
  <si>
    <t>A1200</t>
  </si>
  <si>
    <t>XTZ 250 LANDER</t>
  </si>
  <si>
    <t>A1200.1</t>
  </si>
  <si>
    <t>A1200.2</t>
  </si>
  <si>
    <t>A1200.8</t>
  </si>
  <si>
    <t>A1200.3</t>
  </si>
  <si>
    <t>A1200.4</t>
  </si>
  <si>
    <t>A1200.5</t>
  </si>
  <si>
    <t>A1200.6</t>
  </si>
  <si>
    <t>A1200.7</t>
  </si>
  <si>
    <t>A1210</t>
  </si>
  <si>
    <t>XTZ 250 TENERE</t>
  </si>
  <si>
    <t>A1210.1</t>
  </si>
  <si>
    <t>A1210.2</t>
  </si>
  <si>
    <t>A1210.8</t>
  </si>
  <si>
    <t>A1210.3</t>
  </si>
  <si>
    <t>A1210.4</t>
  </si>
  <si>
    <t>A1210.5</t>
  </si>
  <si>
    <t>A1210.6</t>
  </si>
  <si>
    <t>A1210.7</t>
  </si>
  <si>
    <t>A1220</t>
  </si>
  <si>
    <t>TOTAL DE VENDAS - LINHA 250 cc</t>
  </si>
  <si>
    <t>A1220.1</t>
  </si>
  <si>
    <t>A1220.2</t>
  </si>
  <si>
    <t>A1220.8</t>
  </si>
  <si>
    <t>A1220.3</t>
  </si>
  <si>
    <t>A1220.4</t>
  </si>
  <si>
    <t>A1220.5</t>
  </si>
  <si>
    <t>A1220.6</t>
  </si>
  <si>
    <t>A1220.7</t>
  </si>
  <si>
    <t>LINHA 320 cc</t>
  </si>
  <si>
    <t>A1230</t>
  </si>
  <si>
    <t xml:space="preserve">YZF R3 </t>
  </si>
  <si>
    <t>A1230.1</t>
  </si>
  <si>
    <t>A1230.2</t>
  </si>
  <si>
    <t>A1230.8</t>
  </si>
  <si>
    <t>A1230.3</t>
  </si>
  <si>
    <t>A1230.4</t>
  </si>
  <si>
    <t>A1230.5</t>
  </si>
  <si>
    <t>A1230.6</t>
  </si>
  <si>
    <t>A1230.7</t>
  </si>
  <si>
    <t>A1240</t>
  </si>
  <si>
    <t>YZF R3 ABS</t>
  </si>
  <si>
    <t>A1240.1</t>
  </si>
  <si>
    <t>A1240.2</t>
  </si>
  <si>
    <t>A1240.8</t>
  </si>
  <si>
    <t>A1240.3</t>
  </si>
  <si>
    <t>A1240.4</t>
  </si>
  <si>
    <t>A1240.5</t>
  </si>
  <si>
    <t>A1240.6</t>
  </si>
  <si>
    <t>A1240.7</t>
  </si>
  <si>
    <t>A1250</t>
  </si>
  <si>
    <t>MT03</t>
  </si>
  <si>
    <t>A1250.1</t>
  </si>
  <si>
    <t>A1250.2</t>
  </si>
  <si>
    <t>A1250.8</t>
  </si>
  <si>
    <t>A1250.3</t>
  </si>
  <si>
    <t>A1250.4</t>
  </si>
  <si>
    <t>A1250.5</t>
  </si>
  <si>
    <t>A1250.6</t>
  </si>
  <si>
    <t>A1250.7</t>
  </si>
  <si>
    <t>A1260</t>
  </si>
  <si>
    <t>MT03 ABS</t>
  </si>
  <si>
    <t>A1260.1</t>
  </si>
  <si>
    <t>A1260.2</t>
  </si>
  <si>
    <t>A1260.8</t>
  </si>
  <si>
    <t>A1260.3</t>
  </si>
  <si>
    <t>A1260.4</t>
  </si>
  <si>
    <t>A1260.5</t>
  </si>
  <si>
    <t>A1260.6</t>
  </si>
  <si>
    <t>A1260.7</t>
  </si>
  <si>
    <t>A1270</t>
  </si>
  <si>
    <t>TOTAL DE VENDAS - LINHA 320 cc</t>
  </si>
  <si>
    <t>A1270.1</t>
  </si>
  <si>
    <t>A1270.2</t>
  </si>
  <si>
    <t>A1270.8</t>
  </si>
  <si>
    <t>A1270.3</t>
  </si>
  <si>
    <t>A1270.4</t>
  </si>
  <si>
    <t>A1270.5</t>
  </si>
  <si>
    <t>A1270.6</t>
  </si>
  <si>
    <t>A1270.7</t>
  </si>
  <si>
    <t>LINHA &gt; 500 cc</t>
  </si>
  <si>
    <t>A1280</t>
  </si>
  <si>
    <t>XJ6 N ABS</t>
  </si>
  <si>
    <t>A1280.1</t>
  </si>
  <si>
    <t>A1280.2</t>
  </si>
  <si>
    <t>A1280.8</t>
  </si>
  <si>
    <t>A1280.3</t>
  </si>
  <si>
    <t>A1280.4</t>
  </si>
  <si>
    <t>A1280.5</t>
  </si>
  <si>
    <t>A1280.6</t>
  </si>
  <si>
    <t>A1280.7</t>
  </si>
  <si>
    <t>A1290</t>
  </si>
  <si>
    <t>XJ6 F ABS</t>
  </si>
  <si>
    <t>A1290.1</t>
  </si>
  <si>
    <t>A1290.2</t>
  </si>
  <si>
    <t>A1290.8</t>
  </si>
  <si>
    <t>A1290.3</t>
  </si>
  <si>
    <t>A1290.4</t>
  </si>
  <si>
    <t>A1290.5</t>
  </si>
  <si>
    <t>A1290.6</t>
  </si>
  <si>
    <t>A1290.7</t>
  </si>
  <si>
    <t>A1300</t>
  </si>
  <si>
    <t>XT 660R</t>
  </si>
  <si>
    <t>A1300.1</t>
  </si>
  <si>
    <t>A1300.2</t>
  </si>
  <si>
    <t>A1300.8</t>
  </si>
  <si>
    <t>A1300.3</t>
  </si>
  <si>
    <t>A1300.4</t>
  </si>
  <si>
    <t>A1300.5</t>
  </si>
  <si>
    <t>A1300.6</t>
  </si>
  <si>
    <t>A1300.7</t>
  </si>
  <si>
    <t>A1310</t>
  </si>
  <si>
    <t>XT 660Z TENERE ABS</t>
  </si>
  <si>
    <t>A1310.1</t>
  </si>
  <si>
    <t>A1310.2</t>
  </si>
  <si>
    <t>A1310.8</t>
  </si>
  <si>
    <t>A1310.3</t>
  </si>
  <si>
    <t>A1310.4</t>
  </si>
  <si>
    <t>A1310.5</t>
  </si>
  <si>
    <t>A1310.6</t>
  </si>
  <si>
    <t>A1310.7</t>
  </si>
  <si>
    <t>A1320</t>
  </si>
  <si>
    <t>MT07</t>
  </si>
  <si>
    <t>A1320.1</t>
  </si>
  <si>
    <t>A1320.2</t>
  </si>
  <si>
    <t>A1320.8</t>
  </si>
  <si>
    <t>A1320.3</t>
  </si>
  <si>
    <t>A1320.4</t>
  </si>
  <si>
    <t>A1320.5</t>
  </si>
  <si>
    <t>A1320.6</t>
  </si>
  <si>
    <t>A1320.7</t>
  </si>
  <si>
    <t>A1330</t>
  </si>
  <si>
    <t>MT07 ABS</t>
  </si>
  <si>
    <t>A1330.1</t>
  </si>
  <si>
    <t>A1330.2</t>
  </si>
  <si>
    <t>A1330.8</t>
  </si>
  <si>
    <t>A1330.3</t>
  </si>
  <si>
    <t>A1330.4</t>
  </si>
  <si>
    <t>A1330.5</t>
  </si>
  <si>
    <t>A1330.6</t>
  </si>
  <si>
    <t>A1330.7</t>
  </si>
  <si>
    <t>A1340</t>
  </si>
  <si>
    <t>MT09</t>
  </si>
  <si>
    <t>A1340.1</t>
  </si>
  <si>
    <t>A1340.2</t>
  </si>
  <si>
    <t>A1340.8</t>
  </si>
  <si>
    <t>A1340.3</t>
  </si>
  <si>
    <t>A1340.4</t>
  </si>
  <si>
    <t>A1340.5</t>
  </si>
  <si>
    <t>A1340.6</t>
  </si>
  <si>
    <t>A1340.7</t>
  </si>
  <si>
    <t>A1350</t>
  </si>
  <si>
    <t>MT09 SP</t>
  </si>
  <si>
    <t>A1350.1</t>
  </si>
  <si>
    <t>A1350.2</t>
  </si>
  <si>
    <t>A1350.8</t>
  </si>
  <si>
    <t>A1350.3</t>
  </si>
  <si>
    <t>A1350.4</t>
  </si>
  <si>
    <t>A1350.5</t>
  </si>
  <si>
    <t>A1350.6</t>
  </si>
  <si>
    <t>A1350.7</t>
  </si>
  <si>
    <t>A1360</t>
  </si>
  <si>
    <t>MT09 TRACER</t>
  </si>
  <si>
    <t>A1360.1</t>
  </si>
  <si>
    <t>A1360.2</t>
  </si>
  <si>
    <t>A1360.8</t>
  </si>
  <si>
    <t>A1360.3</t>
  </si>
  <si>
    <t>A1360.4</t>
  </si>
  <si>
    <t>A1360.5</t>
  </si>
  <si>
    <t>A1360.6</t>
  </si>
  <si>
    <t>A1360.7</t>
  </si>
  <si>
    <t>A1370</t>
  </si>
  <si>
    <t>YZF R1</t>
  </si>
  <si>
    <t>A1370.1</t>
  </si>
  <si>
    <t>A1370.2</t>
  </si>
  <si>
    <t>A1370.8</t>
  </si>
  <si>
    <t>A1370.3</t>
  </si>
  <si>
    <t>A1370.4</t>
  </si>
  <si>
    <t>A1370.5</t>
  </si>
  <si>
    <t>A1370.6</t>
  </si>
  <si>
    <t>A1370.7</t>
  </si>
  <si>
    <t>A1380</t>
  </si>
  <si>
    <t>YZF R1M</t>
  </si>
  <si>
    <t>A1380.1</t>
  </si>
  <si>
    <t>A1380.2</t>
  </si>
  <si>
    <t>A1380.8</t>
  </si>
  <si>
    <t>A1380.3</t>
  </si>
  <si>
    <t>A1380.4</t>
  </si>
  <si>
    <t>A1380.5</t>
  </si>
  <si>
    <t>A1380.6</t>
  </si>
  <si>
    <t>A1380.7</t>
  </si>
  <si>
    <t>XT1200Z DX</t>
  </si>
  <si>
    <t>A1385</t>
  </si>
  <si>
    <t>A1385.1</t>
  </si>
  <si>
    <t>A1385.2</t>
  </si>
  <si>
    <t>A1385.8</t>
  </si>
  <si>
    <t>A1385.3</t>
  </si>
  <si>
    <t>A1385.4</t>
  </si>
  <si>
    <t>A1385.5</t>
  </si>
  <si>
    <t>A1385.6</t>
  </si>
  <si>
    <t>A1385.7</t>
  </si>
  <si>
    <t>TRACER 900 GT</t>
  </si>
  <si>
    <t>A1386</t>
  </si>
  <si>
    <t>A1386.1</t>
  </si>
  <si>
    <t>A1386.2</t>
  </si>
  <si>
    <t>A1386.8</t>
  </si>
  <si>
    <t>A1386.3</t>
  </si>
  <si>
    <t>A1386.4</t>
  </si>
  <si>
    <t>A1386.5</t>
  </si>
  <si>
    <t>A1386.6</t>
  </si>
  <si>
    <t>A1386.7</t>
  </si>
  <si>
    <t>XTZ690 TENERE</t>
  </si>
  <si>
    <t>A1387</t>
  </si>
  <si>
    <t>A1387.1</t>
  </si>
  <si>
    <t>A1387.2</t>
  </si>
  <si>
    <t>A1387.8</t>
  </si>
  <si>
    <t>A1387.3</t>
  </si>
  <si>
    <t>A1387.4</t>
  </si>
  <si>
    <t>A1387.5</t>
  </si>
  <si>
    <t>A1387.6</t>
  </si>
  <si>
    <t>A1387.7</t>
  </si>
  <si>
    <t>A1390</t>
  </si>
  <si>
    <t>TOTAL DE VENDAS - LINHA &gt; 500 cc</t>
  </si>
  <si>
    <t>A1390.1</t>
  </si>
  <si>
    <t>A1390.2</t>
  </si>
  <si>
    <t>A1390.8</t>
  </si>
  <si>
    <t>A1390.3</t>
  </si>
  <si>
    <t>A1390.4</t>
  </si>
  <si>
    <t>A1390.5</t>
  </si>
  <si>
    <t>A1390.6</t>
  </si>
  <si>
    <t>A1390.7</t>
  </si>
  <si>
    <t>A1399</t>
  </si>
  <si>
    <t>TOTAL (NÃO ABERTO)</t>
  </si>
  <si>
    <t>A1399.1</t>
  </si>
  <si>
    <t>A1399.2</t>
  </si>
  <si>
    <t>A1399.8</t>
  </si>
  <si>
    <t>A1399.3</t>
  </si>
  <si>
    <t>A1399.4</t>
  </si>
  <si>
    <t>A1399.5</t>
  </si>
  <si>
    <t>A1399.6</t>
  </si>
  <si>
    <t>A1399.7</t>
  </si>
  <si>
    <t>A1400</t>
  </si>
  <si>
    <t>TOTAL DE VENDAS DE NOVOS - MOTOCICLETAS</t>
  </si>
  <si>
    <t>A1400.1</t>
  </si>
  <si>
    <t>A1400.2</t>
  </si>
  <si>
    <t>A1400.8</t>
  </si>
  <si>
    <t>A1400.3</t>
  </si>
  <si>
    <t>A1400.4</t>
  </si>
  <si>
    <t>A1400.5</t>
  </si>
  <si>
    <t>A1400.6</t>
  </si>
  <si>
    <t>A1400.7</t>
  </si>
  <si>
    <t>LINHA NÁUTICA</t>
  </si>
  <si>
    <t>A1700</t>
  </si>
  <si>
    <t>MOTORES</t>
  </si>
  <si>
    <t>A1700.1</t>
  </si>
  <si>
    <t>A1700.2</t>
  </si>
  <si>
    <t>A1700.8</t>
  </si>
  <si>
    <t>A1700.3</t>
  </si>
  <si>
    <t>A1700.4</t>
  </si>
  <si>
    <t>A1700.5</t>
  </si>
  <si>
    <t>A1700.6</t>
  </si>
  <si>
    <t>A1700.7</t>
  </si>
  <si>
    <t>A1710</t>
  </si>
  <si>
    <t>WAVERUNNER</t>
  </si>
  <si>
    <t>A1710.1</t>
  </si>
  <si>
    <t>A1710.2</t>
  </si>
  <si>
    <t>A1710.8</t>
  </si>
  <si>
    <t>A1710.3</t>
  </si>
  <si>
    <t>A1710.4</t>
  </si>
  <si>
    <t>A1710.5</t>
  </si>
  <si>
    <t>A1710.6</t>
  </si>
  <si>
    <t>A1710.7</t>
  </si>
  <si>
    <t>A1720</t>
  </si>
  <si>
    <t>TOTAL DE VENDAS - LINHA NAÚTICA</t>
  </si>
  <si>
    <t>A1720.1</t>
  </si>
  <si>
    <t>A1720.2</t>
  </si>
  <si>
    <t>A1720.8</t>
  </si>
  <si>
    <t>A1720.3</t>
  </si>
  <si>
    <t>A1720.4</t>
  </si>
  <si>
    <t>A1720.5</t>
  </si>
  <si>
    <t>A1720.6</t>
  </si>
  <si>
    <t>A1720.7</t>
  </si>
  <si>
    <t>LINHA QUADRICICLOS</t>
  </si>
  <si>
    <t>A1800</t>
  </si>
  <si>
    <t>MODELO 1</t>
  </si>
  <si>
    <t>A1800.1</t>
  </si>
  <si>
    <t>A1800.2</t>
  </si>
  <si>
    <t>A1800.8</t>
  </si>
  <si>
    <t>A1800.3</t>
  </si>
  <si>
    <t>A1800.4</t>
  </si>
  <si>
    <t>A1800.5</t>
  </si>
  <si>
    <t>A1800.6</t>
  </si>
  <si>
    <t>A1800.7</t>
  </si>
  <si>
    <t>A1810</t>
  </si>
  <si>
    <t>MODELO 2</t>
  </si>
  <si>
    <t>A1810.1</t>
  </si>
  <si>
    <t>A1810.2</t>
  </si>
  <si>
    <t>A1810.8</t>
  </si>
  <si>
    <t>A1810.3</t>
  </si>
  <si>
    <t>A1810.4</t>
  </si>
  <si>
    <t>A1810.5</t>
  </si>
  <si>
    <t>A1810.6</t>
  </si>
  <si>
    <t>A1810.7</t>
  </si>
  <si>
    <t>A1820</t>
  </si>
  <si>
    <t>MODELO 3</t>
  </si>
  <si>
    <t>A1820.1</t>
  </si>
  <si>
    <t>A1820.2</t>
  </si>
  <si>
    <t>A1820.8</t>
  </si>
  <si>
    <t>A1820.3</t>
  </si>
  <si>
    <t>A1820.4</t>
  </si>
  <si>
    <t>A1820.5</t>
  </si>
  <si>
    <t>A1820.6</t>
  </si>
  <si>
    <t>A1820.7</t>
  </si>
  <si>
    <t>A1830</t>
  </si>
  <si>
    <t>TOTAL DE VENDAS - LINHA QUADRICICLOS</t>
  </si>
  <si>
    <t>A1830.1</t>
  </si>
  <si>
    <t>A1830.2</t>
  </si>
  <si>
    <t>A1830.8</t>
  </si>
  <si>
    <t>A1830.3</t>
  </si>
  <si>
    <t>A1830.4</t>
  </si>
  <si>
    <t>A1830.5</t>
  </si>
  <si>
    <t>A1830.6</t>
  </si>
  <si>
    <t>A1830.7</t>
  </si>
  <si>
    <t>A1840</t>
  </si>
  <si>
    <t>TOTAL DE VENDAS DE VEÍCULOS</t>
  </si>
  <si>
    <t>A1840.1</t>
  </si>
  <si>
    <t>A1840.2</t>
  </si>
  <si>
    <t>A1840.8</t>
  </si>
  <si>
    <t>A1840.3</t>
  </si>
  <si>
    <t>A1840.4</t>
  </si>
  <si>
    <t>A1840.5</t>
  </si>
  <si>
    <t>A1840.6</t>
  </si>
  <si>
    <t>A1840.7</t>
  </si>
  <si>
    <t>OUTRAS RECEITAS OPERACIONAIS</t>
  </si>
  <si>
    <t>A3000</t>
  </si>
  <si>
    <t>INCENTIVOS DE VAREJO</t>
  </si>
  <si>
    <t>A3000.1</t>
  </si>
  <si>
    <t>A3010</t>
  </si>
  <si>
    <t>BONIFICAÇÕES 1</t>
  </si>
  <si>
    <t>A3010.1</t>
  </si>
  <si>
    <t>A3020</t>
  </si>
  <si>
    <t>BONIFICAÇÕES 2</t>
  </si>
  <si>
    <t>A3020.1</t>
  </si>
  <si>
    <t>A3030</t>
  </si>
  <si>
    <t>COMISSÕES DIVERSAS</t>
  </si>
  <si>
    <t>A3030.1</t>
  </si>
  <si>
    <t>A3040</t>
  </si>
  <si>
    <t>OUTRAS RECEITAS</t>
  </si>
  <si>
    <t>A3040.1</t>
  </si>
  <si>
    <t>A3090</t>
  </si>
  <si>
    <t>TOTAL DE OUTRAS RECEITAS OPERACIONAIS</t>
  </si>
  <si>
    <t>A3090.1</t>
  </si>
  <si>
    <t>DESPESAS VARIÁVEIS</t>
  </si>
  <si>
    <t>A3100</t>
  </si>
  <si>
    <t>COMISSÕES SOBRE VENDAS</t>
  </si>
  <si>
    <t>A3100.1</t>
  </si>
  <si>
    <t>A3110</t>
  </si>
  <si>
    <t>ENCARGOS SOBRE COMISSÕES (-)</t>
  </si>
  <si>
    <t>A3110.1</t>
  </si>
  <si>
    <t>A3120</t>
  </si>
  <si>
    <t>OUTRAS DESPESAS</t>
  </si>
  <si>
    <t>A3120.1</t>
  </si>
  <si>
    <t>A3130</t>
  </si>
  <si>
    <t>TOTAL DE DESPESAS VARIÁVEIS</t>
  </si>
  <si>
    <t>A3130.1</t>
  </si>
  <si>
    <t>MARGEM DE CONTRIBUIÇÃO</t>
  </si>
  <si>
    <t>A3500</t>
  </si>
  <si>
    <t>A3500.1</t>
  </si>
  <si>
    <t>DESPESAS</t>
  </si>
  <si>
    <t>A4090</t>
  </si>
  <si>
    <t>TOTAL DE DESPESAS COM PESSOAL (A)</t>
  </si>
  <si>
    <t>A4090.1</t>
  </si>
  <si>
    <t>A4170</t>
  </si>
  <si>
    <t>TOTAL DE DESPESAS COM ESTRUTURA - IMÓVEIS (B)</t>
  </si>
  <si>
    <t>A4170.1</t>
  </si>
  <si>
    <t>A4370</t>
  </si>
  <si>
    <t>TOTAL DE DESPESAS GERAIS (C)</t>
  </si>
  <si>
    <t>A4370.1</t>
  </si>
  <si>
    <t>A4380</t>
  </si>
  <si>
    <t>TOTAL DE DESPESAS OPERACIONAIS (A + B + C)</t>
  </si>
  <si>
    <t>A4380.1</t>
  </si>
  <si>
    <t>LUCRO / PREJUÍZO OPERACIONAL</t>
  </si>
  <si>
    <t>A4450</t>
  </si>
  <si>
    <t>A4450.1</t>
  </si>
  <si>
    <t xml:space="preserve">DESPESAS / RECEITAS NÃO-OPERACIONAIS E FINANCEIRAS </t>
  </si>
  <si>
    <t>A4590</t>
  </si>
  <si>
    <t>TOTAL DE DESPESAS NÃO-OPERACIONAIS</t>
  </si>
  <si>
    <t>A4590.1</t>
  </si>
  <si>
    <t>A4790</t>
  </si>
  <si>
    <t>TOTAL DE DESPESAS FINANCEIRAS</t>
  </si>
  <si>
    <t>A4790.1</t>
  </si>
  <si>
    <t>A4890</t>
  </si>
  <si>
    <t>TOTAL DE RECEITAS NÃO-OPERACIONAIS</t>
  </si>
  <si>
    <t>A4890.1</t>
  </si>
  <si>
    <t>A4990</t>
  </si>
  <si>
    <t>TOTAL DE RECEITAS FINANCEIRAS</t>
  </si>
  <si>
    <t>A4990.1</t>
  </si>
  <si>
    <t>FLOOR PLAN</t>
  </si>
  <si>
    <t>A5500</t>
  </si>
  <si>
    <t xml:space="preserve">IOF </t>
  </si>
  <si>
    <t>A5500.1</t>
  </si>
  <si>
    <t>A5510</t>
  </si>
  <si>
    <t>JUROS CONTRATUAIS</t>
  </si>
  <si>
    <t>A5510.1</t>
  </si>
  <si>
    <t>A5520</t>
  </si>
  <si>
    <t>JUROS DE MORA</t>
  </si>
  <si>
    <t>A5520.1</t>
  </si>
  <si>
    <t>A5590</t>
  </si>
  <si>
    <t>TOTAL DE DESPESAS DE FLOOR PLAN</t>
  </si>
  <si>
    <t>A5590.1</t>
  </si>
  <si>
    <t>RESULTADO DEPARTAMENTAL</t>
  </si>
  <si>
    <t>A6000</t>
  </si>
  <si>
    <t>RESULTADO DO DEPARTAMENTO DE NOVOS</t>
  </si>
  <si>
    <t>A6000.1</t>
  </si>
  <si>
    <t>ESTOQUE - LINHA SCOOTER &lt;200 cc</t>
  </si>
  <si>
    <t>A9000</t>
  </si>
  <si>
    <t>A9000.1</t>
  </si>
  <si>
    <t>A9010</t>
  </si>
  <si>
    <t>A9010.1</t>
  </si>
  <si>
    <t>ESTOQUE - LINHA SCOOTER &gt;200 cc</t>
  </si>
  <si>
    <t>A9020</t>
  </si>
  <si>
    <t>A9020.1</t>
  </si>
  <si>
    <t>A9021</t>
  </si>
  <si>
    <t>A9021.1</t>
  </si>
  <si>
    <t>A9022</t>
  </si>
  <si>
    <t>A9022.1</t>
  </si>
  <si>
    <t>ESTOQUE - LINHA OFF ROAD</t>
  </si>
  <si>
    <t>A9030</t>
  </si>
  <si>
    <t>A9030.1</t>
  </si>
  <si>
    <t>A9035</t>
  </si>
  <si>
    <t>A9035.1</t>
  </si>
  <si>
    <t>A9040</t>
  </si>
  <si>
    <t>A9040.1</t>
  </si>
  <si>
    <t>A9050</t>
  </si>
  <si>
    <t>A9050.1</t>
  </si>
  <si>
    <t>A9060</t>
  </si>
  <si>
    <t>A9060.1</t>
  </si>
  <si>
    <t>A9065</t>
  </si>
  <si>
    <t xml:space="preserve">YZ 250X </t>
  </si>
  <si>
    <t>A9065.1</t>
  </si>
  <si>
    <t>A9070</t>
  </si>
  <si>
    <t>A9070.1</t>
  </si>
  <si>
    <t>A9075</t>
  </si>
  <si>
    <t>YZ 450FX</t>
  </si>
  <si>
    <t>A9075.1</t>
  </si>
  <si>
    <t>A9080</t>
  </si>
  <si>
    <t>A9080.1</t>
  </si>
  <si>
    <t>A9085</t>
  </si>
  <si>
    <t>A9085.1</t>
  </si>
  <si>
    <t>ESTOQUE - LINHA 125 cc</t>
  </si>
  <si>
    <t>A9090</t>
  </si>
  <si>
    <t>A9090.1</t>
  </si>
  <si>
    <t>A9091</t>
  </si>
  <si>
    <t>A9091.1</t>
  </si>
  <si>
    <t>ESTOQUE - LINHA 150 cc - Street</t>
  </si>
  <si>
    <t>A9100</t>
  </si>
  <si>
    <t>A9100.1</t>
  </si>
  <si>
    <t>A9110</t>
  </si>
  <si>
    <t>A9110.1</t>
  </si>
  <si>
    <t>A9120</t>
  </si>
  <si>
    <t>A9120.1</t>
  </si>
  <si>
    <t>A9121</t>
  </si>
  <si>
    <t>A9121.1</t>
  </si>
  <si>
    <t>A9122</t>
  </si>
  <si>
    <t>A9122.1</t>
  </si>
  <si>
    <t>ESTOQUE - LINHA 150 cc - On/Off</t>
  </si>
  <si>
    <t>A9130</t>
  </si>
  <si>
    <t>A9130.1</t>
  </si>
  <si>
    <t>A9140</t>
  </si>
  <si>
    <t>A9140.1</t>
  </si>
  <si>
    <t>A9145</t>
  </si>
  <si>
    <t>A9145.1</t>
  </si>
  <si>
    <t>A9146</t>
  </si>
  <si>
    <t>A9146.1</t>
  </si>
  <si>
    <t>ESTOQUE - LINHA 250 cc - Street</t>
  </si>
  <si>
    <t>A9150</t>
  </si>
  <si>
    <t>A9150.1</t>
  </si>
  <si>
    <t>A9155</t>
  </si>
  <si>
    <t>A9155.1</t>
  </si>
  <si>
    <t>ESTOQUE - LINHA 250 cc - On/Off</t>
  </si>
  <si>
    <t>A9160</t>
  </si>
  <si>
    <t>A9160.1</t>
  </si>
  <si>
    <t>A9170</t>
  </si>
  <si>
    <t>A9170.1</t>
  </si>
  <si>
    <t>ESTOQUE - LINHA 320 cc</t>
  </si>
  <si>
    <t>A9180</t>
  </si>
  <si>
    <t>A9180.1</t>
  </si>
  <si>
    <t>A9190</t>
  </si>
  <si>
    <t>A9190.1</t>
  </si>
  <si>
    <t>A9200</t>
  </si>
  <si>
    <t>A9200.1</t>
  </si>
  <si>
    <t>A9210</t>
  </si>
  <si>
    <t>A9210.1</t>
  </si>
  <si>
    <t>ESTOQUE - LINHA &gt; 500 cc</t>
  </si>
  <si>
    <t>A9220</t>
  </si>
  <si>
    <t>A9220.1</t>
  </si>
  <si>
    <t>A9230</t>
  </si>
  <si>
    <t>A9230.1</t>
  </si>
  <si>
    <t>A9240</t>
  </si>
  <si>
    <t>A9240.1</t>
  </si>
  <si>
    <t>A9250</t>
  </si>
  <si>
    <t>A9250.1</t>
  </si>
  <si>
    <t>A9260</t>
  </si>
  <si>
    <t>A9260.1</t>
  </si>
  <si>
    <t>A9270</t>
  </si>
  <si>
    <t>A9270.1</t>
  </si>
  <si>
    <t>A9280</t>
  </si>
  <si>
    <t>A9280.1</t>
  </si>
  <si>
    <t>A9290</t>
  </si>
  <si>
    <t>A9290.1</t>
  </si>
  <si>
    <t>A9300</t>
  </si>
  <si>
    <t>A9300.1</t>
  </si>
  <si>
    <t>A9310</t>
  </si>
  <si>
    <t>A9310.1</t>
  </si>
  <si>
    <t>A9320</t>
  </si>
  <si>
    <t>A9320.1</t>
  </si>
  <si>
    <t>A9331</t>
  </si>
  <si>
    <t>A9331.1</t>
  </si>
  <si>
    <t>A9330</t>
  </si>
  <si>
    <t>A9330.1</t>
  </si>
  <si>
    <t>A9332</t>
  </si>
  <si>
    <t>A9332.1</t>
  </si>
  <si>
    <t>A9390</t>
  </si>
  <si>
    <t>TOTAL DE MOTOCICLETAS</t>
  </si>
  <si>
    <t>A9390.1</t>
  </si>
  <si>
    <t>ESTOQUE - LINHA NÁUTICA</t>
  </si>
  <si>
    <t>A9400</t>
  </si>
  <si>
    <t>A9400.1</t>
  </si>
  <si>
    <t>A9410</t>
  </si>
  <si>
    <t>A9410.1</t>
  </si>
  <si>
    <t>A9490</t>
  </si>
  <si>
    <t>TOTAL DE LINHA NÁUTICA</t>
  </si>
  <si>
    <t>A9490.1</t>
  </si>
  <si>
    <t>ESTOQUE - LINHA QUADRICICLOS</t>
  </si>
  <si>
    <t>A9500</t>
  </si>
  <si>
    <t>A9500.1</t>
  </si>
  <si>
    <t>A9510</t>
  </si>
  <si>
    <t>A9510.1</t>
  </si>
  <si>
    <t>A9520</t>
  </si>
  <si>
    <t>A9520.1</t>
  </si>
  <si>
    <t>A9590</t>
  </si>
  <si>
    <t>TOTAL DE LINHA QUADRICICLOS</t>
  </si>
  <si>
    <t>A9590.1</t>
  </si>
  <si>
    <t>A9900</t>
  </si>
  <si>
    <t>TOTAL DE ESTOQUE DE NOVOS</t>
  </si>
  <si>
    <t>A9900.1</t>
  </si>
  <si>
    <t>VENDA USADOS</t>
  </si>
  <si>
    <t>VENDAS DE USADOS</t>
  </si>
  <si>
    <t>B1000</t>
  </si>
  <si>
    <t>MOTOCICLETAS YAMAHA</t>
  </si>
  <si>
    <t>B1000.1</t>
  </si>
  <si>
    <t>B1000.2</t>
  </si>
  <si>
    <t>B1000.8</t>
  </si>
  <si>
    <t>B1000.3</t>
  </si>
  <si>
    <t>B1000.4</t>
  </si>
  <si>
    <t>B1000.5</t>
  </si>
  <si>
    <t>B1000.6</t>
  </si>
  <si>
    <t>B1000.7</t>
  </si>
  <si>
    <t>B1010</t>
  </si>
  <si>
    <t>MOTOCICLETAS OUTRAS MARCAS</t>
  </si>
  <si>
    <t>B1010.1</t>
  </si>
  <si>
    <t>B1010.2</t>
  </si>
  <si>
    <t>B1010.8</t>
  </si>
  <si>
    <t>B1010.3</t>
  </si>
  <si>
    <t>B1010.4</t>
  </si>
  <si>
    <t>B1010.5</t>
  </si>
  <si>
    <t>B1010.6</t>
  </si>
  <si>
    <t>B1010.7</t>
  </si>
  <si>
    <t>B1050</t>
  </si>
  <si>
    <t>VENDAS DE USADOS - MOTOCICLETAS</t>
  </si>
  <si>
    <t>B1050.1</t>
  </si>
  <si>
    <t>B1050.2</t>
  </si>
  <si>
    <t>B1050.8</t>
  </si>
  <si>
    <t>B1050.3</t>
  </si>
  <si>
    <t>B1050.4</t>
  </si>
  <si>
    <t>B1050.5</t>
  </si>
  <si>
    <t>B1050.6</t>
  </si>
  <si>
    <t>B1050.7</t>
  </si>
  <si>
    <t>VENDAS DE USADOS - OUTROS PRODUTOS</t>
  </si>
  <si>
    <t>B1060</t>
  </si>
  <si>
    <t>OUTROS PRODUTOS YAMAHA</t>
  </si>
  <si>
    <t>B1060.1</t>
  </si>
  <si>
    <t>B1060.2</t>
  </si>
  <si>
    <t>B1060.8</t>
  </si>
  <si>
    <t>B1060.3</t>
  </si>
  <si>
    <t>B1060.4</t>
  </si>
  <si>
    <t>B1060.5</t>
  </si>
  <si>
    <t>B1060.6</t>
  </si>
  <si>
    <t>B1060.7</t>
  </si>
  <si>
    <t>B1090</t>
  </si>
  <si>
    <t>TOTAL DE VENDAS DE USADOS</t>
  </si>
  <si>
    <t>B1090.1</t>
  </si>
  <si>
    <t>B1090.2</t>
  </si>
  <si>
    <t>B1090.8</t>
  </si>
  <si>
    <t>B1090.3</t>
  </si>
  <si>
    <t>B1090.4</t>
  </si>
  <si>
    <t>B1090.5</t>
  </si>
  <si>
    <t>B1090.6</t>
  </si>
  <si>
    <t>B1090.7</t>
  </si>
  <si>
    <t>B3000</t>
  </si>
  <si>
    <t>B3000.1</t>
  </si>
  <si>
    <t>B3010</t>
  </si>
  <si>
    <t>B3010.1</t>
  </si>
  <si>
    <t>B3020</t>
  </si>
  <si>
    <t>B3020.1</t>
  </si>
  <si>
    <t>B3030</t>
  </si>
  <si>
    <t>B3030.1</t>
  </si>
  <si>
    <t>B3040</t>
  </si>
  <si>
    <t>B3040.1</t>
  </si>
  <si>
    <t>B3090</t>
  </si>
  <si>
    <t>B3090.1</t>
  </si>
  <si>
    <t>B3100</t>
  </si>
  <si>
    <t>B3100.1</t>
  </si>
  <si>
    <t>B3110</t>
  </si>
  <si>
    <t>B3110.1</t>
  </si>
  <si>
    <t>B3120</t>
  </si>
  <si>
    <t>B3120.1</t>
  </si>
  <si>
    <t>B3190</t>
  </si>
  <si>
    <t>B3190.1</t>
  </si>
  <si>
    <t>B3500</t>
  </si>
  <si>
    <t>B3500.1</t>
  </si>
  <si>
    <t>B4090</t>
  </si>
  <si>
    <t>B4090.1</t>
  </si>
  <si>
    <t>B4170</t>
  </si>
  <si>
    <t>B4170.1</t>
  </si>
  <si>
    <t>B4370</t>
  </si>
  <si>
    <t>B4370.1</t>
  </si>
  <si>
    <t>B4380</t>
  </si>
  <si>
    <t>B4380.1</t>
  </si>
  <si>
    <t>B4450</t>
  </si>
  <si>
    <t>B4450.1</t>
  </si>
  <si>
    <t>B4590</t>
  </si>
  <si>
    <t>B4590.1</t>
  </si>
  <si>
    <t>B4790</t>
  </si>
  <si>
    <t>B4790.1</t>
  </si>
  <si>
    <t>B4890</t>
  </si>
  <si>
    <t>B4890.1</t>
  </si>
  <si>
    <t>B4990</t>
  </si>
  <si>
    <t>B4990.1</t>
  </si>
  <si>
    <t>B5500</t>
  </si>
  <si>
    <t>B5500.1</t>
  </si>
  <si>
    <t>B5510</t>
  </si>
  <si>
    <t>B5510.1</t>
  </si>
  <si>
    <t>B5520</t>
  </si>
  <si>
    <t>B5520.1</t>
  </si>
  <si>
    <t>B5590</t>
  </si>
  <si>
    <t>B5590.1</t>
  </si>
  <si>
    <t>B6000</t>
  </si>
  <si>
    <t>RESULTADO DO DEPARTAMENTO DE USADOS</t>
  </si>
  <si>
    <t>B6000.1</t>
  </si>
  <si>
    <t>ESTOQUE (UNIDADES)</t>
  </si>
  <si>
    <t>B9000</t>
  </si>
  <si>
    <t>B9000.1</t>
  </si>
  <si>
    <t>B9010</t>
  </si>
  <si>
    <t>B9010.1</t>
  </si>
  <si>
    <t>B9390</t>
  </si>
  <si>
    <t>B9390.1</t>
  </si>
  <si>
    <t>B9110</t>
  </si>
  <si>
    <t>B9110.1</t>
  </si>
  <si>
    <t>B9900</t>
  </si>
  <si>
    <t>TOTAL DE ESTOQUE DE USADOS</t>
  </si>
  <si>
    <t>B9900.1</t>
  </si>
  <si>
    <t>PEÇAS &amp; ACESSÓRIOS</t>
  </si>
  <si>
    <t>DISC</t>
  </si>
  <si>
    <t>C1000</t>
  </si>
  <si>
    <t>PEÇAS GENUÍNAS</t>
  </si>
  <si>
    <t>C1000.1</t>
  </si>
  <si>
    <t>C1000.2</t>
  </si>
  <si>
    <t>C1000.3</t>
  </si>
  <si>
    <t>C1000.4</t>
  </si>
  <si>
    <t>C1000.5</t>
  </si>
  <si>
    <t>C1000.6</t>
  </si>
  <si>
    <t>C1010</t>
  </si>
  <si>
    <t>PEÇAS YTEC</t>
  </si>
  <si>
    <t>C1010.1</t>
  </si>
  <si>
    <t>C1010.2</t>
  </si>
  <si>
    <t>C1010.3</t>
  </si>
  <si>
    <t>C1010.4</t>
  </si>
  <si>
    <t>C1010.5</t>
  </si>
  <si>
    <t>C1010.6</t>
  </si>
  <si>
    <t>C1020</t>
  </si>
  <si>
    <t>PEÇAS NÃO GENUÍNAS</t>
  </si>
  <si>
    <t>C1020.1</t>
  </si>
  <si>
    <t>C1020.2</t>
  </si>
  <si>
    <t>C1020.3</t>
  </si>
  <si>
    <t>C1020.4</t>
  </si>
  <si>
    <t>C1020.5</t>
  </si>
  <si>
    <t>C1020.6</t>
  </si>
  <si>
    <t>C1030</t>
  </si>
  <si>
    <t>ACESSÓRIOS</t>
  </si>
  <si>
    <t>C1030.1</t>
  </si>
  <si>
    <t>C1030.2</t>
  </si>
  <si>
    <t>C1030.3</t>
  </si>
  <si>
    <t>C1030.4</t>
  </si>
  <si>
    <t>C1030.5</t>
  </si>
  <si>
    <t>C1030.6</t>
  </si>
  <si>
    <t>C1090</t>
  </si>
  <si>
    <t>RECEITA DE VENDA BALCÃO</t>
  </si>
  <si>
    <t>C1090.1</t>
  </si>
  <si>
    <t>C1090.2</t>
  </si>
  <si>
    <t>C1090.3</t>
  </si>
  <si>
    <t>C1090.4</t>
  </si>
  <si>
    <t>C1090.5</t>
  </si>
  <si>
    <t>C1090.6</t>
  </si>
  <si>
    <t>C1100</t>
  </si>
  <si>
    <t>C1100.1</t>
  </si>
  <si>
    <t>C1100.2</t>
  </si>
  <si>
    <t>C1100.3</t>
  </si>
  <si>
    <t>C1100.4</t>
  </si>
  <si>
    <t>C1100.5</t>
  </si>
  <si>
    <t>C1100.6</t>
  </si>
  <si>
    <t>C1110</t>
  </si>
  <si>
    <t>C1110.1</t>
  </si>
  <si>
    <t>C1110.2</t>
  </si>
  <si>
    <t>C1110.3</t>
  </si>
  <si>
    <t>C1110.4</t>
  </si>
  <si>
    <t>C1110.5</t>
  </si>
  <si>
    <t>C1110.6</t>
  </si>
  <si>
    <t>C1120</t>
  </si>
  <si>
    <t>C1120.1</t>
  </si>
  <si>
    <t>C1120.2</t>
  </si>
  <si>
    <t>C1120.3</t>
  </si>
  <si>
    <t>C1120.4</t>
  </si>
  <si>
    <t>C1120.5</t>
  </si>
  <si>
    <t>C1120.6</t>
  </si>
  <si>
    <t>C1130</t>
  </si>
  <si>
    <t>C1130.1</t>
  </si>
  <si>
    <t>C1130.2</t>
  </si>
  <si>
    <t>C1130.3</t>
  </si>
  <si>
    <t>C1130.4</t>
  </si>
  <si>
    <t>C1130.5</t>
  </si>
  <si>
    <t>C1130.6</t>
  </si>
  <si>
    <t>C1190</t>
  </si>
  <si>
    <t>RECEITA DE VENDA ATACADO</t>
  </si>
  <si>
    <t>C1190.1</t>
  </si>
  <si>
    <t>C1190.2</t>
  </si>
  <si>
    <t>C1190.3</t>
  </si>
  <si>
    <t>C1190.4</t>
  </si>
  <si>
    <t>C1190.5</t>
  </si>
  <si>
    <t>C1190.6</t>
  </si>
  <si>
    <t>C1200</t>
  </si>
  <si>
    <t>C1200.1</t>
  </si>
  <si>
    <t>C1200.2</t>
  </si>
  <si>
    <t>C1200.3</t>
  </si>
  <si>
    <t>C1200.4</t>
  </si>
  <si>
    <t>C1200.5</t>
  </si>
  <si>
    <t>C1200.6</t>
  </si>
  <si>
    <t>C1210</t>
  </si>
  <si>
    <t>C1210.1</t>
  </si>
  <si>
    <t>C1210.2</t>
  </si>
  <si>
    <t>C1210.3</t>
  </si>
  <si>
    <t>C1210.4</t>
  </si>
  <si>
    <t>C1210.5</t>
  </si>
  <si>
    <t>C1210.6</t>
  </si>
  <si>
    <t>C1220</t>
  </si>
  <si>
    <t>C1220.1</t>
  </si>
  <si>
    <t>C1220.2</t>
  </si>
  <si>
    <t>C1220.3</t>
  </si>
  <si>
    <t>C1220.4</t>
  </si>
  <si>
    <t>C1220.5</t>
  </si>
  <si>
    <t>C1220.6</t>
  </si>
  <si>
    <t>C1230</t>
  </si>
  <si>
    <t>C1230.1</t>
  </si>
  <si>
    <t>C1230.2</t>
  </si>
  <si>
    <t>C1230.3</t>
  </si>
  <si>
    <t>C1230.4</t>
  </si>
  <si>
    <t>C1230.5</t>
  </si>
  <si>
    <t>C1230.6</t>
  </si>
  <si>
    <t>C1290</t>
  </si>
  <si>
    <t>PRODUTOS APLICADOS NA OFICINA</t>
  </si>
  <si>
    <t>C1290.1</t>
  </si>
  <si>
    <t>C1290.2</t>
  </si>
  <si>
    <t>C1290.3</t>
  </si>
  <si>
    <t>C1290.4</t>
  </si>
  <si>
    <t>C1290.5</t>
  </si>
  <si>
    <t>C1290.6</t>
  </si>
  <si>
    <t>C1299</t>
  </si>
  <si>
    <t>TOTAL OUTROS</t>
  </si>
  <si>
    <t>C1299.1</t>
  </si>
  <si>
    <t>C1299.2</t>
  </si>
  <si>
    <t>C1299.3</t>
  </si>
  <si>
    <t>C1299.4</t>
  </si>
  <si>
    <t>C1299.5</t>
  </si>
  <si>
    <t>C1299.6</t>
  </si>
  <si>
    <t>C1300</t>
  </si>
  <si>
    <t>TOTAL DE RECEITA DE VENDAS DE PEÇAS E ACESSÓRIOS</t>
  </si>
  <si>
    <t>C1300.1</t>
  </si>
  <si>
    <t>C1300.2</t>
  </si>
  <si>
    <t>C1300.3</t>
  </si>
  <si>
    <t>C1300.4</t>
  </si>
  <si>
    <t>C1300.5</t>
  </si>
  <si>
    <t>C1300.6</t>
  </si>
  <si>
    <t>C3000</t>
  </si>
  <si>
    <t>C3000.1</t>
  </si>
  <si>
    <t>C3010</t>
  </si>
  <si>
    <t>C3010.1</t>
  </si>
  <si>
    <t>C3020</t>
  </si>
  <si>
    <t>C3020.1</t>
  </si>
  <si>
    <t>C3030</t>
  </si>
  <si>
    <t>C3030.1</t>
  </si>
  <si>
    <t>C3040</t>
  </si>
  <si>
    <t>C3040.1</t>
  </si>
  <si>
    <t>C3090</t>
  </si>
  <si>
    <t>C3090.1</t>
  </si>
  <si>
    <t>C3100</t>
  </si>
  <si>
    <t>COMISSÕES SOBRE VENDAS DE PEÇAS</t>
  </si>
  <si>
    <t>C3100.1</t>
  </si>
  <si>
    <t>C3110</t>
  </si>
  <si>
    <t>C3110.1</t>
  </si>
  <si>
    <t>C3120</t>
  </si>
  <si>
    <t>C3120.1</t>
  </si>
  <si>
    <t>C3190</t>
  </si>
  <si>
    <t>C3190.1</t>
  </si>
  <si>
    <t>C3500</t>
  </si>
  <si>
    <t>C3500.1</t>
  </si>
  <si>
    <t>C4090</t>
  </si>
  <si>
    <t>C4090.1</t>
  </si>
  <si>
    <t>C4170</t>
  </si>
  <si>
    <t>C4170.1</t>
  </si>
  <si>
    <t>C4370</t>
  </si>
  <si>
    <t>C4370.1</t>
  </si>
  <si>
    <t>C4380</t>
  </si>
  <si>
    <t>C4380.1</t>
  </si>
  <si>
    <t>C4450</t>
  </si>
  <si>
    <t>C4450.1</t>
  </si>
  <si>
    <t>C4590</t>
  </si>
  <si>
    <t>C4590.1</t>
  </si>
  <si>
    <t>C4790</t>
  </si>
  <si>
    <t>C4790.1</t>
  </si>
  <si>
    <t>C4890</t>
  </si>
  <si>
    <t>C4890.1</t>
  </si>
  <si>
    <t>C4990</t>
  </si>
  <si>
    <t>C4990.1</t>
  </si>
  <si>
    <t>C6000</t>
  </si>
  <si>
    <t>RESULTADO DO DEPARTAMENTO DE PEÇAS</t>
  </si>
  <si>
    <t>C6000.1</t>
  </si>
  <si>
    <t>SERVIÇOS</t>
  </si>
  <si>
    <t>D1000</t>
  </si>
  <si>
    <t>REVISÃO GRATUITA</t>
  </si>
  <si>
    <t>D1000.1</t>
  </si>
  <si>
    <t>D1000.2</t>
  </si>
  <si>
    <t>D1000.3</t>
  </si>
  <si>
    <t>D1000.4</t>
  </si>
  <si>
    <t>D1010</t>
  </si>
  <si>
    <t>SERVIÇOS EM GARANTIA</t>
  </si>
  <si>
    <t>D1010.1</t>
  </si>
  <si>
    <t>D1010.2</t>
  </si>
  <si>
    <t>D1010.3</t>
  </si>
  <si>
    <t>D1010.4</t>
  </si>
  <si>
    <t>D1020</t>
  </si>
  <si>
    <t>SERVIÇOS EM GERAL</t>
  </si>
  <si>
    <t>D1020.1</t>
  </si>
  <si>
    <t>D1020.2</t>
  </si>
  <si>
    <t>D1020.3</t>
  </si>
  <si>
    <t>D1020.4</t>
  </si>
  <si>
    <t>D1089</t>
  </si>
  <si>
    <t>D1089.1</t>
  </si>
  <si>
    <t>D1089.2</t>
  </si>
  <si>
    <t>D1089.3</t>
  </si>
  <si>
    <t>D1089.4</t>
  </si>
  <si>
    <t>D1090</t>
  </si>
  <si>
    <t>TOTAL DE RECEITA DE VENDA DE SERVIÇOS</t>
  </si>
  <si>
    <t>D1090.1</t>
  </si>
  <si>
    <t>D1090.2</t>
  </si>
  <si>
    <t>D1090.3</t>
  </si>
  <si>
    <t>D1090.4</t>
  </si>
  <si>
    <t>D3000</t>
  </si>
  <si>
    <t>D3000.1</t>
  </si>
  <si>
    <t>D3010</t>
  </si>
  <si>
    <t>D3010.1</t>
  </si>
  <si>
    <t>D3020</t>
  </si>
  <si>
    <t>D3020.1</t>
  </si>
  <si>
    <t>D3030</t>
  </si>
  <si>
    <t>D3030.1</t>
  </si>
  <si>
    <t>D3040</t>
  </si>
  <si>
    <t>D3040.1</t>
  </si>
  <si>
    <t>D3090</t>
  </si>
  <si>
    <t>D3090.1</t>
  </si>
  <si>
    <t>D3100</t>
  </si>
  <si>
    <t>COMISSÕES SOBRE SERVIÇOS</t>
  </si>
  <si>
    <t>D3100.1</t>
  </si>
  <si>
    <t>D3110</t>
  </si>
  <si>
    <t>D3110.1</t>
  </si>
  <si>
    <t>D3120</t>
  </si>
  <si>
    <t>D3120.1</t>
  </si>
  <si>
    <t>D3190</t>
  </si>
  <si>
    <t>D3190.1</t>
  </si>
  <si>
    <t>D3500</t>
  </si>
  <si>
    <t>D3500.1</t>
  </si>
  <si>
    <t>D4090</t>
  </si>
  <si>
    <t>D4090.1</t>
  </si>
  <si>
    <t>D4170</t>
  </si>
  <si>
    <t>D4170.1</t>
  </si>
  <si>
    <t>D4370</t>
  </si>
  <si>
    <t>D4370.1</t>
  </si>
  <si>
    <t>D4380</t>
  </si>
  <si>
    <t>D4380.1</t>
  </si>
  <si>
    <t>D4450</t>
  </si>
  <si>
    <t>D4450.1</t>
  </si>
  <si>
    <t>D4590</t>
  </si>
  <si>
    <t>D4590.1</t>
  </si>
  <si>
    <t>D4790</t>
  </si>
  <si>
    <t>D4790.1</t>
  </si>
  <si>
    <t>D4890</t>
  </si>
  <si>
    <t>D4890.1</t>
  </si>
  <si>
    <t>D4990</t>
  </si>
  <si>
    <t>D4990.1</t>
  </si>
  <si>
    <t>D6000</t>
  </si>
  <si>
    <t>RESULTADO DO DEPARTAMENTO DE SERVIÇO</t>
  </si>
  <si>
    <t>D6000.1</t>
  </si>
  <si>
    <t>F &amp; I</t>
  </si>
  <si>
    <t>VENDAS</t>
  </si>
  <si>
    <t>E1000</t>
  </si>
  <si>
    <t>COMISSÃO SOBRE VENDA DE COTAS DE CONSÓRCIO</t>
  </si>
  <si>
    <t>E1000.1</t>
  </si>
  <si>
    <t>E1010</t>
  </si>
  <si>
    <t>COMISSÃO SOBRE VENDAS DE SEGUROS</t>
  </si>
  <si>
    <t>E1010.1</t>
  </si>
  <si>
    <t>E1020</t>
  </si>
  <si>
    <t>COMISSÃO S/ SEGURO DE PROTEÇÃO FINANC. - FINANCIAMENTOS</t>
  </si>
  <si>
    <t>E1020.1</t>
  </si>
  <si>
    <t>E1030</t>
  </si>
  <si>
    <t>DESPACHANTE</t>
  </si>
  <si>
    <t>E1030.1</t>
  </si>
  <si>
    <t>E1040</t>
  </si>
  <si>
    <t>COMISSÃO SOBRE FINANCIAMENTOS</t>
  </si>
  <si>
    <t>E1040.1</t>
  </si>
  <si>
    <t>E1050</t>
  </si>
  <si>
    <t>BONIFICAÇÃO SOBRE FINANCIAMENTOS - ACORDO</t>
  </si>
  <si>
    <t>E1050.1</t>
  </si>
  <si>
    <t>E1090</t>
  </si>
  <si>
    <t>TOTAL DE RECEITA DE F &amp; I</t>
  </si>
  <si>
    <t>E1090.1</t>
  </si>
  <si>
    <t>E3100</t>
  </si>
  <si>
    <t>E3100.1</t>
  </si>
  <si>
    <t>E3110</t>
  </si>
  <si>
    <t>E3110.1</t>
  </si>
  <si>
    <t>E3120</t>
  </si>
  <si>
    <t>E3120.1</t>
  </si>
  <si>
    <t>E3190</t>
  </si>
  <si>
    <t>E3190.1</t>
  </si>
  <si>
    <t>E3500</t>
  </si>
  <si>
    <t>E3500.1</t>
  </si>
  <si>
    <t>DESPESAS FIXAS</t>
  </si>
  <si>
    <t>E4090</t>
  </si>
  <si>
    <t>E4090.1</t>
  </si>
  <si>
    <t>E4170</t>
  </si>
  <si>
    <t>E4170.1</t>
  </si>
  <si>
    <t>E4370</t>
  </si>
  <si>
    <t>E4370.1</t>
  </si>
  <si>
    <t>E4380</t>
  </si>
  <si>
    <t>E4380.1</t>
  </si>
  <si>
    <t>E4450</t>
  </si>
  <si>
    <t>E4450.1</t>
  </si>
  <si>
    <t>E4590</t>
  </si>
  <si>
    <t>E4590.1</t>
  </si>
  <si>
    <t>E4790</t>
  </si>
  <si>
    <t>E4790.1</t>
  </si>
  <si>
    <t>E4890</t>
  </si>
  <si>
    <t>E4890.1</t>
  </si>
  <si>
    <t>E4990</t>
  </si>
  <si>
    <t>E4990.1</t>
  </si>
  <si>
    <t>E6000</t>
  </si>
  <si>
    <t>RESULTADO DO DEPARTAMENTO DE F&amp;I</t>
  </si>
  <si>
    <t>E6000.1</t>
  </si>
  <si>
    <t>ADMIN</t>
  </si>
  <si>
    <t>DESPESAS DO ADMINISTRATIVO</t>
  </si>
  <si>
    <t>ANEW</t>
  </si>
  <si>
    <t>AUSED</t>
  </si>
  <si>
    <t>AF&amp;I</t>
  </si>
  <si>
    <t>APARTS</t>
  </si>
  <si>
    <t>ASERV</t>
  </si>
  <si>
    <t>AADM</t>
  </si>
  <si>
    <t>ATOT</t>
  </si>
  <si>
    <t>F4000</t>
  </si>
  <si>
    <t>SALÁRIOS, GRATIFICAÇÕES E OUTRAS REMUNERAÇÕES</t>
  </si>
  <si>
    <t>F4000.1</t>
  </si>
  <si>
    <t>F4000.2</t>
  </si>
  <si>
    <t>F4000.3</t>
  </si>
  <si>
    <t>F4000.4</t>
  </si>
  <si>
    <t>F4000.5</t>
  </si>
  <si>
    <t>F4000.6</t>
  </si>
  <si>
    <t>F4000.7</t>
  </si>
  <si>
    <t>F4010</t>
  </si>
  <si>
    <t>ENCARGOS SOCIAIS E BENEFÍCIOS (FGTS, PREV SOCIAL ETC)</t>
  </si>
  <si>
    <t>F4010.1</t>
  </si>
  <si>
    <t>F4010.2</t>
  </si>
  <si>
    <t>F4010.3</t>
  </si>
  <si>
    <t>F4010.4</t>
  </si>
  <si>
    <t>F4010.5</t>
  </si>
  <si>
    <t>F4010.6</t>
  </si>
  <si>
    <t>F4010.7</t>
  </si>
  <si>
    <t>F4020</t>
  </si>
  <si>
    <t>PROVISÕES PARA FÉRIAS E 13º SALÁRIO</t>
  </si>
  <si>
    <t>F4020.1</t>
  </si>
  <si>
    <t>F4020.2</t>
  </si>
  <si>
    <t>F4020.3</t>
  </si>
  <si>
    <t>F4020.4</t>
  </si>
  <si>
    <t>F4020.5</t>
  </si>
  <si>
    <t>F4020.6</t>
  </si>
  <si>
    <t>F4020.7</t>
  </si>
  <si>
    <t>F4030</t>
  </si>
  <si>
    <t>FUNDO DE APOSENTADORIA PROGR. INDIVIDUAL DE EMPREGADOS</t>
  </si>
  <si>
    <t>F4030.1</t>
  </si>
  <si>
    <t>F4030.2</t>
  </si>
  <si>
    <t>F4030.3</t>
  </si>
  <si>
    <t>F4030.4</t>
  </si>
  <si>
    <t>F4030.5</t>
  </si>
  <si>
    <t>F4030.6</t>
  </si>
  <si>
    <t>F4030.7</t>
  </si>
  <si>
    <t>F4040</t>
  </si>
  <si>
    <t>REMUNERAÇÃO A DIRIGENTES E A CONSELHO DE ADMINISTRAÇÃO</t>
  </si>
  <si>
    <t>F4040.1</t>
  </si>
  <si>
    <t>F4040.2</t>
  </si>
  <si>
    <t>F4040.3</t>
  </si>
  <si>
    <t>F4040.4</t>
  </si>
  <si>
    <t>F4040.5</t>
  </si>
  <si>
    <t>F4040.6</t>
  </si>
  <si>
    <t>F4040.7</t>
  </si>
  <si>
    <t>F4050</t>
  </si>
  <si>
    <t>FORMAÇÃO PROFISSIONAL</t>
  </si>
  <si>
    <t>F4050.1</t>
  </si>
  <si>
    <t>F4050.2</t>
  </si>
  <si>
    <t>F4050.3</t>
  </si>
  <si>
    <t>F4050.4</t>
  </si>
  <si>
    <t>F4050.5</t>
  </si>
  <si>
    <t>F4050.6</t>
  </si>
  <si>
    <t>F4050.7</t>
  </si>
  <si>
    <t>F4060</t>
  </si>
  <si>
    <t>ASSISTÊNCIA MÉDICA, ODONTOLÓGICA E FARMACÊUTICA</t>
  </si>
  <si>
    <t>F4060.1</t>
  </si>
  <si>
    <t>F4060.2</t>
  </si>
  <si>
    <t>F4060.3</t>
  </si>
  <si>
    <t>F4060.4</t>
  </si>
  <si>
    <t>F4060.5</t>
  </si>
  <si>
    <t>F4060.6</t>
  </si>
  <si>
    <t>F4060.7</t>
  </si>
  <si>
    <t>F4070</t>
  </si>
  <si>
    <t>ALIMENTAÇÃO</t>
  </si>
  <si>
    <t>F4070.1</t>
  </si>
  <si>
    <t>F4070.2</t>
  </si>
  <si>
    <t>F4070.3</t>
  </si>
  <si>
    <t>F4070.4</t>
  </si>
  <si>
    <t>F4070.5</t>
  </si>
  <si>
    <t>F4070.6</t>
  </si>
  <si>
    <t>F4070.7</t>
  </si>
  <si>
    <t>F4080</t>
  </si>
  <si>
    <t>OUTROS GASTOS COM PESSOAL (VIAGENS, TRANSPORTE ETC)</t>
  </si>
  <si>
    <t>F4080.1</t>
  </si>
  <si>
    <t>F4080.2</t>
  </si>
  <si>
    <t>F4080.3</t>
  </si>
  <si>
    <t>F4080.4</t>
  </si>
  <si>
    <t>F4080.5</t>
  </si>
  <si>
    <t>F4080.6</t>
  </si>
  <si>
    <t>F4080.7</t>
  </si>
  <si>
    <t>F4090</t>
  </si>
  <si>
    <t>F4090.1</t>
  </si>
  <si>
    <t>F4090.2</t>
  </si>
  <si>
    <t>F4090.3</t>
  </si>
  <si>
    <t>F4090.4</t>
  </si>
  <si>
    <t>F4090.5</t>
  </si>
  <si>
    <t>F4090.6</t>
  </si>
  <si>
    <t>F4090.7</t>
  </si>
  <si>
    <t>F4100</t>
  </si>
  <si>
    <t>ÁGUA E ENERGIA ELÉTRICA</t>
  </si>
  <si>
    <t>F4100.1</t>
  </si>
  <si>
    <t>F4100.2</t>
  </si>
  <si>
    <t>F4100.3</t>
  </si>
  <si>
    <t>F4100.4</t>
  </si>
  <si>
    <t>F4100.5</t>
  </si>
  <si>
    <t>F4100.6</t>
  </si>
  <si>
    <t>F4100.7</t>
  </si>
  <si>
    <t>F4110</t>
  </si>
  <si>
    <t>ALUGUÉIS E IMPOSTOS</t>
  </si>
  <si>
    <t>F4110.1</t>
  </si>
  <si>
    <t>F4110.2</t>
  </si>
  <si>
    <t>F4110.3</t>
  </si>
  <si>
    <t>F4110.4</t>
  </si>
  <si>
    <t>F4110.5</t>
  </si>
  <si>
    <t>F4110.6</t>
  </si>
  <si>
    <t>F4110.7</t>
  </si>
  <si>
    <t>F4120</t>
  </si>
  <si>
    <t xml:space="preserve">CONSERVAÇÃO DE PRÉDIOS, MÁQUINAS E MÓVEIS </t>
  </si>
  <si>
    <t>F4120.1</t>
  </si>
  <si>
    <t>F4120.2</t>
  </si>
  <si>
    <t>F4120.3</t>
  </si>
  <si>
    <t>F4120.4</t>
  </si>
  <si>
    <t>F4120.5</t>
  </si>
  <si>
    <t>F4120.6</t>
  </si>
  <si>
    <t>F4120.7</t>
  </si>
  <si>
    <t>F4130</t>
  </si>
  <si>
    <t>VIGILÂNCIA PATRIMONIAL</t>
  </si>
  <si>
    <t>F4130.1</t>
  </si>
  <si>
    <t>F4130.2</t>
  </si>
  <si>
    <t>F4130.3</t>
  </si>
  <si>
    <t>F4130.4</t>
  </si>
  <si>
    <t>F4130.5</t>
  </si>
  <si>
    <t>F4130.6</t>
  </si>
  <si>
    <t>F4130.7</t>
  </si>
  <si>
    <t>F4140</t>
  </si>
  <si>
    <t>DEPRECIAÇÕES E AMORTIZAÇÕES</t>
  </si>
  <si>
    <t>F4140.1</t>
  </si>
  <si>
    <t>F4140.2</t>
  </si>
  <si>
    <t>F4140.3</t>
  </si>
  <si>
    <t>F4140.4</t>
  </si>
  <si>
    <t>F4140.5</t>
  </si>
  <si>
    <t>F4140.6</t>
  </si>
  <si>
    <t>F4140.7</t>
  </si>
  <si>
    <t>F4150</t>
  </si>
  <si>
    <t>SEGUROS</t>
  </si>
  <si>
    <t>F4150.1</t>
  </si>
  <si>
    <t>F4150.2</t>
  </si>
  <si>
    <t>F4150.3</t>
  </si>
  <si>
    <t>F4150.4</t>
  </si>
  <si>
    <t>F4150.5</t>
  </si>
  <si>
    <t>F4150.6</t>
  </si>
  <si>
    <t>F4150.7</t>
  </si>
  <si>
    <t>F4160</t>
  </si>
  <si>
    <t>OUTROS GASTOS COM ESTRUTURA</t>
  </si>
  <si>
    <t>F4160.1</t>
  </si>
  <si>
    <t>F4160.2</t>
  </si>
  <si>
    <t>F4160.3</t>
  </si>
  <si>
    <t>F4160.4</t>
  </si>
  <si>
    <t>F4160.5</t>
  </si>
  <si>
    <t>F4160.6</t>
  </si>
  <si>
    <t>F4160.7</t>
  </si>
  <si>
    <t>F4170</t>
  </si>
  <si>
    <t>F4170.1</t>
  </si>
  <si>
    <t>F4170.2</t>
  </si>
  <si>
    <t>F4170.3</t>
  </si>
  <si>
    <t>F4170.4</t>
  </si>
  <si>
    <t>F4170.5</t>
  </si>
  <si>
    <t>F4170.6</t>
  </si>
  <si>
    <t>F4170.7</t>
  </si>
  <si>
    <t>F4180</t>
  </si>
  <si>
    <t xml:space="preserve">ADVOGADO </t>
  </si>
  <si>
    <t>F4180.1</t>
  </si>
  <si>
    <t>F4180.2</t>
  </si>
  <si>
    <t>F4180.3</t>
  </si>
  <si>
    <t>F4180.4</t>
  </si>
  <si>
    <t>F4180.5</t>
  </si>
  <si>
    <t>F4180.6</t>
  </si>
  <si>
    <t>F4180.7</t>
  </si>
  <si>
    <t>F4190</t>
  </si>
  <si>
    <t>CONTADOR</t>
  </si>
  <si>
    <t>F4190.1</t>
  </si>
  <si>
    <t>F4190.2</t>
  </si>
  <si>
    <t>F4190.3</t>
  </si>
  <si>
    <t>F4190.4</t>
  </si>
  <si>
    <t>F4190.5</t>
  </si>
  <si>
    <t>F4190.6</t>
  </si>
  <si>
    <t>F4190.7</t>
  </si>
  <si>
    <t>F4200</t>
  </si>
  <si>
    <t>DESPESAS LEGAIS</t>
  </si>
  <si>
    <t>F4200.1</t>
  </si>
  <si>
    <t>F4200.2</t>
  </si>
  <si>
    <t>F4200.3</t>
  </si>
  <si>
    <t>F4200.4</t>
  </si>
  <si>
    <t>F4200.5</t>
  </si>
  <si>
    <t>F4200.6</t>
  </si>
  <si>
    <t>F4200.7</t>
  </si>
  <si>
    <t>F4210</t>
  </si>
  <si>
    <t xml:space="preserve">DESPACHANTE </t>
  </si>
  <si>
    <t>F4210.1</t>
  </si>
  <si>
    <t>F4210.2</t>
  </si>
  <si>
    <t>F4210.3</t>
  </si>
  <si>
    <t>F4210.4</t>
  </si>
  <si>
    <t>F4210.5</t>
  </si>
  <si>
    <t>F4210.6</t>
  </si>
  <si>
    <t>F4210.7</t>
  </si>
  <si>
    <t>F4220</t>
  </si>
  <si>
    <t>INFORMÁTICA, TELEFONE E INTERNET</t>
  </si>
  <si>
    <t>F4220.1</t>
  </si>
  <si>
    <t>F4220.2</t>
  </si>
  <si>
    <t>F4220.3</t>
  </si>
  <si>
    <t>F4220.4</t>
  </si>
  <si>
    <t>F4220.5</t>
  </si>
  <si>
    <t>F4220.6</t>
  </si>
  <si>
    <t>F4220.7</t>
  </si>
  <si>
    <t>F4230</t>
  </si>
  <si>
    <t>MATERIAIS DE CONSUMO</t>
  </si>
  <si>
    <t>F4230.1</t>
  </si>
  <si>
    <t>F4230.2</t>
  </si>
  <si>
    <t>F4230.3</t>
  </si>
  <si>
    <t>F4230.4</t>
  </si>
  <si>
    <t>F4230.5</t>
  </si>
  <si>
    <t>F4230.6</t>
  </si>
  <si>
    <t>F4230.7</t>
  </si>
  <si>
    <t>F4240</t>
  </si>
  <si>
    <t>MULTAS</t>
  </si>
  <si>
    <t>F4240.1</t>
  </si>
  <si>
    <t>F4240.2</t>
  </si>
  <si>
    <t>F4240.3</t>
  </si>
  <si>
    <t>F4240.4</t>
  </si>
  <si>
    <t>F4240.5</t>
  </si>
  <si>
    <t>F4240.6</t>
  </si>
  <si>
    <t>F4240.7</t>
  </si>
  <si>
    <t>F4250</t>
  </si>
  <si>
    <t>FRETES</t>
  </si>
  <si>
    <t>F4250.1</t>
  </si>
  <si>
    <t>F4250.2</t>
  </si>
  <si>
    <t>F4250.3</t>
  </si>
  <si>
    <t>F4250.4</t>
  </si>
  <si>
    <t>F4250.5</t>
  </si>
  <si>
    <t>F4250.6</t>
  </si>
  <si>
    <t>F4250.7</t>
  </si>
  <si>
    <t>F4260</t>
  </si>
  <si>
    <t>PROPAGANDA E PUBLICIDADE</t>
  </si>
  <si>
    <t>F4260.1</t>
  </si>
  <si>
    <t>F4260.2</t>
  </si>
  <si>
    <t>F4260.3</t>
  </si>
  <si>
    <t>F4260.4</t>
  </si>
  <si>
    <t>F4260.5</t>
  </si>
  <si>
    <t>F4260.6</t>
  </si>
  <si>
    <t>F4260.7</t>
  </si>
  <si>
    <t>F4270</t>
  </si>
  <si>
    <t>IMPOSTOS, TAXAS E CONTRIBUIÇÕES(EXCETO IRPJ E CSLL)</t>
  </si>
  <si>
    <t>F4270.1</t>
  </si>
  <si>
    <t>F4270.2</t>
  </si>
  <si>
    <t>F4270.3</t>
  </si>
  <si>
    <t>F4270.4</t>
  </si>
  <si>
    <t>F4270.5</t>
  </si>
  <si>
    <t>F4270.6</t>
  </si>
  <si>
    <t>F4270.7</t>
  </si>
  <si>
    <t>F4280</t>
  </si>
  <si>
    <t>SEGUROS DE VEÍCULOS</t>
  </si>
  <si>
    <t>F4280.1</t>
  </si>
  <si>
    <t>F4280.2</t>
  </si>
  <si>
    <t>F4280.3</t>
  </si>
  <si>
    <t>F4280.4</t>
  </si>
  <si>
    <t>F4280.5</t>
  </si>
  <si>
    <t>F4280.6</t>
  </si>
  <si>
    <t>F4280.7</t>
  </si>
  <si>
    <t>F4290</t>
  </si>
  <si>
    <t>DESPESAS COM VEÍCULOS (CONSERVAÇÃO, USO E REPAROS)</t>
  </si>
  <si>
    <t>F4290.1</t>
  </si>
  <si>
    <t>F4290.2</t>
  </si>
  <si>
    <t>F4290.3</t>
  </si>
  <si>
    <t>F4290.4</t>
  </si>
  <si>
    <t>F4290.5</t>
  </si>
  <si>
    <t>F4290.6</t>
  </si>
  <si>
    <t>F4290.7</t>
  </si>
  <si>
    <t>F4300</t>
  </si>
  <si>
    <t>PRESTAÇÃO DE SERVIÇOS DE P.F. SEM VÍNC. EMPREGATÍCIO</t>
  </si>
  <si>
    <t>F4300.1</t>
  </si>
  <si>
    <t>F4300.2</t>
  </si>
  <si>
    <t>F4300.3</t>
  </si>
  <si>
    <t>F4300.4</t>
  </si>
  <si>
    <t>F4300.5</t>
  </si>
  <si>
    <t>F4300.6</t>
  </si>
  <si>
    <t>F4300.7</t>
  </si>
  <si>
    <t>F4310</t>
  </si>
  <si>
    <t>PRESTAÇÃO DE SERVIÇOS PESSOA JURÍDICA</t>
  </si>
  <si>
    <t>F4310.1</t>
  </si>
  <si>
    <t>F4310.2</t>
  </si>
  <si>
    <t>F4310.3</t>
  </si>
  <si>
    <t>F4310.4</t>
  </si>
  <si>
    <t>F4310.5</t>
  </si>
  <si>
    <t>F4310.6</t>
  </si>
  <si>
    <t>F4310.7</t>
  </si>
  <si>
    <t>F4320</t>
  </si>
  <si>
    <t>CORTESIAS COMERCIAIS</t>
  </si>
  <si>
    <t>F4320.1</t>
  </si>
  <si>
    <t>F4320.2</t>
  </si>
  <si>
    <t>F4320.3</t>
  </si>
  <si>
    <t>F4320.4</t>
  </si>
  <si>
    <t>F4320.5</t>
  </si>
  <si>
    <t>F4320.6</t>
  </si>
  <si>
    <t>F4320.7</t>
  </si>
  <si>
    <t>F4330</t>
  </si>
  <si>
    <t>CONTRIBUIÇÕES E DOAÇÕES</t>
  </si>
  <si>
    <t>F4330.1</t>
  </si>
  <si>
    <t>F4330.2</t>
  </si>
  <si>
    <t>F4330.3</t>
  </si>
  <si>
    <t>F4330.4</t>
  </si>
  <si>
    <t>F4330.5</t>
  </si>
  <si>
    <t>F4330.6</t>
  </si>
  <si>
    <t>F4330.7</t>
  </si>
  <si>
    <t>F4340</t>
  </si>
  <si>
    <t>PERDAS EM OPERAÇÕES DE CRÉDITO</t>
  </si>
  <si>
    <t>F4340.1</t>
  </si>
  <si>
    <t>F4340.2</t>
  </si>
  <si>
    <t>F4340.3</t>
  </si>
  <si>
    <t>F4340.4</t>
  </si>
  <si>
    <t>F4340.5</t>
  </si>
  <si>
    <t>F4340.6</t>
  </si>
  <si>
    <t>F4340.7</t>
  </si>
  <si>
    <t>F4350</t>
  </si>
  <si>
    <t>PERDAS DE ESTOQUE</t>
  </si>
  <si>
    <t>F4350.1</t>
  </si>
  <si>
    <t>F4350.2</t>
  </si>
  <si>
    <t>F4350.3</t>
  </si>
  <si>
    <t>F4350.4</t>
  </si>
  <si>
    <t>F4350.5</t>
  </si>
  <si>
    <t>F4350.6</t>
  </si>
  <si>
    <t>F4350.7</t>
  </si>
  <si>
    <t>F4360</t>
  </si>
  <si>
    <t>OUTRAS DESPESAS GERAIS</t>
  </si>
  <si>
    <t>F4360.1</t>
  </si>
  <si>
    <t>F4360.2</t>
  </si>
  <si>
    <t>F4360.3</t>
  </si>
  <si>
    <t>F4360.4</t>
  </si>
  <si>
    <t>F4360.5</t>
  </si>
  <si>
    <t>F4360.6</t>
  </si>
  <si>
    <t>F4360.7</t>
  </si>
  <si>
    <t>F4370</t>
  </si>
  <si>
    <t>F4370.1</t>
  </si>
  <si>
    <t>F4370.2</t>
  </si>
  <si>
    <t>F4370.3</t>
  </si>
  <si>
    <t>F4370.4</t>
  </si>
  <si>
    <t>F4370.5</t>
  </si>
  <si>
    <t>F4370.6</t>
  </si>
  <si>
    <t>F4370.7</t>
  </si>
  <si>
    <t>F4375</t>
  </si>
  <si>
    <t>RECUPERAÇÃO DE DESPESAS (D)</t>
  </si>
  <si>
    <t>F4375.1</t>
  </si>
  <si>
    <t>F4375.2</t>
  </si>
  <si>
    <t>F4375.3</t>
  </si>
  <si>
    <t>F4375.4</t>
  </si>
  <si>
    <t>F4375.5</t>
  </si>
  <si>
    <t>F4375.6</t>
  </si>
  <si>
    <t>F4375.7</t>
  </si>
  <si>
    <t>F4380</t>
  </si>
  <si>
    <t>TOTAL DE DESPESAS OPERACIONAIS (A + B + C - D)</t>
  </si>
  <si>
    <t>F4380.1</t>
  </si>
  <si>
    <t>F4380.2</t>
  </si>
  <si>
    <t>F4380.3</t>
  </si>
  <si>
    <t>F4380.4</t>
  </si>
  <si>
    <t>F4380.5</t>
  </si>
  <si>
    <t>F4380.6</t>
  </si>
  <si>
    <t>F4380.7</t>
  </si>
  <si>
    <t>DESPESAS NÃO-OPERACIONAIS</t>
  </si>
  <si>
    <t>F4500</t>
  </si>
  <si>
    <t>DOAÇÕES A ENTIDADES CIVIS</t>
  </si>
  <si>
    <t>F4500.1</t>
  </si>
  <si>
    <t>F4500.2</t>
  </si>
  <si>
    <t>F4500.3</t>
  </si>
  <si>
    <t>F4500.4</t>
  </si>
  <si>
    <t>F4500.5</t>
  </si>
  <si>
    <t>F4500.6</t>
  </si>
  <si>
    <t>F4500.7</t>
  </si>
  <si>
    <t>F4510</t>
  </si>
  <si>
    <t>DOAÇÕES INSTIT. ENSINO E PESQUISA (LEI 9249/1995)</t>
  </si>
  <si>
    <t>F4510.1</t>
  </si>
  <si>
    <t>F4510.2</t>
  </si>
  <si>
    <t>F4510.3</t>
  </si>
  <si>
    <t>F4510.4</t>
  </si>
  <si>
    <t>F4510.5</t>
  </si>
  <si>
    <t>F4510.6</t>
  </si>
  <si>
    <t>F4510.7</t>
  </si>
  <si>
    <t>F4520</t>
  </si>
  <si>
    <t>DOAÇÕES A PATROC. DE CARÁTER CULT. E ARTÍST. (LEI 8313)</t>
  </si>
  <si>
    <t>F4520.1</t>
  </si>
  <si>
    <t>F4520.2</t>
  </si>
  <si>
    <t>F4520.3</t>
  </si>
  <si>
    <t>F4520.4</t>
  </si>
  <si>
    <t>F4520.5</t>
  </si>
  <si>
    <t>F4520.6</t>
  </si>
  <si>
    <t>F4520.7</t>
  </si>
  <si>
    <t>F4530</t>
  </si>
  <si>
    <t>OUTRAS DESPESAS NÃO-OPERACIONAIS</t>
  </si>
  <si>
    <t>F4530.1</t>
  </si>
  <si>
    <t>F4530.2</t>
  </si>
  <si>
    <t>F4530.3</t>
  </si>
  <si>
    <t>F4530.4</t>
  </si>
  <si>
    <t>F4530.5</t>
  </si>
  <si>
    <t>F4530.6</t>
  </si>
  <si>
    <t>F4530.7</t>
  </si>
  <si>
    <t>F4590</t>
  </si>
  <si>
    <t>F4590.1</t>
  </si>
  <si>
    <t>F4590.2</t>
  </si>
  <si>
    <t>F4590.3</t>
  </si>
  <si>
    <t>F4590.4</t>
  </si>
  <si>
    <t>F4590.5</t>
  </si>
  <si>
    <t>F4590.6</t>
  </si>
  <si>
    <t>F4590.7</t>
  </si>
  <si>
    <t>DESPESAS FINANCEIRAS</t>
  </si>
  <si>
    <t>F4600</t>
  </si>
  <si>
    <t>IOF</t>
  </si>
  <si>
    <t>F4600.1</t>
  </si>
  <si>
    <t>F4600.2</t>
  </si>
  <si>
    <t>F4600.3</t>
  </si>
  <si>
    <t>F4600.4</t>
  </si>
  <si>
    <t>F4600.5</t>
  </si>
  <si>
    <t>F4600.6</t>
  </si>
  <si>
    <t>F4600.7</t>
  </si>
  <si>
    <t>F4610</t>
  </si>
  <si>
    <t>JUROS LINHA DE CRÉDITO BANCO YAMAHA</t>
  </si>
  <si>
    <t>F4610.1</t>
  </si>
  <si>
    <t>F4610.2</t>
  </si>
  <si>
    <t>F4610.7</t>
  </si>
  <si>
    <t>F4620</t>
  </si>
  <si>
    <t>JUROS PASSIVOS</t>
  </si>
  <si>
    <t>F4620.1</t>
  </si>
  <si>
    <t>F4620.2</t>
  </si>
  <si>
    <t>F4620.3</t>
  </si>
  <si>
    <t>F4620.4</t>
  </si>
  <si>
    <t>F4620.5</t>
  </si>
  <si>
    <t>F4620.6</t>
  </si>
  <si>
    <t>F4620.7</t>
  </si>
  <si>
    <t>F4630</t>
  </si>
  <si>
    <t>F4630.1</t>
  </si>
  <si>
    <t>F4630.2</t>
  </si>
  <si>
    <t>F4630.3</t>
  </si>
  <si>
    <t>F4630.4</t>
  </si>
  <si>
    <t>F4630.5</t>
  </si>
  <si>
    <t>F4630.6</t>
  </si>
  <si>
    <t>F4630.7</t>
  </si>
  <si>
    <t>F4640</t>
  </si>
  <si>
    <t>DESCONTOS CONCEDIDOS</t>
  </si>
  <si>
    <t>F4640.1</t>
  </si>
  <si>
    <t>F4640.2</t>
  </si>
  <si>
    <t>F4640.3</t>
  </si>
  <si>
    <t>F4640.4</t>
  </si>
  <si>
    <t>F4640.5</t>
  </si>
  <si>
    <t>F4640.6</t>
  </si>
  <si>
    <t>F4640.7</t>
  </si>
  <si>
    <t>F4650</t>
  </si>
  <si>
    <t>MULTAS E ENCARGOS FINANCEIROS</t>
  </si>
  <si>
    <t>F4650.1</t>
  </si>
  <si>
    <t>F4650.2</t>
  </si>
  <si>
    <t>F4650.4</t>
  </si>
  <si>
    <t>F4650.5</t>
  </si>
  <si>
    <t>F4650.6</t>
  </si>
  <si>
    <t>F4650.7</t>
  </si>
  <si>
    <t>F4660</t>
  </si>
  <si>
    <t>TARIFA BANCÁRIA</t>
  </si>
  <si>
    <t>F4660.1</t>
  </si>
  <si>
    <t>F4660.2</t>
  </si>
  <si>
    <t>F4660.3</t>
  </si>
  <si>
    <t>F4660.4</t>
  </si>
  <si>
    <t>F4660.5</t>
  </si>
  <si>
    <t>F4660.6</t>
  </si>
  <si>
    <t>F4660.7</t>
  </si>
  <si>
    <t>F4670</t>
  </si>
  <si>
    <t>DESPESAS COM CARTÃO DE CRÉDITO</t>
  </si>
  <si>
    <t>F4670.1</t>
  </si>
  <si>
    <t>F4670.2</t>
  </si>
  <si>
    <t>F4670.3</t>
  </si>
  <si>
    <t>F4670.4</t>
  </si>
  <si>
    <t>F4670.5</t>
  </si>
  <si>
    <t>F4670.6</t>
  </si>
  <si>
    <t>F4670.7</t>
  </si>
  <si>
    <t>F4790</t>
  </si>
  <si>
    <t>F4790.1</t>
  </si>
  <si>
    <t>F4790.2</t>
  </si>
  <si>
    <t>F4790.3</t>
  </si>
  <si>
    <t>F4790.4</t>
  </si>
  <si>
    <t>F4790.5</t>
  </si>
  <si>
    <t>F4790.6</t>
  </si>
  <si>
    <t>F4790.7</t>
  </si>
  <si>
    <t>RECEITAS NÃO-OPERACIONAIS</t>
  </si>
  <si>
    <t>F4800</t>
  </si>
  <si>
    <t>RECEITAS DIVERSAS</t>
  </si>
  <si>
    <t>F4800.1</t>
  </si>
  <si>
    <t>F4800.2</t>
  </si>
  <si>
    <t>F4800.3</t>
  </si>
  <si>
    <t>F4800.4</t>
  </si>
  <si>
    <t>F4800.5</t>
  </si>
  <si>
    <t>F4800.6</t>
  </si>
  <si>
    <t>F4800.7</t>
  </si>
  <si>
    <t>F4810</t>
  </si>
  <si>
    <t>REEMBOLSO DE EMPLACAMENTOS</t>
  </si>
  <si>
    <t>F4810.1</t>
  </si>
  <si>
    <t>F4810.2</t>
  </si>
  <si>
    <t>F4810.7</t>
  </si>
  <si>
    <t>F4820</t>
  </si>
  <si>
    <t>RECEITAS COM ALIENAÇÃO DE BENS</t>
  </si>
  <si>
    <t>F4820.1</t>
  </si>
  <si>
    <t>F4820.2</t>
  </si>
  <si>
    <t>F4820.3</t>
  </si>
  <si>
    <t>F4820.4</t>
  </si>
  <si>
    <t>F4820.5</t>
  </si>
  <si>
    <t>F4820.6</t>
  </si>
  <si>
    <t>F4820.7</t>
  </si>
  <si>
    <t>F4890</t>
  </si>
  <si>
    <t>F4890.1</t>
  </si>
  <si>
    <t>F4890.2</t>
  </si>
  <si>
    <t>F4890.3</t>
  </si>
  <si>
    <t>F4890.4</t>
  </si>
  <si>
    <t>F4890.5</t>
  </si>
  <si>
    <t>F4890.6</t>
  </si>
  <si>
    <t>F4890.7</t>
  </si>
  <si>
    <t>RECEITAS FINANCEIRAS</t>
  </si>
  <si>
    <t>F4900</t>
  </si>
  <si>
    <t>RENDIMENTO SOBRE APLICAÇÕES</t>
  </si>
  <si>
    <t>F4900.1</t>
  </si>
  <si>
    <t>F4900.2</t>
  </si>
  <si>
    <t>F4900.3</t>
  </si>
  <si>
    <t>F4900.4</t>
  </si>
  <si>
    <t>F4900.5</t>
  </si>
  <si>
    <t>F4900.6</t>
  </si>
  <si>
    <t>F4900.7</t>
  </si>
  <si>
    <t>F4910</t>
  </si>
  <si>
    <t>DESCONTOS OBTIDOS</t>
  </si>
  <si>
    <t>F4910.1</t>
  </si>
  <si>
    <t>F4910.2</t>
  </si>
  <si>
    <t>F4910.3</t>
  </si>
  <si>
    <t>F4910.4</t>
  </si>
  <si>
    <t>F4910.5</t>
  </si>
  <si>
    <t>F4910.6</t>
  </si>
  <si>
    <t>F4910.7</t>
  </si>
  <si>
    <t>F4920</t>
  </si>
  <si>
    <t>COMISSÕES / BONIFICAÇÕES DIVERSAS</t>
  </si>
  <si>
    <t>F4920.1</t>
  </si>
  <si>
    <t>F4920.2</t>
  </si>
  <si>
    <t>F4920.7</t>
  </si>
  <si>
    <t>F4990</t>
  </si>
  <si>
    <t>F4990.1</t>
  </si>
  <si>
    <t>F4990.2</t>
  </si>
  <si>
    <t>F4990.3</t>
  </si>
  <si>
    <t>F4990.4</t>
  </si>
  <si>
    <t>F4990.5</t>
  </si>
  <si>
    <t>F4990.6</t>
  </si>
  <si>
    <t>F4990.7</t>
  </si>
  <si>
    <t>RESULTADO ANTES DO IRPJ/CSLL</t>
  </si>
  <si>
    <t>F6000</t>
  </si>
  <si>
    <t>F6000.1</t>
  </si>
  <si>
    <t>F6000.2</t>
  </si>
  <si>
    <t>F6000.3</t>
  </si>
  <si>
    <t>F6000.4</t>
  </si>
  <si>
    <t>F6000.5</t>
  </si>
  <si>
    <t>F6000.6</t>
  </si>
  <si>
    <t>F6000.7</t>
  </si>
  <si>
    <t>ESTATÍSTICA DE PESSOAL - NÚMERO DE FUNCIONÁRIOS</t>
  </si>
  <si>
    <t>NNEW</t>
  </si>
  <si>
    <t>NUSED</t>
  </si>
  <si>
    <t>NF&amp;I</t>
  </si>
  <si>
    <t>NPARTS</t>
  </si>
  <si>
    <t>NSERV</t>
  </si>
  <si>
    <t>NADM</t>
  </si>
  <si>
    <t>NTOT</t>
  </si>
  <si>
    <t>F7000</t>
  </si>
  <si>
    <t>GERENTES</t>
  </si>
  <si>
    <t>F7000.1</t>
  </si>
  <si>
    <t>F7000.2</t>
  </si>
  <si>
    <t>F7000.3</t>
  </si>
  <si>
    <t>F7000.4</t>
  </si>
  <si>
    <t>F7000.5</t>
  </si>
  <si>
    <t>F7000.6</t>
  </si>
  <si>
    <t>F7000.7</t>
  </si>
  <si>
    <t>F7010</t>
  </si>
  <si>
    <t>SUPERVISOR</t>
  </si>
  <si>
    <t>F7010.1</t>
  </si>
  <si>
    <t>F7010.2</t>
  </si>
  <si>
    <t>F7010.3</t>
  </si>
  <si>
    <t>F7010.4</t>
  </si>
  <si>
    <t>F7010.5</t>
  </si>
  <si>
    <t>F7010.6</t>
  </si>
  <si>
    <t>F7010.7</t>
  </si>
  <si>
    <t>F7020</t>
  </si>
  <si>
    <t>VENDEDORES EXTERNOS</t>
  </si>
  <si>
    <t>F7020.1</t>
  </si>
  <si>
    <t>F7020.2</t>
  </si>
  <si>
    <t>F7020.3</t>
  </si>
  <si>
    <t>F7020.4</t>
  </si>
  <si>
    <t>F7020.5</t>
  </si>
  <si>
    <t>F7020.6</t>
  </si>
  <si>
    <t>F7020.7</t>
  </si>
  <si>
    <t>F7030</t>
  </si>
  <si>
    <t>VENDEDORES INTERNOS</t>
  </si>
  <si>
    <t>F7030.1</t>
  </si>
  <si>
    <t>F7030.2</t>
  </si>
  <si>
    <t>F7030.3</t>
  </si>
  <si>
    <t>F7030.4</t>
  </si>
  <si>
    <t>F7030.5</t>
  </si>
  <si>
    <t>F7030.6</t>
  </si>
  <si>
    <t>F7030.7</t>
  </si>
  <si>
    <t>F7040</t>
  </si>
  <si>
    <t>ADMINISTRATIVOS</t>
  </si>
  <si>
    <t>F7040.1</t>
  </si>
  <si>
    <t>F7040.2</t>
  </si>
  <si>
    <t>F7040.3</t>
  </si>
  <si>
    <t>F7040.4</t>
  </si>
  <si>
    <t>F7040.5</t>
  </si>
  <si>
    <t>F7040.6</t>
  </si>
  <si>
    <t>F7040.7</t>
  </si>
  <si>
    <t>F7050</t>
  </si>
  <si>
    <t>RECEPCIONISTA</t>
  </si>
  <si>
    <t>F7050.1</t>
  </si>
  <si>
    <t>F7050.2</t>
  </si>
  <si>
    <t>F7050.3</t>
  </si>
  <si>
    <t>F7050.4</t>
  </si>
  <si>
    <t>F7050.5</t>
  </si>
  <si>
    <t>F7050.6</t>
  </si>
  <si>
    <t>F7050.7</t>
  </si>
  <si>
    <t>F7060</t>
  </si>
  <si>
    <t>MECANICOS</t>
  </si>
  <si>
    <t>F7060.1</t>
  </si>
  <si>
    <t>F7060.2</t>
  </si>
  <si>
    <t>F7060.3</t>
  </si>
  <si>
    <t>F7060.4</t>
  </si>
  <si>
    <t>F7060.5</t>
  </si>
  <si>
    <t>F7060.6</t>
  </si>
  <si>
    <t>F7060.7</t>
  </si>
  <si>
    <t>F7090</t>
  </si>
  <si>
    <t>TOTAL DE NÚMERO DE FUNCIONÁRIOS</t>
  </si>
  <si>
    <t>F7090.1</t>
  </si>
  <si>
    <t>F7090.2</t>
  </si>
  <si>
    <t>F7090.3</t>
  </si>
  <si>
    <t>F7090.4</t>
  </si>
  <si>
    <t>F7090.5</t>
  </si>
  <si>
    <t>F7090.6</t>
  </si>
  <si>
    <t>F7090.7</t>
  </si>
  <si>
    <t>ÁREAS UTILIZADAS ( M2 )</t>
  </si>
  <si>
    <t>F8000</t>
  </si>
  <si>
    <t>ÁREA DE VENDAS</t>
  </si>
  <si>
    <t>F8000.1</t>
  </si>
  <si>
    <t>F8000.2</t>
  </si>
  <si>
    <t>F8000.3</t>
  </si>
  <si>
    <t>F8000.4</t>
  </si>
  <si>
    <t>F8000.5</t>
  </si>
  <si>
    <t>F8000.7</t>
  </si>
  <si>
    <t>F8010</t>
  </si>
  <si>
    <t>ÁREA DE OFICINA</t>
  </si>
  <si>
    <t>F8010.5</t>
  </si>
  <si>
    <t>F8010.7</t>
  </si>
  <si>
    <t>F8020</t>
  </si>
  <si>
    <t>ÁREA DE PEÇAS E ACESSÓRIOS</t>
  </si>
  <si>
    <t>F8020.4</t>
  </si>
  <si>
    <t>F8020.7</t>
  </si>
  <si>
    <t>F8030</t>
  </si>
  <si>
    <t>ÁREA DE ADMINISTRAÇÃO</t>
  </si>
  <si>
    <t>F8030.6</t>
  </si>
  <si>
    <t>F8030.7</t>
  </si>
  <si>
    <t>F8090</t>
  </si>
  <si>
    <t>TOTAL DA ÁREAS UTILIZADAS ( M2 )</t>
  </si>
  <si>
    <t>F8090.1</t>
  </si>
  <si>
    <t>F8090.2</t>
  </si>
  <si>
    <t>F8090.3</t>
  </si>
  <si>
    <t>F8090.4</t>
  </si>
  <si>
    <t>F8090.5</t>
  </si>
  <si>
    <t>F8090.6</t>
  </si>
  <si>
    <t>F8090.7</t>
  </si>
  <si>
    <t>Balance Sheet</t>
  </si>
  <si>
    <t>ATIVO</t>
  </si>
  <si>
    <t>G10000</t>
  </si>
  <si>
    <t>CAIXA</t>
  </si>
  <si>
    <t>G10000.1</t>
  </si>
  <si>
    <t>G10010</t>
  </si>
  <si>
    <t>BANCOS</t>
  </si>
  <si>
    <t>G10010.1</t>
  </si>
  <si>
    <t>G10020</t>
  </si>
  <si>
    <t>CONTA CORRENTE</t>
  </si>
  <si>
    <t>G10020.1</t>
  </si>
  <si>
    <t>G10030</t>
  </si>
  <si>
    <t>INVESTIMENTOS / APLICAÇÕES</t>
  </si>
  <si>
    <t>G10030.1</t>
  </si>
  <si>
    <t>G10040</t>
  </si>
  <si>
    <t>TOTAL DE CAIXA E BANCOS</t>
  </si>
  <si>
    <t>G10040.1</t>
  </si>
  <si>
    <t>G10050</t>
  </si>
  <si>
    <t>DUPLICATAS A RECEBER</t>
  </si>
  <si>
    <t>G10050.1</t>
  </si>
  <si>
    <t>G10060</t>
  </si>
  <si>
    <t>CHEQUES EM COBRANÇA</t>
  </si>
  <si>
    <t>G10060.1</t>
  </si>
  <si>
    <t>G10070</t>
  </si>
  <si>
    <t>CLIENTES DIVERSOS</t>
  </si>
  <si>
    <t>G10070.1</t>
  </si>
  <si>
    <t>G10080</t>
  </si>
  <si>
    <t>CARTÕES DE CRÉDITO</t>
  </si>
  <si>
    <t>G10080.1</t>
  </si>
  <si>
    <t>G10090</t>
  </si>
  <si>
    <t>CHEQUES PRÉ-DATADOS</t>
  </si>
  <si>
    <t>G10090.1</t>
  </si>
  <si>
    <t>G10100</t>
  </si>
  <si>
    <t>PROVISÃO PARA DEVEDORES DUVIDOSOS (-)</t>
  </si>
  <si>
    <t>G10100.1</t>
  </si>
  <si>
    <t>G10110</t>
  </si>
  <si>
    <t>DUPLICATAS / CHEQUES DESCONTADOS (-)</t>
  </si>
  <si>
    <t>G10110.1</t>
  </si>
  <si>
    <t>G10120</t>
  </si>
  <si>
    <t>TOTAL DE CONTAS A RECEBER</t>
  </si>
  <si>
    <t>G10120.1</t>
  </si>
  <si>
    <t>G10130</t>
  </si>
  <si>
    <t>ADIANTAMENTOS A FORNECEDORES</t>
  </si>
  <si>
    <t>G10130.1</t>
  </si>
  <si>
    <t>G10140</t>
  </si>
  <si>
    <t>IMPOSTOS A RECUPERAR</t>
  </si>
  <si>
    <t>G10140.1</t>
  </si>
  <si>
    <t>G10150</t>
  </si>
  <si>
    <t>DESPESAS ANTECIPADAS</t>
  </si>
  <si>
    <t>G10150.1</t>
  </si>
  <si>
    <t>G10160</t>
  </si>
  <si>
    <t>OUTRAS CONTAS A RECEBER</t>
  </si>
  <si>
    <t>G10160.1</t>
  </si>
  <si>
    <t>G10170</t>
  </si>
  <si>
    <t>TOTAL DO ATIVO CIRCULANTE</t>
  </si>
  <si>
    <t>G10170.1</t>
  </si>
  <si>
    <t>ESTOQUES (PRÓPRIOS, NÃO CONSIGNADOS)</t>
  </si>
  <si>
    <t>G10180</t>
  </si>
  <si>
    <t>VEÍCULOS NOVOS</t>
  </si>
  <si>
    <t>G10180.1</t>
  </si>
  <si>
    <t>G10190</t>
  </si>
  <si>
    <t>VEÍCULOS USADOS</t>
  </si>
  <si>
    <t>G10190.1</t>
  </si>
  <si>
    <t>G10200</t>
  </si>
  <si>
    <t>PEÇAS E ACESSÓRIOS</t>
  </si>
  <si>
    <t>G10200.1</t>
  </si>
  <si>
    <t>G10210</t>
  </si>
  <si>
    <t>OUTROS ESTOQUES</t>
  </si>
  <si>
    <t>G10210.1</t>
  </si>
  <si>
    <t>G10220</t>
  </si>
  <si>
    <t>TOTAL DO ESTOQUE</t>
  </si>
  <si>
    <t>G10220.1</t>
  </si>
  <si>
    <t>REALIZÁVEL A LONGO PRAZO</t>
  </si>
  <si>
    <t>G10230</t>
  </si>
  <si>
    <t>EMPRÉSTIMOS / MÚTUOS COM SÓCIOS</t>
  </si>
  <si>
    <t>G10230.1</t>
  </si>
  <si>
    <t>G10240</t>
  </si>
  <si>
    <t>CONTAS A RECEBER DE COLIGADAS</t>
  </si>
  <si>
    <t>G10240.1</t>
  </si>
  <si>
    <t>G10250</t>
  </si>
  <si>
    <t>DEPÓSITOS JUDICIAIS</t>
  </si>
  <si>
    <t>G10250.1</t>
  </si>
  <si>
    <t>G10260</t>
  </si>
  <si>
    <t>TRANSFERÊNCIAS ENTRE MATRIZ E FILIAIS</t>
  </si>
  <si>
    <t>G10260.1</t>
  </si>
  <si>
    <t>G10270</t>
  </si>
  <si>
    <t>OUTROS VALORES A RECEBER</t>
  </si>
  <si>
    <t>G10270.1</t>
  </si>
  <si>
    <t>G10280</t>
  </si>
  <si>
    <t>TOTAL DO REALIZÁVEL A LONGO PRAZO</t>
  </si>
  <si>
    <t>G10280.1</t>
  </si>
  <si>
    <t>G10290</t>
  </si>
  <si>
    <t>TOTAL DO ATIVO NÃO-CIRCULANTE</t>
  </si>
  <si>
    <t>G10290.1</t>
  </si>
  <si>
    <t>ATIVO PERMANENTE</t>
  </si>
  <si>
    <t>G10300</t>
  </si>
  <si>
    <t>PARTIC. EM EMPR. CONTROLADAS E COLIGADAS</t>
  </si>
  <si>
    <t>G10300.1</t>
  </si>
  <si>
    <t>G10310</t>
  </si>
  <si>
    <t>PARTIC. INCENTIVOS FISCAIS E OUTROS</t>
  </si>
  <si>
    <t>G10310.1</t>
  </si>
  <si>
    <t>G10320</t>
  </si>
  <si>
    <t>TOTAL DE INVESTIMENTOS</t>
  </si>
  <si>
    <t>G10320.1</t>
  </si>
  <si>
    <t>G10330</t>
  </si>
  <si>
    <t>IMÓVEIS</t>
  </si>
  <si>
    <t>G10330.1</t>
  </si>
  <si>
    <t>G10340</t>
  </si>
  <si>
    <t>MÓVEIS E UTENSÍLIOS</t>
  </si>
  <si>
    <t>G10340.1</t>
  </si>
  <si>
    <t>G10350</t>
  </si>
  <si>
    <t>INSTALAÇÕES</t>
  </si>
  <si>
    <t>G10350.1</t>
  </si>
  <si>
    <t>G10360</t>
  </si>
  <si>
    <t>MÁQUINAS E EQUIPAMENTOS</t>
  </si>
  <si>
    <t>G10360.1</t>
  </si>
  <si>
    <t>G10370</t>
  </si>
  <si>
    <t>VEÍCULOS DE USO</t>
  </si>
  <si>
    <t>G10370.1</t>
  </si>
  <si>
    <t>G10380</t>
  </si>
  <si>
    <t>VEÍCULOS DE TEST-DRIVE</t>
  </si>
  <si>
    <t>G10380.1</t>
  </si>
  <si>
    <t>G10390</t>
  </si>
  <si>
    <t>OUTROS</t>
  </si>
  <si>
    <t>G10390.1</t>
  </si>
  <si>
    <t>G10400</t>
  </si>
  <si>
    <t>DEPRECIAÇÕES ACUMULADAS (-)</t>
  </si>
  <si>
    <t>G10400.1</t>
  </si>
  <si>
    <t>G10410</t>
  </si>
  <si>
    <t>TOTAL DO IMOBILIZADO</t>
  </si>
  <si>
    <t>G10410.1</t>
  </si>
  <si>
    <t>G10420</t>
  </si>
  <si>
    <t>PROJETOS / AMORTIZAÇÕES (-)</t>
  </si>
  <si>
    <t>G10420.1</t>
  </si>
  <si>
    <t>G10430</t>
  </si>
  <si>
    <t>TOTAL DO DIFERIDO</t>
  </si>
  <si>
    <t>G10430.1</t>
  </si>
  <si>
    <t>G10440</t>
  </si>
  <si>
    <t>INTANGÍVEL</t>
  </si>
  <si>
    <t>G10440.1</t>
  </si>
  <si>
    <t>G10450</t>
  </si>
  <si>
    <t>TOTAL DO ATIVO PERMANENTE</t>
  </si>
  <si>
    <t>G10450.1</t>
  </si>
  <si>
    <t>G10460</t>
  </si>
  <si>
    <t>ATIVO TOTAL</t>
  </si>
  <si>
    <t>G10460.1</t>
  </si>
  <si>
    <t>PASSIVO</t>
  </si>
  <si>
    <t>G20000</t>
  </si>
  <si>
    <t>CONTAS A PAGAR</t>
  </si>
  <si>
    <t>G20000.1</t>
  </si>
  <si>
    <t>G20010</t>
  </si>
  <si>
    <t>INSTITUIÇÕES FINANCEIRAS</t>
  </si>
  <si>
    <t>G20010.1</t>
  </si>
  <si>
    <t>G20020</t>
  </si>
  <si>
    <t>G20020.1</t>
  </si>
  <si>
    <t>G20030</t>
  </si>
  <si>
    <t>TOTAL DO CONTAS A PAGAR</t>
  </si>
  <si>
    <t>G20030.1</t>
  </si>
  <si>
    <t>G20040</t>
  </si>
  <si>
    <t>VEÍCULOS</t>
  </si>
  <si>
    <t>G20040.1</t>
  </si>
  <si>
    <t>G20050</t>
  </si>
  <si>
    <t>G20050.1</t>
  </si>
  <si>
    <t>G20060</t>
  </si>
  <si>
    <t>G20060.1</t>
  </si>
  <si>
    <t>G20070</t>
  </si>
  <si>
    <t>TOTAL DE FORNECEDORES</t>
  </si>
  <si>
    <t>G20070.1</t>
  </si>
  <si>
    <t>G20080</t>
  </si>
  <si>
    <t>SALÁRIOS E ENCARGOS</t>
  </si>
  <si>
    <t>G20080.1</t>
  </si>
  <si>
    <t>G20090</t>
  </si>
  <si>
    <t>PROVISÕES DE FÉRIAS</t>
  </si>
  <si>
    <t>G20090.1</t>
  </si>
  <si>
    <t>G20100</t>
  </si>
  <si>
    <t>PROVISÕES DE 13º SALÁRIO</t>
  </si>
  <si>
    <t>G20100.1</t>
  </si>
  <si>
    <t>G20110</t>
  </si>
  <si>
    <t>TOTAL DE OBRIGAÇÕES TRABALHISTAS</t>
  </si>
  <si>
    <t>G20110.1</t>
  </si>
  <si>
    <t>G20120</t>
  </si>
  <si>
    <t>ICMS</t>
  </si>
  <si>
    <t>G20120.1</t>
  </si>
  <si>
    <t>G20130</t>
  </si>
  <si>
    <t>ISS</t>
  </si>
  <si>
    <t>G20130.1</t>
  </si>
  <si>
    <t>G20140</t>
  </si>
  <si>
    <t>PIS</t>
  </si>
  <si>
    <t>G20140.1</t>
  </si>
  <si>
    <t>G20150</t>
  </si>
  <si>
    <t>COFINS</t>
  </si>
  <si>
    <t>G20150.1</t>
  </si>
  <si>
    <t>G20160</t>
  </si>
  <si>
    <t>CSLL</t>
  </si>
  <si>
    <t>G20160.1</t>
  </si>
  <si>
    <t>G20170</t>
  </si>
  <si>
    <t>IRPJ</t>
  </si>
  <si>
    <t>G20170.1</t>
  </si>
  <si>
    <t>G20180</t>
  </si>
  <si>
    <t>PARCELAMENTO DE IMPOSTOS</t>
  </si>
  <si>
    <t>G20180.1</t>
  </si>
  <si>
    <t>G20190</t>
  </si>
  <si>
    <t>ADIANTAMENTO DE CLIENTES</t>
  </si>
  <si>
    <t>G20190.1</t>
  </si>
  <si>
    <t>G20200</t>
  </si>
  <si>
    <t>EMPRÉSTIMOS COM SÓCIOS E COLIGADAS</t>
  </si>
  <si>
    <t>G20200.1</t>
  </si>
  <si>
    <t>G20210</t>
  </si>
  <si>
    <t>G20210.1</t>
  </si>
  <si>
    <t>G20220</t>
  </si>
  <si>
    <t>G20220.1</t>
  </si>
  <si>
    <t>G20230</t>
  </si>
  <si>
    <t>TOTAL DE OBRIGAÇÕES FISCAIS E TRIBUTÁRIAS</t>
  </si>
  <si>
    <t>G20230.1</t>
  </si>
  <si>
    <t>G20240</t>
  </si>
  <si>
    <t>TOTAL DO PASSIVO CIRCULANTE</t>
  </si>
  <si>
    <t>G20240.1</t>
  </si>
  <si>
    <t>PASSIVO NÃO-CIRCULANTE</t>
  </si>
  <si>
    <t>G20250</t>
  </si>
  <si>
    <t>G20250.1</t>
  </si>
  <si>
    <t>G20260</t>
  </si>
  <si>
    <t>INTITUIÇÕES FINANCEIRAS</t>
  </si>
  <si>
    <t>G20260.1</t>
  </si>
  <si>
    <t>G20270</t>
  </si>
  <si>
    <t>IMPOSTO DE RENDA DIFERIDO</t>
  </si>
  <si>
    <t>G20270.1</t>
  </si>
  <si>
    <t>G20280</t>
  </si>
  <si>
    <t>PROVISÃO PARA IMPOSTOS DIRETOS E INDIRETOS</t>
  </si>
  <si>
    <t>G20280.1</t>
  </si>
  <si>
    <t>G20290</t>
  </si>
  <si>
    <t>G20290.1</t>
  </si>
  <si>
    <t>G20300</t>
  </si>
  <si>
    <t>G20300.1</t>
  </si>
  <si>
    <t>G20310</t>
  </si>
  <si>
    <t>TOTAL DO EXIGÍVEL A LONGO PRAZO</t>
  </si>
  <si>
    <t>G20310.1</t>
  </si>
  <si>
    <t>G20320</t>
  </si>
  <si>
    <t>RESULTADO DE EXERCÍCIOS FUTUROS</t>
  </si>
  <si>
    <t>G20320.1</t>
  </si>
  <si>
    <t>G20330</t>
  </si>
  <si>
    <t>TOTAL DO PASSIVO NÃO-CIRCULANTE</t>
  </si>
  <si>
    <t>G20330.1</t>
  </si>
  <si>
    <t>PATRIMÔNIO LÍQUIDO</t>
  </si>
  <si>
    <t>G20340</t>
  </si>
  <si>
    <t>CAPITAL SOCIAL</t>
  </si>
  <si>
    <t>G20340.1</t>
  </si>
  <si>
    <t>G20350</t>
  </si>
  <si>
    <t>CAPITAL A INTEGRALIZAR (-)</t>
  </si>
  <si>
    <t>G20350.1</t>
  </si>
  <si>
    <t>G20360</t>
  </si>
  <si>
    <t>RESERVA DE CAPITAL</t>
  </si>
  <si>
    <t>G20360.1</t>
  </si>
  <si>
    <t>G20370</t>
  </si>
  <si>
    <t>RESERVA DE AVALIAÇÃO</t>
  </si>
  <si>
    <t>G20370.1</t>
  </si>
  <si>
    <t>G20380</t>
  </si>
  <si>
    <t>OUTRAS RESERVAS</t>
  </si>
  <si>
    <t>G20380.1</t>
  </si>
  <si>
    <t>G20390</t>
  </si>
  <si>
    <t>RESULTADO ACUMULADO DE EXERCÍCIOS ANTERIORES</t>
  </si>
  <si>
    <t>G20390.1</t>
  </si>
  <si>
    <t>G20400</t>
  </si>
  <si>
    <t>RESULTADO DO EXERCÍCIO</t>
  </si>
  <si>
    <t>G20400.1</t>
  </si>
  <si>
    <t>G20410</t>
  </si>
  <si>
    <t>DISTRIBUIÇÃO DE LUCROS</t>
  </si>
  <si>
    <t>G20410.1</t>
  </si>
  <si>
    <t>G20420</t>
  </si>
  <si>
    <t>TOTAL DO PATRIMÔNIO LÍQUIDO</t>
  </si>
  <si>
    <t>G20420.1</t>
  </si>
  <si>
    <t>G20430</t>
  </si>
  <si>
    <t>PASSIVO TOTAL</t>
  </si>
  <si>
    <t>G20430.1</t>
  </si>
  <si>
    <t>Dealer Name</t>
  </si>
  <si>
    <t>Nippon Motos - Bragança</t>
  </si>
  <si>
    <t>LanguageID</t>
  </si>
  <si>
    <t>Jan</t>
  </si>
  <si>
    <t>BAC</t>
  </si>
  <si>
    <t>CITY_NM</t>
  </si>
  <si>
    <t>Location</t>
  </si>
  <si>
    <t/>
  </si>
  <si>
    <t>Feb</t>
  </si>
  <si>
    <t>Fev</t>
  </si>
  <si>
    <t>End Month</t>
  </si>
  <si>
    <t>POSTL_STATE_CD</t>
  </si>
  <si>
    <t>City</t>
  </si>
  <si>
    <t>BRAGANCA PAULISTA</t>
  </si>
  <si>
    <t>Mar</t>
  </si>
  <si>
    <t>End Year</t>
  </si>
  <si>
    <t>POSTL_CD</t>
  </si>
  <si>
    <t>1696-01</t>
  </si>
  <si>
    <t>Apr</t>
  </si>
  <si>
    <t>Abr</t>
  </si>
  <si>
    <t>GMBA_ACTVTN_DT</t>
  </si>
  <si>
    <t>State</t>
  </si>
  <si>
    <t>May</t>
  </si>
  <si>
    <t>Mai</t>
  </si>
  <si>
    <t xml:space="preserve">ADDR_LINE_1_TXT </t>
  </si>
  <si>
    <t>Dealer'</t>
  </si>
  <si>
    <t>End Month / End Year</t>
  </si>
  <si>
    <t>Jun</t>
  </si>
  <si>
    <t>ADDR_LINE_2_TXT</t>
  </si>
  <si>
    <t>CountryCode</t>
  </si>
  <si>
    <t>Dealer/Composite</t>
  </si>
  <si>
    <t>Dealer</t>
  </si>
  <si>
    <t>Jul</t>
  </si>
  <si>
    <t>Country Code</t>
  </si>
  <si>
    <t>Aug</t>
  </si>
  <si>
    <t>Ago</t>
  </si>
  <si>
    <t>@PhaseID</t>
  </si>
  <si>
    <t>Submission Status</t>
  </si>
  <si>
    <t>Sep</t>
  </si>
  <si>
    <t>Set</t>
  </si>
  <si>
    <t>Reserved</t>
  </si>
  <si>
    <t>Oct</t>
  </si>
  <si>
    <t>Out</t>
  </si>
  <si>
    <t>Nov</t>
  </si>
  <si>
    <t>Dec</t>
  </si>
  <si>
    <t>Dez</t>
  </si>
  <si>
    <t>System Assigned #</t>
  </si>
  <si>
    <t>Local Acct #</t>
  </si>
  <si>
    <t>Description</t>
  </si>
  <si>
    <t>Month Data</t>
  </si>
  <si>
    <t>YTD Data</t>
  </si>
  <si>
    <t>NEO 125 - UNIDADES</t>
  </si>
  <si>
    <t>NEO 125 - RECEITA</t>
  </si>
  <si>
    <t>NEO 125 - DEVOLUÇÃO DE VENDAS</t>
  </si>
  <si>
    <t>NEO 125 - ABAT. E DESCONTO</t>
  </si>
  <si>
    <t>NEO 125 - VENDA LÍQUIDA</t>
  </si>
  <si>
    <t>NEO 125 - CUSTO</t>
  </si>
  <si>
    <t>NEO 125 - LUCRO BRUTO</t>
  </si>
  <si>
    <t>NMAX 160 ABS - UNIDADES</t>
  </si>
  <si>
    <t>NMAX 160 ABS - RECEITA</t>
  </si>
  <si>
    <t>NMAX 160 ABS - DEVOLUÇÃO DE VENDAS</t>
  </si>
  <si>
    <t>NMAX 160 ABS - ABAT. E DESCONTO</t>
  </si>
  <si>
    <t>NMAX 160 ABS - VENDA LÍQUIDA</t>
  </si>
  <si>
    <t>NMAX 160 ABS - CUSTO</t>
  </si>
  <si>
    <t>NMAX 160 ABS - LUCRO BRUTO</t>
  </si>
  <si>
    <t>TMAX 530 - UNIDADES</t>
  </si>
  <si>
    <t>TMAX 530 - RECEITA</t>
  </si>
  <si>
    <t>TMAX 530 - DEVOLUÇÃO DE VENDAS</t>
  </si>
  <si>
    <t>TMAX 530 - ABAT. E DESCONTO</t>
  </si>
  <si>
    <t>TMAX 530 - VENDA LÍQUIDA</t>
  </si>
  <si>
    <t>TMAX 530 - CUSTO</t>
  </si>
  <si>
    <t>TMAX 530 - LUCRO BRUTO</t>
  </si>
  <si>
    <t>TOTAL VENDAS - SCOOTER - UNIDADES</t>
  </si>
  <si>
    <t>TOTAL VENDAS - SCOOTER - RECEITA</t>
  </si>
  <si>
    <t>TOTAL VENDAS - SCOOTER - DEVOLUÇÃO DE VENDAS</t>
  </si>
  <si>
    <t>TOTAL VENDAS - SCOOTER - ABAT. E DESCONTO</t>
  </si>
  <si>
    <t>TOTAL VENDAS - SCOOTER - VENDA LÍQUIDA</t>
  </si>
  <si>
    <t>TOTAL VENDAS - SCOOTER - CUSTO</t>
  </si>
  <si>
    <t>TOTAL VENDAS - SCOOTER - LUCRO BRUTO</t>
  </si>
  <si>
    <t xml:space="preserve">TTR 230  - UNIDADES</t>
  </si>
  <si>
    <t xml:space="preserve">TTR 230  - RECEITA</t>
  </si>
  <si>
    <t xml:space="preserve">TTR 230  - DEVOLUÇÃO DE VENDAS</t>
  </si>
  <si>
    <t xml:space="preserve">TTR 230  - ABAT. E DESCONTO</t>
  </si>
  <si>
    <t xml:space="preserve">TTR 230  - VENDA LÍQUIDA</t>
  </si>
  <si>
    <t xml:space="preserve">TTR 230  - CUSTO</t>
  </si>
  <si>
    <t xml:space="preserve">TTR 230  - LUCRO BRUTO</t>
  </si>
  <si>
    <t>YZ 250 - UNIDADES</t>
  </si>
  <si>
    <t>YZ 250 - RECEITA</t>
  </si>
  <si>
    <t>YZ 250 - DEVOLUÇÃO DE VENDAS</t>
  </si>
  <si>
    <t>YZ 250 - ABAT. E DESCONTO</t>
  </si>
  <si>
    <t>YZ 250 - VENDA LÍQUIDA</t>
  </si>
  <si>
    <t>YZ 250 - CUSTO</t>
  </si>
  <si>
    <t>YZ 250 - LUCRO BRUTO</t>
  </si>
  <si>
    <t>YZ 250F - UNIDADES</t>
  </si>
  <si>
    <t>YZ 250F - RECEITA</t>
  </si>
  <si>
    <t>YZ 250F - DEVOLUÇÃO DE VENDAS</t>
  </si>
  <si>
    <t>YZ 250F - ABAT. E DESCONTO</t>
  </si>
  <si>
    <t>YZ 250F - VENDA LÍQUIDA</t>
  </si>
  <si>
    <t>YZ 250F - CUSTO</t>
  </si>
  <si>
    <t>YZ 250F - LUCRO BRUTO</t>
  </si>
  <si>
    <t>YZ 250FX - UNIDADES</t>
  </si>
  <si>
    <t>YZ 250FX - RECEITA</t>
  </si>
  <si>
    <t>YZ 250FX - DEVOLUÇÃO DE VENDAS</t>
  </si>
  <si>
    <t>YZ 250FX - ABAT. E DESCONTO</t>
  </si>
  <si>
    <t>YZ 250FX - VENDA LÍQUIDA</t>
  </si>
  <si>
    <t>YZ 250FX - CUSTO</t>
  </si>
  <si>
    <t>YZ 250FX - LUCRO BRUTO</t>
  </si>
  <si>
    <t>YZ 450F - UNIDADES</t>
  </si>
  <si>
    <t>YZ 450F - RECEITA</t>
  </si>
  <si>
    <t>YZ 450F - DEVOLUÇÃO DE VENDAS</t>
  </si>
  <si>
    <t>YZ 450F - ABAT. E DESCONTO</t>
  </si>
  <si>
    <t>YZ 450F - VENDA LÍQUIDA</t>
  </si>
  <si>
    <t>YZ 450F - CUSTO</t>
  </si>
  <si>
    <t>YZ 450F - LUCRO BRUTO</t>
  </si>
  <si>
    <t>WR 250F - UNIDADES</t>
  </si>
  <si>
    <t>WR 250F - RECEITA</t>
  </si>
  <si>
    <t>WR 250F - DEVOLUÇÃO DE VENDAS</t>
  </si>
  <si>
    <t>WR 250F - ABAT. E DESCONTO</t>
  </si>
  <si>
    <t>WR 250F - VENDA LÍQUIDA</t>
  </si>
  <si>
    <t>WR 250F - CUSTO</t>
  </si>
  <si>
    <t>WR 250F - LUCRO BRUTO</t>
  </si>
  <si>
    <t>TOTAL VENDAS - LINHA OFF ROAD - UNIDADES</t>
  </si>
  <si>
    <t>TOTAL VENDAS - LINHA OFF ROAD - RECEITA</t>
  </si>
  <si>
    <t>TOTAL VENDAS - LINHA OFF ROAD - DEVOLUÇÃO DE VENDAS</t>
  </si>
  <si>
    <t>TOTAL VENDAS - LINHA OFF ROAD - ABAT. E DESCONTO</t>
  </si>
  <si>
    <t>TOTAL VENDAS - LINHA OFF ROAD - VENDA LÍQUIDA</t>
  </si>
  <si>
    <t>TOTAL VENDAS - LINHA OFF ROAD - CUSTO</t>
  </si>
  <si>
    <t>TOTAL VENDAS - LINHA OFF ROAD - LUCRO BRUTO</t>
  </si>
  <si>
    <t>FACTOR YBR 125i ED - UNIDADES</t>
  </si>
  <si>
    <t>FACTOR YBR 125i ED - RECEITA</t>
  </si>
  <si>
    <t>FACTOR YBR 125i ED - DEVOLUÇÃO DE VENDAS</t>
  </si>
  <si>
    <t>FACTOR YBR 125i ED - ABAT. E DESCONTO</t>
  </si>
  <si>
    <t>FACTOR YBR 125i ED - VENDA LÍQUIDA</t>
  </si>
  <si>
    <t>FACTOR YBR 125i ED - CUSTO</t>
  </si>
  <si>
    <t>FACTOR YBR 125i ED - LUCRO BRUTO</t>
  </si>
  <si>
    <t>TOTAL VENDAS - LINHA 125 cc - UNIDADES</t>
  </si>
  <si>
    <t>TOTAL VENDAS - LINHA 125 cc - RECEITA</t>
  </si>
  <si>
    <t>TOTAL VENDAS - LINHA 125 cc - DEVOLUÇÃO DE VENDAS</t>
  </si>
  <si>
    <t>TOTAL VENDAS - LINHA 125 cc - ABAT. E DESCONTO</t>
  </si>
  <si>
    <t>TOTAL VENDAS - LINHA 125 cc - VENDA LÍQUIDA</t>
  </si>
  <si>
    <t>TOTAL VENDAS - LINHA 125 cc - CUSTO</t>
  </si>
  <si>
    <t>TOTAL VENDAS - LINHA 125 cc - LUCRO BRUTO</t>
  </si>
  <si>
    <t>FACTOR 150E - UNIDADES</t>
  </si>
  <si>
    <t>FACTOR 150E - RECEITA</t>
  </si>
  <si>
    <t>FACTOR 150E - DEVOLUÇÃO DE VENDAS</t>
  </si>
  <si>
    <t>FACTOR 150E - ABAT. E DESCONTO</t>
  </si>
  <si>
    <t>FACTOR 150E - VENDA LÍQUIDA</t>
  </si>
  <si>
    <t>FACTOR 150E - CUSTO</t>
  </si>
  <si>
    <t>FACTOR 150E - LUCRO BRUTO</t>
  </si>
  <si>
    <t>FACTOR 150ED - UNIDADES</t>
  </si>
  <si>
    <t>FACTOR 150ED - RECEITA</t>
  </si>
  <si>
    <t>FACTOR 150ED - DEVOLUÇÃO DE VENDAS</t>
  </si>
  <si>
    <t>FACTOR 150ED - ABAT. E DESCONTO</t>
  </si>
  <si>
    <t>FACTOR 150ED - VENDA LÍQUIDA</t>
  </si>
  <si>
    <t>FACTOR 150ED - CUSTO</t>
  </si>
  <si>
    <t>FACTOR 150ED - LUCRO BRUTO</t>
  </si>
  <si>
    <t>YS 150 FAZER SED - UNIDADES</t>
  </si>
  <si>
    <t>YS 150 FAZER SED - RECEITA</t>
  </si>
  <si>
    <t>YS 150 FAZER SED - DEVOLUÇÃO DE VENDAS</t>
  </si>
  <si>
    <t>YS 150 FAZER SED - ABAT. E DESCONTO</t>
  </si>
  <si>
    <t>YS 150 FAZER SED - VENDA LÍQUIDA</t>
  </si>
  <si>
    <t>YS 150 FAZER SED - CUSTO</t>
  </si>
  <si>
    <t>YS 150 FAZER SED - LUCRO BRUTO</t>
  </si>
  <si>
    <t>XTZ 150 CROSSER E - UNIDADES</t>
  </si>
  <si>
    <t>XTZ 150 CROSSER E - RECEITA</t>
  </si>
  <si>
    <t>XTZ 150 CROSSER E - DEVOLUÇÃO DE VENDAS</t>
  </si>
  <si>
    <t>XTZ 150 CROSSER E - ABAT. E DESCONTO</t>
  </si>
  <si>
    <t>XTZ 150 CROSSER E - VENDA LÍQUIDA</t>
  </si>
  <si>
    <t>XTZ 150 CROSSER E - CUSTO</t>
  </si>
  <si>
    <t>XTZ 150 CROSSER E - LUCRO BRUTO</t>
  </si>
  <si>
    <t>XTZ 150 CROSSER ED - UNIDADES</t>
  </si>
  <si>
    <t>XTZ 150 CROSSER ED - RECEITA</t>
  </si>
  <si>
    <t>XTZ 150 CROSSER ED - DEVOLUÇÃO DE VENDAS</t>
  </si>
  <si>
    <t>XTZ 150 CROSSER ED - ABAT. E DESCONTO</t>
  </si>
  <si>
    <t>XTZ 150 CROSSER ED - VENDA LÍQUIDA</t>
  </si>
  <si>
    <t>XTZ 150 CROSSER ED - CUSTO</t>
  </si>
  <si>
    <t>XTZ 150 CROSSER ED - LUCRO BRUTO</t>
  </si>
  <si>
    <t>TOTAL VENDAS - LINHA 150 cc - UNIDADES</t>
  </si>
  <si>
    <t>TOTAL VENDAS - LINHA 150 cc - RECEITA</t>
  </si>
  <si>
    <t>TOTAL VENDAS - LINHA 150 cc - DEVOLUÇÃO DE VENDAS</t>
  </si>
  <si>
    <t>TOTAL VENDAS - LINHA 150 cc - ABAT. E DESCONTO</t>
  </si>
  <si>
    <t>TOTAL VENDAS - LINHA 150 cc - VENDA LÍQUIDA</t>
  </si>
  <si>
    <t>TOTAL VENDAS - LINHA 150 cc - CUSTO</t>
  </si>
  <si>
    <t>TOTAL VENDAS - LINHA 150 cc - LUCRO BRUTO</t>
  </si>
  <si>
    <t>YS 250 FAZER BLUEFLEX - UNIDADES</t>
  </si>
  <si>
    <t>YS 250 FAZER BLUEFLEX - RECEITA</t>
  </si>
  <si>
    <t>YS 250 FAZER BLUEFLEX - DEVOLUÇÃO DE VENDAS</t>
  </si>
  <si>
    <t>YS 250 FAZER BLUEFLEX - ABAT. E DESCONTO</t>
  </si>
  <si>
    <t>YS 250 FAZER BLUEFLEX - VENDA LÍQUIDA</t>
  </si>
  <si>
    <t>YS 250 FAZER BLUEFLEX - CUSTO</t>
  </si>
  <si>
    <t>YS 250 FAZER BLUEFLEX - LUCRO BRUTO</t>
  </si>
  <si>
    <t>XTZ 250 LANDER - UNIDADES</t>
  </si>
  <si>
    <t>XTZ 250 LANDER - RECEITA</t>
  </si>
  <si>
    <t>XTZ 250 LANDER - DEVOLUÇÃO DE VENDAS</t>
  </si>
  <si>
    <t>XTZ 250 LANDER - ABAT. E DESCONTO</t>
  </si>
  <si>
    <t>XTZ 250 LANDER - VENDA LÍQUIDA</t>
  </si>
  <si>
    <t>XTZ 250 LANDER - CUSTO</t>
  </si>
  <si>
    <t>XTZ 250 LANDER - LUCRO BRUTO</t>
  </si>
  <si>
    <t>XTZ 250 TENERE - UNIDADES</t>
  </si>
  <si>
    <t>XTZ 250 TENERE - RECEITA</t>
  </si>
  <si>
    <t>XTZ 250 TENERE - DEVOLUÇÃO DE VENDAS</t>
  </si>
  <si>
    <t>XTZ 250 TENERE - ABAT. E DESCONTO</t>
  </si>
  <si>
    <t>XTZ 250 TENERE - VENDA LÍQUIDA</t>
  </si>
  <si>
    <t>XTZ 250 TENERE - CUSTO</t>
  </si>
  <si>
    <t>XTZ 250 TENERE - LUCRO BRUTO</t>
  </si>
  <si>
    <t>TOTAL VENDAS - LINHA 250 cc - UNIDADES</t>
  </si>
  <si>
    <t>TOTAL VENDAS - LINHA 250 cc - RECEITA</t>
  </si>
  <si>
    <t>TOTAL VENDAS - LINHA 250 cc - DEVOLUÇÃO DE VENDAS</t>
  </si>
  <si>
    <t>TOTAL VENDAS - LINHA 250 cc - ABAT. E DESCONTO</t>
  </si>
  <si>
    <t>TOTAL VENDAS - LINHA 250 cc - VENDA LÍQUIDA</t>
  </si>
  <si>
    <t>TOTAL VENDAS - LINHA 250 cc - CUSTO</t>
  </si>
  <si>
    <t>TOTAL VENDAS - LINHA 250 cc - LUCRO BRUTO</t>
  </si>
  <si>
    <t xml:space="preserve">YZF R3  - UNIDADES</t>
  </si>
  <si>
    <t xml:space="preserve">YZF R3  - RECEITA</t>
  </si>
  <si>
    <t xml:space="preserve">YZF R3  - DEVOLUÇÃO DE VENDAS</t>
  </si>
  <si>
    <t xml:space="preserve">YZF R3  - ABAT. E DESCONTO</t>
  </si>
  <si>
    <t xml:space="preserve">YZF R3  - VENDA LÍQUIDA</t>
  </si>
  <si>
    <t xml:space="preserve">YZF R3  - CUSTO</t>
  </si>
  <si>
    <t xml:space="preserve">YZF R3  - LUCRO BRUTO</t>
  </si>
  <si>
    <t>YZF R3 ABS - UNIDADES</t>
  </si>
  <si>
    <t>YZF R3 ABS - RECEITA</t>
  </si>
  <si>
    <t>YZF R3 ABS - DEVOLUÇÃO DE VENDAS</t>
  </si>
  <si>
    <t>YZF R3 ABS - ABAT. E DESCONTO</t>
  </si>
  <si>
    <t>YZF R3 ABS - VENDA LÍQUIDA</t>
  </si>
  <si>
    <t>YZF R3 ABS - CUSTO</t>
  </si>
  <si>
    <t>YZF R3 ABS - LUCRO BRUTO</t>
  </si>
  <si>
    <t>MT03 - UNIDADES</t>
  </si>
  <si>
    <t>MT03 - RECEITA</t>
  </si>
  <si>
    <t>MT03 - DEVOLUÇÃO DE VENDAS</t>
  </si>
  <si>
    <t>MT03 - ABAT. E DESCONTO</t>
  </si>
  <si>
    <t>MT03 - VENDA LÍQUIDA</t>
  </si>
  <si>
    <t>MT03 - CUSTO</t>
  </si>
  <si>
    <t>MT03 - LUCRO BRUTO</t>
  </si>
  <si>
    <t>MT03 ABS - UNIDADES</t>
  </si>
  <si>
    <t>MT03 ABS - RECEITA</t>
  </si>
  <si>
    <t>MT03 ABS - DEVOLUÇÃO DE VENDAS</t>
  </si>
  <si>
    <t>MT03 ABS - ABAT. E DESCONTO</t>
  </si>
  <si>
    <t>MT03 ABS - VENDA LÍQUIDA</t>
  </si>
  <si>
    <t>MT03 ABS - CUSTO</t>
  </si>
  <si>
    <t>MT03 ABS - LUCRO BRUTO</t>
  </si>
  <si>
    <t>TOTAL VENDAS - LINHA 320 cc - UNIDADES</t>
  </si>
  <si>
    <t>TOTAL VENDAS - LINHA 320 cc - RECEITA</t>
  </si>
  <si>
    <t>TOTAL VENDAS - LINHA 320 cc - DEVOLUÇÃO DE VENDAS</t>
  </si>
  <si>
    <t>TOTAL VENDAS - LINHA 320 cc - ABAT. E DESCONTO</t>
  </si>
  <si>
    <t>TOTAL VENDAS - LINHA 320 cc - VENDA LÍQUIDA</t>
  </si>
  <si>
    <t>TOTAL VENDAS - LINHA 320 cc - CUSTO</t>
  </si>
  <si>
    <t>TOTAL VENDAS - LINHA 320 cc - LUCRO BRUTO</t>
  </si>
  <si>
    <t>XJ6 N ABS - UNIDADES</t>
  </si>
  <si>
    <t>XJ6 N ABS - RECEITA</t>
  </si>
  <si>
    <t>XJ6 N ABS - DEVOLUÇÃO DE VENDAS</t>
  </si>
  <si>
    <t>XJ6 N ABS - ABAT. E DESCONTO</t>
  </si>
  <si>
    <t>XJ6 N ABS - VENDA LÍQUIDA</t>
  </si>
  <si>
    <t>XJ6 N ABS - CUSTO</t>
  </si>
  <si>
    <t>XJ6 N ABS - LUCRO BRUTO</t>
  </si>
  <si>
    <t>XJ6 F ABS - UNIDADES</t>
  </si>
  <si>
    <t>XJ6 F ABS - RECEITA</t>
  </si>
  <si>
    <t>XJ6 F ABS - DEVOLUÇÃO DE VENDAS</t>
  </si>
  <si>
    <t>XJ6 F ABS - ABAT. E DESCONTO</t>
  </si>
  <si>
    <t>XJ6 F ABS - VENDA LÍQUIDA</t>
  </si>
  <si>
    <t>XJ6 F ABS - CUSTO</t>
  </si>
  <si>
    <t>XJ6 F ABS - LUCRO BRUTO</t>
  </si>
  <si>
    <t>XT 660R - UNIDADES</t>
  </si>
  <si>
    <t>XT 660R - RECEITA</t>
  </si>
  <si>
    <t>XT 660R - DEVOLUÇÃO DE VENDAS</t>
  </si>
  <si>
    <t>XT 660R - ABAT. E DESCONTO</t>
  </si>
  <si>
    <t>XT 660R - VENDA LÍQUIDA</t>
  </si>
  <si>
    <t>XT 660R - CUSTO</t>
  </si>
  <si>
    <t>XT 660R - LUCRO BRUTO</t>
  </si>
  <si>
    <t>XT 660Z TENERE ABS - UNIDADES</t>
  </si>
  <si>
    <t>XT 660Z TENERE ABS - RECEITA</t>
  </si>
  <si>
    <t>XT 660Z TENERE ABS - DEVOLUÇÃO DE VENDAS</t>
  </si>
  <si>
    <t>XT 660Z TENERE ABS - ABAT. E DESCONTO</t>
  </si>
  <si>
    <t>XT 660Z TENERE ABS - VENDA LÍQUIDA</t>
  </si>
  <si>
    <t>XT 660Z TENERE ABS - CUSTO</t>
  </si>
  <si>
    <t>XT 660Z TENERE ABS - LUCRO BRUTO</t>
  </si>
  <si>
    <t>MT07 - UNIDADES</t>
  </si>
  <si>
    <t>MT07 - RECEITA</t>
  </si>
  <si>
    <t>MT07 - DEVOLUÇÃO DE VENDAS</t>
  </si>
  <si>
    <t>MT07 - ABAT. E DESCONTO</t>
  </si>
  <si>
    <t>MT07 - VENDA LÍQUIDA</t>
  </si>
  <si>
    <t>MT07 - CUSTO</t>
  </si>
  <si>
    <t>MT07 - LUCRO BRUTO</t>
  </si>
  <si>
    <t>MT07 ABS - UNIDADES</t>
  </si>
  <si>
    <t>MT07 ABS - RECEITA</t>
  </si>
  <si>
    <t>MT07 ABS - DEVOLUÇÃO DE VENDAS</t>
  </si>
  <si>
    <t>MT07 ABS - ABAT. E DESCONTO</t>
  </si>
  <si>
    <t>MT07 ABS - VENDA LÍQUIDA</t>
  </si>
  <si>
    <t>MT07 ABS - CUSTO</t>
  </si>
  <si>
    <t>MT07 ABS - LUCRO BRUTO</t>
  </si>
  <si>
    <t>MT09 - UNIDADES</t>
  </si>
  <si>
    <t>MT09 - RECEITA</t>
  </si>
  <si>
    <t>MT09 - DEVOLUÇÃO DE VENDAS</t>
  </si>
  <si>
    <t>MT09 - ABAT. E DESCONTO</t>
  </si>
  <si>
    <t>MT09 - VENDA LÍQUIDA</t>
  </si>
  <si>
    <t>MT09 - CUSTO</t>
  </si>
  <si>
    <t>MT09 - LUCRO BRUTO</t>
  </si>
  <si>
    <t>MT09 SP - UNIDADES</t>
  </si>
  <si>
    <t>MT09 SP - RECEITA</t>
  </si>
  <si>
    <t>MT09 SP - DEVOLUÇÃO DE VENDAS</t>
  </si>
  <si>
    <t>MT09 SP - ABAT. E DESCONTO</t>
  </si>
  <si>
    <t>MT09 SP - VENDA LÍQUIDA</t>
  </si>
  <si>
    <t>MT09 SP - CUSTO</t>
  </si>
  <si>
    <t>MT09 SP - LUCRO BRUTO</t>
  </si>
  <si>
    <t>MT09 TRACER - UNIDADES</t>
  </si>
  <si>
    <t>MT09 TRACER - RECEITA</t>
  </si>
  <si>
    <t>MT09 TRACER - DEVOLUÇÃO DE VENDAS</t>
  </si>
  <si>
    <t>MT09 TRACER - ABAT. E DESCONTO</t>
  </si>
  <si>
    <t>MT09 TRACER - VENDA LÍQUIDA</t>
  </si>
  <si>
    <t>MT09 TRACER - CUSTO</t>
  </si>
  <si>
    <t>MT09 TRACER - LUCRO BRUTO</t>
  </si>
  <si>
    <t>YZF R1 - UNIDADES</t>
  </si>
  <si>
    <t>YZF R1 - RECEITA</t>
  </si>
  <si>
    <t>YZF R1 - DEVOLUÇÃO DE VENDAS</t>
  </si>
  <si>
    <t>YZF R1 - ABAT. E DESCONTO</t>
  </si>
  <si>
    <t>YZF R1 - VENDA LÍQUIDA</t>
  </si>
  <si>
    <t>YZF R1 - CUSTO</t>
  </si>
  <si>
    <t>YZF R1 - LUCRO BRUTO</t>
  </si>
  <si>
    <t>YZF R1M - UNIDADES</t>
  </si>
  <si>
    <t>YZF R1M - RECEITA</t>
  </si>
  <si>
    <t>YZF R1M - DEVOLUÇÃO DE VENDAS</t>
  </si>
  <si>
    <t>YZF R1M - ABAT. E DESCONTO</t>
  </si>
  <si>
    <t>YZF R1M - VENDA LÍQUIDA</t>
  </si>
  <si>
    <t>YZF R1M - CUSTO</t>
  </si>
  <si>
    <t>YZF R1M - LUCRO BRUTO</t>
  </si>
  <si>
    <t>TOTAL VENDAS - LINHA &gt; 500 cc - UNIDADES</t>
  </si>
  <si>
    <t>TOTAL VENDAS - LINHA &gt; 500 cc - RECEITA</t>
  </si>
  <si>
    <t>TOTAL VENDAS - LINHA &gt; 500 cc - DEVOLUÇÃO DE VENDAS</t>
  </si>
  <si>
    <t>TOTAL VENDAS - LINHA &gt; 500 cc - ABAT. E DESCONTO</t>
  </si>
  <si>
    <t>TOTAL VENDAS - LINHA &gt; 500 cc - VENDA LÍQUIDA</t>
  </si>
  <si>
    <t>TOTAL VENDAS - LINHA &gt; 500 cc - CUSTO</t>
  </si>
  <si>
    <t>TOTAL VENDAS - LINHA &gt; 500 cc - LUCRO BRUTO</t>
  </si>
  <si>
    <t>TOTAL NEW VENDAS - MOTOS - UNIDADES</t>
  </si>
  <si>
    <t>TOTAL NEW VENDAS - MOTOS - RECEITA</t>
  </si>
  <si>
    <t>TOTAL NEW VENDAS - MOTOS - DEVOLUÇÃO DE VENDAS</t>
  </si>
  <si>
    <t>TOTAL NEW VENDAS - MOTOS - ABAT. E DESCONTO</t>
  </si>
  <si>
    <t>TOTAL NEW VENDAS - MOTOS - VENDA LÍQUIDA</t>
  </si>
  <si>
    <t>TOTAL NEW VENDAS - MOTOS - CUSTO</t>
  </si>
  <si>
    <t>TOTAL NEW VENDAS - MOTOS - LUCRO BRUTO</t>
  </si>
  <si>
    <t>TOTAL OUTROS - UNIDADES</t>
  </si>
  <si>
    <t>TOTAL OUTROS - RECEITA</t>
  </si>
  <si>
    <t>TOTAL OUTROS - VENDA CANCELADA</t>
  </si>
  <si>
    <t xml:space="preserve">TOTAL OUTROS - DESCONTO </t>
  </si>
  <si>
    <t>TOTAL OUTROS - VENDA LÍQUIDA</t>
  </si>
  <si>
    <t>TOTAL OUTROS - CUSTO</t>
  </si>
  <si>
    <t>TOTAL OUTROS - LUCRO BRUTO</t>
  </si>
  <si>
    <t>XTZ 150 CROSSER S - UNIDADES</t>
  </si>
  <si>
    <t>XTZ 150 CROSSER S - RECEITA</t>
  </si>
  <si>
    <t>XTZ 150 CROSSER S - DEVOLUÇÃO DE VENDAS</t>
  </si>
  <si>
    <t>XTZ 150 CROSSER S - ABAT. E DESCONTO</t>
  </si>
  <si>
    <t>XTZ 150 CROSSER S - VENDA LÍQUIDA</t>
  </si>
  <si>
    <t>XTZ 150 CROSSER S - CUSTO</t>
  </si>
  <si>
    <t>XTZ 150 CROSSER S - LUCRO BRUTO</t>
  </si>
  <si>
    <t>XTZ 150 CROSSER Z - UNIDADES</t>
  </si>
  <si>
    <t>XTZ 150 CROSSER Z - RECEITA</t>
  </si>
  <si>
    <t>XTZ 150 CROSSER Z - DEVOLUÇÃO DE VENDAS</t>
  </si>
  <si>
    <t>XTZ 150 CROSSER Z - ABAT. E DESCONTO</t>
  </si>
  <si>
    <t>XTZ 150 CROSSER Z - VENDA LÍQUIDA</t>
  </si>
  <si>
    <t>XTZ 150 CROSSER Z - CUSTO</t>
  </si>
  <si>
    <t>XTZ 150 CROSSER Z - LUCRO BRUTO</t>
  </si>
  <si>
    <t>FZ25 FAZER ABS - UNIDADES</t>
  </si>
  <si>
    <t xml:space="preserve">FZ25 FAZER ABS  - RECEITA</t>
  </si>
  <si>
    <t xml:space="preserve">FZ25 FAZER ABS  - DEVOLUÇÃO DE VENDAS</t>
  </si>
  <si>
    <t>FZ25 FAZER ABS - ABAT. E DESCONTO</t>
  </si>
  <si>
    <t xml:space="preserve">FZ25 FAZER ABS  - VENDA LÍQUIDA</t>
  </si>
  <si>
    <t xml:space="preserve">FZ25 FAZER ABS  - CUSTO</t>
  </si>
  <si>
    <t>FZ25 FAZER ABS - LUCRO BRUTO</t>
  </si>
  <si>
    <t>XT1200Z DX - UNIDADES</t>
  </si>
  <si>
    <t>XT1200Z DX - RECEITA</t>
  </si>
  <si>
    <t>XT1200Z DX - DEVOLUÇÃO DE VENDAS</t>
  </si>
  <si>
    <t>XT1200Z DX - ABAT. E DESCONTO</t>
  </si>
  <si>
    <t>XT1200Z DX - VENDA LÍQUIDA</t>
  </si>
  <si>
    <t>XT1200Z DX - CUSTO</t>
  </si>
  <si>
    <t>XT1200Z DX - LUCRO BRUTO</t>
  </si>
  <si>
    <t>YZ 85LW - UNIDADES</t>
  </si>
  <si>
    <t>YZ 85LW - RECEITA</t>
  </si>
  <si>
    <t>YZ 85LW - DEVOLUÇÃO DE VENDAS</t>
  </si>
  <si>
    <t>YZ 85LW - ABAT. E DESCONTO</t>
  </si>
  <si>
    <t>YZ 85LW - VENDA LÍQUIDA</t>
  </si>
  <si>
    <t>YZ 85LW - CUSTO</t>
  </si>
  <si>
    <t>YZ 85LW - LUCRO BRUTO</t>
  </si>
  <si>
    <t>YZ 250X - UNIDADES</t>
  </si>
  <si>
    <t>YZ 250X - RECEITA</t>
  </si>
  <si>
    <t>YZ 250X - DEVOLUÇÃO DE VENDAS</t>
  </si>
  <si>
    <t>YZ 250X - ABAT. E DESCONTO</t>
  </si>
  <si>
    <t>YZ 250X - VENDA LÍQUIDA</t>
  </si>
  <si>
    <t>YZ 250X - CUSTO</t>
  </si>
  <si>
    <t>YZ 250X - LUCRO BRUTO</t>
  </si>
  <si>
    <t>YZ 450FX - UNIDADES</t>
  </si>
  <si>
    <t>YZ 450FX - RECEITA</t>
  </si>
  <si>
    <t>YZ 450FX - DEVOLUÇÃO DE VENDAS</t>
  </si>
  <si>
    <t>YZ 450FX - ABAT. E DESCONTO</t>
  </si>
  <si>
    <t>YZ 450FX - VENDA LÍQUIDA</t>
  </si>
  <si>
    <t>YZ 450FX - CUSTO</t>
  </si>
  <si>
    <t>YZ 450FX - LUCRO BRUTO</t>
  </si>
  <si>
    <t>WR 450F - UNIDADES</t>
  </si>
  <si>
    <t>WR 450F - RECEITA</t>
  </si>
  <si>
    <t>WR 450F - DEVOLUÇÃO DE VENDAS</t>
  </si>
  <si>
    <t>WR 450F - ABAT. E DESCONTO</t>
  </si>
  <si>
    <t>WR 450F - VENDA LÍQUIDA</t>
  </si>
  <si>
    <t>WR 450F - CUSTO</t>
  </si>
  <si>
    <t>WR 450F - LUCRO BRUTO</t>
  </si>
  <si>
    <t>A1500.1</t>
  </si>
  <si>
    <t>PLACEHOLDER NEW MODEL #10 - UNIDADES</t>
  </si>
  <si>
    <t>A1500.2</t>
  </si>
  <si>
    <t>PLACEHOLDER NEW MODEL #10 - RECEITA</t>
  </si>
  <si>
    <t>A1500.3</t>
  </si>
  <si>
    <t>PLACEHOLDER NEW MODEL #10 - DEVOLUÇÃO DE VENDAS</t>
  </si>
  <si>
    <t>A1500.4</t>
  </si>
  <si>
    <t>PLACEHOLDER NEW MODEL #10 - ABAT. E DESCONTO</t>
  </si>
  <si>
    <t>A1500.5</t>
  </si>
  <si>
    <t>PLACEHOLDER NEW MODEL #10 - VENDA LÍQUIDA</t>
  </si>
  <si>
    <t>A1500.6</t>
  </si>
  <si>
    <t>PLACEHOLDER NEW MODEL #10 - CUSTO</t>
  </si>
  <si>
    <t>A1500.7</t>
  </si>
  <si>
    <t>PLACEHOLDER NEW MODEL #10 - LUCRO BRUTO</t>
  </si>
  <si>
    <t>A1510.1</t>
  </si>
  <si>
    <t>PLACEHOLDER NEW MODEL #11 - UNIDADES</t>
  </si>
  <si>
    <t>A1510.2</t>
  </si>
  <si>
    <t>PLACEHOLDER NEW MODEL #11 - RECEITA</t>
  </si>
  <si>
    <t>A1510.3</t>
  </si>
  <si>
    <t>PLACEHOLDER NEW MODEL #11 - DEVOLUÇÃO DE VENDAS</t>
  </si>
  <si>
    <t>A1510.4</t>
  </si>
  <si>
    <t>PLACEHOLDER NEW MODEL #11 - ABAT. E DESCONTO</t>
  </si>
  <si>
    <t>A1510.5</t>
  </si>
  <si>
    <t>PLACEHOLDER NEW MODEL #11 - VENDA LÍQUIDA</t>
  </si>
  <si>
    <t>A1510.6</t>
  </si>
  <si>
    <t>PLACEHOLDER NEW MODEL #11 - CUSTO</t>
  </si>
  <si>
    <t>A1510.7</t>
  </si>
  <si>
    <t>PLACEHOLDER NEW MODEL #11 - LUCRO BRUTO</t>
  </si>
  <si>
    <t>A1520.1</t>
  </si>
  <si>
    <t>PLACEHOLDER NEW MODEL #12 - UNIDADES</t>
  </si>
  <si>
    <t>A1520.2</t>
  </si>
  <si>
    <t>PLACEHOLDER NEW MODEL #12 - RECEITA</t>
  </si>
  <si>
    <t>A1520.3</t>
  </si>
  <si>
    <t>PLACEHOLDER NEW MODEL #12 - DEVOLUÇÃO DE VENDAS</t>
  </si>
  <si>
    <t>A1520.4</t>
  </si>
  <si>
    <t>PLACEHOLDER NEW MODEL #12 - ABAT. E DESCONTO</t>
  </si>
  <si>
    <t>A1520.5</t>
  </si>
  <si>
    <t>PLACEHOLDER NEW MODEL #12 - VENDA LÍQUIDA</t>
  </si>
  <si>
    <t>A1520.6</t>
  </si>
  <si>
    <t>PLACEHOLDER NEW MODEL #12 - CUSTO</t>
  </si>
  <si>
    <t>A1520.7</t>
  </si>
  <si>
    <t>PLACEHOLDER NEW MODEL #12 - LUCRO BRUTO</t>
  </si>
  <si>
    <t>A1530.1</t>
  </si>
  <si>
    <t>PLACEHOLDER NEW MODEL #13 - UNIDADES</t>
  </si>
  <si>
    <t>A1530.2</t>
  </si>
  <si>
    <t>PLACEHOLDER NEW MODEL #13 - RECEITA</t>
  </si>
  <si>
    <t>A1530.3</t>
  </si>
  <si>
    <t>PLACEHOLDER NEW MODEL #13 - DEVOLUÇÃO DE VENDAS</t>
  </si>
  <si>
    <t>A1530.4</t>
  </si>
  <si>
    <t>PLACEHOLDER NEW MODEL #13 - ABAT. E DESCONTO</t>
  </si>
  <si>
    <t>A1530.5</t>
  </si>
  <si>
    <t>PLACEHOLDER NEW MODEL #13 - VENDA LÍQUIDA</t>
  </si>
  <si>
    <t>A1530.6</t>
  </si>
  <si>
    <t>PLACEHOLDER NEW MODEL #13 - CUSTO</t>
  </si>
  <si>
    <t>A1530.7</t>
  </si>
  <si>
    <t>PLACEHOLDER NEW MODEL #13 - LUCRO BRUTO</t>
  </si>
  <si>
    <t>A1540.1</t>
  </si>
  <si>
    <t>PLACEHOLDER NEW MODEL #14 - UNIDADES</t>
  </si>
  <si>
    <t>A1540.2</t>
  </si>
  <si>
    <t>PLACEHOLDER NEW MODEL #14 - RECEITA</t>
  </si>
  <si>
    <t>A1540.3</t>
  </si>
  <si>
    <t>PLACEHOLDER NEW MODEL #14 - DEVOLUÇÃO DE VENDAS</t>
  </si>
  <si>
    <t>A1540.4</t>
  </si>
  <si>
    <t>PLACEHOLDER NEW MODEL #14 - ABAT. E DESCONTO</t>
  </si>
  <si>
    <t>A1540.5</t>
  </si>
  <si>
    <t>PLACEHOLDER NEW MODEL #14 - VENDA LÍQUIDA</t>
  </si>
  <si>
    <t>A1540.6</t>
  </si>
  <si>
    <t>PLACEHOLDER NEW MODEL #14 - CUSTO</t>
  </si>
  <si>
    <t>A1540.7</t>
  </si>
  <si>
    <t>PLACEHOLDER NEW MODEL #14 - LUCRO BRUTO</t>
  </si>
  <si>
    <t>A1550.1</t>
  </si>
  <si>
    <t>PLACEHOLDER NEW MODEL #15 - UNIDADES</t>
  </si>
  <si>
    <t>A1550.2</t>
  </si>
  <si>
    <t>PLACEHOLDER NEW MODEL #15 - RECEITA</t>
  </si>
  <si>
    <t>A1550.3</t>
  </si>
  <si>
    <t>PLACEHOLDER NEW MODEL #15 - DEVOLUÇÃO DE VENDAS</t>
  </si>
  <si>
    <t>A1550.4</t>
  </si>
  <si>
    <t>PLACEHOLDER NEW MODEL #15 - ABAT. E DESCONTO</t>
  </si>
  <si>
    <t>A1550.5</t>
  </si>
  <si>
    <t>PLACEHOLDER NEW MODEL #15 - VENDA LÍQUIDA</t>
  </si>
  <si>
    <t>A1550.6</t>
  </si>
  <si>
    <t>PLACEHOLDER NEW MODEL #15 - CUSTO</t>
  </si>
  <si>
    <t>A1550.7</t>
  </si>
  <si>
    <t>PLACEHOLDER NEW MODEL #15 - LUCRO BRUTO</t>
  </si>
  <si>
    <t>A1560.1</t>
  </si>
  <si>
    <t>PLACEHOLDER NEW MODEL #16 - UNIDADES</t>
  </si>
  <si>
    <t>A1560.2</t>
  </si>
  <si>
    <t>PLACEHOLDER NEW MODEL #16 - RECEITA</t>
  </si>
  <si>
    <t>A1560.3</t>
  </si>
  <si>
    <t>PLACEHOLDER NEW MODEL #16 - DEVOLUÇÃO DE VENDAS</t>
  </si>
  <si>
    <t>A1560.4</t>
  </si>
  <si>
    <t>PLACEHOLDER NEW MODEL #16 - ABAT. E DESCONTO</t>
  </si>
  <si>
    <t>A1560.5</t>
  </si>
  <si>
    <t>PLACEHOLDER NEW MODEL #16 - VENDA LÍQUIDA</t>
  </si>
  <si>
    <t>A1560.6</t>
  </si>
  <si>
    <t>PLACEHOLDER NEW MODEL #16 - CUSTO</t>
  </si>
  <si>
    <t>A1560.7</t>
  </si>
  <si>
    <t>PLACEHOLDER NEW MODEL #16 - LUCRO BRUTO</t>
  </si>
  <si>
    <t>A1570.1</t>
  </si>
  <si>
    <t>PLACEHOLDER NEW MODEL #17 - UNIDADES</t>
  </si>
  <si>
    <t>A1570.2</t>
  </si>
  <si>
    <t>PLACEHOLDER NEW MODEL #17 - RECEITA</t>
  </si>
  <si>
    <t>A1570.3</t>
  </si>
  <si>
    <t>PLACEHOLDER NEW MODEL #17 - DEVOLUÇÃO DE VENDAS</t>
  </si>
  <si>
    <t>A1570.4</t>
  </si>
  <si>
    <t>PLACEHOLDER NEW MODEL #17 - ABAT. E DESCONTO</t>
  </si>
  <si>
    <t>A1570.5</t>
  </si>
  <si>
    <t>PLACEHOLDER NEW MODEL #17 - VENDA LÍQUIDA</t>
  </si>
  <si>
    <t>A1570.6</t>
  </si>
  <si>
    <t>PLACEHOLDER NEW MODEL #17 - CUSTO</t>
  </si>
  <si>
    <t>A1570.7</t>
  </si>
  <si>
    <t>PLACEHOLDER NEW MODEL #17 - LUCRO BRUTO</t>
  </si>
  <si>
    <t>A1580.1</t>
  </si>
  <si>
    <t>PLACEHOLDER NEW MODEL #18 - UNIDADES</t>
  </si>
  <si>
    <t>A1580.2</t>
  </si>
  <si>
    <t>PLACEHOLDER NEW MODEL #18 - RECEITA</t>
  </si>
  <si>
    <t>A1580.3</t>
  </si>
  <si>
    <t>PLACEHOLDER NEW MODEL #18 - DEVOLUÇÃO DE VENDAS</t>
  </si>
  <si>
    <t>A1580.4</t>
  </si>
  <si>
    <t>PLACEHOLDER NEW MODEL #18 - ABAT. E DESCONTO</t>
  </si>
  <si>
    <t>A1580.5</t>
  </si>
  <si>
    <t>PLACEHOLDER NEW MODEL #18 - VENDA LÍQUIDA</t>
  </si>
  <si>
    <t>A1580.6</t>
  </si>
  <si>
    <t>PLACEHOLDER NEW MODEL #18 - CUSTO</t>
  </si>
  <si>
    <t>A1580.7</t>
  </si>
  <si>
    <t>PLACEHOLDER NEW MODEL #18 - LUCRO BRUTO</t>
  </si>
  <si>
    <t>A1590.1</t>
  </si>
  <si>
    <t>PLACEHOLDER NEW MODEL #19 - UNIDADES</t>
  </si>
  <si>
    <t>A1590.2</t>
  </si>
  <si>
    <t>PLACEHOLDER NEW MODEL #19 - RECEITA</t>
  </si>
  <si>
    <t>A1590.3</t>
  </si>
  <si>
    <t>PLACEHOLDER NEW MODEL #19 - DEVOLUÇÃO DE VENDAS</t>
  </si>
  <si>
    <t>A1590.4</t>
  </si>
  <si>
    <t>PLACEHOLDER NEW MODEL #19 - ABAT. E DESCONTO</t>
  </si>
  <si>
    <t>A1590.5</t>
  </si>
  <si>
    <t>PLACEHOLDER NEW MODEL #19 - VENDA LÍQUIDA</t>
  </si>
  <si>
    <t>A1590.6</t>
  </si>
  <si>
    <t>PLACEHOLDER NEW MODEL #19 - CUSTO</t>
  </si>
  <si>
    <t>A1590.7</t>
  </si>
  <si>
    <t>PLACEHOLDER NEW MODEL #19 - LUCRO BRUTO</t>
  </si>
  <si>
    <t>A1600.1</t>
  </si>
  <si>
    <t>PLACEHOLDER NEW MODEL #20 - UNIDADES</t>
  </si>
  <si>
    <t>A1600.2</t>
  </si>
  <si>
    <t>PLACEHOLDER NEW MODEL #20 - RECEITA</t>
  </si>
  <si>
    <t>A1600.3</t>
  </si>
  <si>
    <t>PLACEHOLDER NEW MODEL #20 - DEVOLUÇÃO DE VENDAS</t>
  </si>
  <si>
    <t>A1600.4</t>
  </si>
  <si>
    <t>PLACEHOLDER NEW MODEL #20 - ABAT. E DESCONTO</t>
  </si>
  <si>
    <t>A1600.5</t>
  </si>
  <si>
    <t>PLACEHOLDER NEW MODEL #20 - VENDA LÍQUIDA</t>
  </si>
  <si>
    <t>A1600.6</t>
  </si>
  <si>
    <t>PLACEHOLDER NEW MODEL #20 - CUSTO</t>
  </si>
  <si>
    <t>A1600.7</t>
  </si>
  <si>
    <t>PLACEHOLDER NEW MODEL #20 - LUCRO BRUTO</t>
  </si>
  <si>
    <t>MOTORES - UNIDADES</t>
  </si>
  <si>
    <t>MOTORES - RECEITA</t>
  </si>
  <si>
    <t>MOTORES - DEVOLUÇÃO DE VENDAS</t>
  </si>
  <si>
    <t>MOTORES - ABAT. E DESCONTO</t>
  </si>
  <si>
    <t>MOTORES - VENDA LÍQUIDA</t>
  </si>
  <si>
    <t>MOTORES - CUSTO</t>
  </si>
  <si>
    <t>MOTORES - LUCRO BRUTO</t>
  </si>
  <si>
    <t>WAVERUNNER - UNIDADES</t>
  </si>
  <si>
    <t>WAVERUNNER - RECEITA</t>
  </si>
  <si>
    <t>WAVERUNNER - DEVOLUÇÃO DE VENDAS</t>
  </si>
  <si>
    <t>WAVERUNNER - ABAT. E DESCONTO</t>
  </si>
  <si>
    <t>WAVERUNNER - VENDA LÍQUIDA</t>
  </si>
  <si>
    <t>WAVERUNNER - CUSTO</t>
  </si>
  <si>
    <t>WAVERUNNER - LUCRO BRUTO</t>
  </si>
  <si>
    <t>TOTAL VENDAS - LINHA NÁUTICA - UNIDADES</t>
  </si>
  <si>
    <t>TOTAL VENDAS - LINHA NÁUTICA - RECEITA</t>
  </si>
  <si>
    <t>TOTAL VENDAS - LINHA NÁUTICA - DEVOLUÇÃO DE VENDAS</t>
  </si>
  <si>
    <t>TOTAL VENDAS - LINHA NÁUTICA - ABAT. E DESCONTO</t>
  </si>
  <si>
    <t>TOTAL VENDAS - LINHA NÁUTICA - VENDA LÍQUIDA</t>
  </si>
  <si>
    <t>TOTAL VENDAS - LINHA NÁUTICA - CUSTO</t>
  </si>
  <si>
    <t>TOTAL VENDAS - LINHA NÁUTICA - LUCRO BRUTO</t>
  </si>
  <si>
    <t>MODELO 1 - UNIDADES</t>
  </si>
  <si>
    <t>MODELO 1 - RECEITA</t>
  </si>
  <si>
    <t>MODELO 1 - DEVOLUÇÃO DE VENDAS</t>
  </si>
  <si>
    <t>MODELO 1 - ABAT. E DESCONTO</t>
  </si>
  <si>
    <t>MODELO 1 - VENDA LÍQUIDA</t>
  </si>
  <si>
    <t>MODELO 1 - CUSTO</t>
  </si>
  <si>
    <t>MODELO 1 - LUCRO BRUTO</t>
  </si>
  <si>
    <t>MODELO 2 - UNIDADES</t>
  </si>
  <si>
    <t>MODELO 2 - RECEITA</t>
  </si>
  <si>
    <t>MODELO 2 - DEVOLUÇÃO DE VENDAS</t>
  </si>
  <si>
    <t>MODELO 2 - ABAT. E DESCONTO</t>
  </si>
  <si>
    <t>MODELO 2 - VENDA LÍQUIDA</t>
  </si>
  <si>
    <t>MODELO 2 - CUSTO</t>
  </si>
  <si>
    <t>MODELO 2 - LUCRO BRUTO</t>
  </si>
  <si>
    <t>MODELO 3 - UNIDADES</t>
  </si>
  <si>
    <t>MODELO 3 - RECEITA</t>
  </si>
  <si>
    <t>MODELO 3 - DEVOLUÇÃO DE VENDAS</t>
  </si>
  <si>
    <t>MODELO 3 - ABAT. E DESCONTO</t>
  </si>
  <si>
    <t>MODELO 3 - VENDA LÍQUIDA</t>
  </si>
  <si>
    <t>MODELO 3 - CUSTO</t>
  </si>
  <si>
    <t>MODELO 3 - LUCRO BRUTO</t>
  </si>
  <si>
    <t>TOTAL VENDAS - QUADRICICLOS - UNIDADES</t>
  </si>
  <si>
    <t>TOTAL VENDAS - QUADRICICLOS - RECEITA</t>
  </si>
  <si>
    <t>TOTAL VENDAS - QUADRICICLOS - DEVOLUÇÃO DE VENDAS</t>
  </si>
  <si>
    <t>TOTAL VENDAS - QUADRICICLOS - ABAT. E DESCONTO</t>
  </si>
  <si>
    <t>TOTAL VENDAS - QUADRICICLOS - VENDA LÍQUIDA</t>
  </si>
  <si>
    <t>TOTAL VENDAS - QUADRICICLOS - CUSTO</t>
  </si>
  <si>
    <t>TOTAL VENDAS - QUADRICICLOS - LUCRO BRUTO</t>
  </si>
  <si>
    <t>TOTAL VENDAS VEÍCULOS - UNIDADES</t>
  </si>
  <si>
    <t>TOTAL VENDAS VEÍCULOS - RECEITA</t>
  </si>
  <si>
    <t>TOTAL VENDAS VEÍCULOS - DEVOLUÇÃO DE VENDAS</t>
  </si>
  <si>
    <t>TOTAL VENDAS VEÍCULOS - ABAT. E DESCONTO</t>
  </si>
  <si>
    <t>TOTAL VENDAS VEÍCULOS - VENDA LÍQUIDA</t>
  </si>
  <si>
    <t>TOTAL VENDAS VEÍCULOS - CUSTO</t>
  </si>
  <si>
    <t>TOTAL VENDAS VEÍCULOS - LUCRO BRUTO</t>
  </si>
  <si>
    <t>INCENTIVOS DE VAREJO - VALOR</t>
  </si>
  <si>
    <t>BONIFICAÇÕES 1 - VALOR</t>
  </si>
  <si>
    <t>BONIFICAÇÕES 2 - VALOR</t>
  </si>
  <si>
    <t>COMISSÕES DIVERSAS - VALOR</t>
  </si>
  <si>
    <t>OUTRAS RECEITAS - VALOR</t>
  </si>
  <si>
    <t>TOTAL OUTRAS RECEITAS OPERACIONAIS - VALOR</t>
  </si>
  <si>
    <t>COMISSÕES SOBRE VENDAS - VALOR</t>
  </si>
  <si>
    <t>ENCARGOS SOBRE COMISSÕES - VALOR</t>
  </si>
  <si>
    <t>OUTRAS DESPESAS - VALOR</t>
  </si>
  <si>
    <t>TOTAL DESPESAS VARIÁVEIS - VALOR</t>
  </si>
  <si>
    <t>MARGEM DE CONTRIBUIÇÃO - VALOR</t>
  </si>
  <si>
    <t>TOTAL DESPESAS COM PESSOAL (A) - VALOR</t>
  </si>
  <si>
    <t>TOT. DESPESAS COM ESTRUT. - IMÓVEIS (B) - VALOR</t>
  </si>
  <si>
    <t>TOTAL DESPESAS GERAIS (C) - VALOR</t>
  </si>
  <si>
    <t>TOTAL DESPESAS OPERACIONAIS (A+B+C) - VALOR</t>
  </si>
  <si>
    <t>LUCRO / PREJUÍZO OPERACIONAL - VALOR</t>
  </si>
  <si>
    <t>TOTAL DESPESAS NÃO-OPERACIONAIS - VALOR</t>
  </si>
  <si>
    <t>TOTAL DESPESAS FINANCEIRAS - VALOR</t>
  </si>
  <si>
    <t>TOTAL DE RECEITAS NÃO-OPERACIONAIS - VALOR</t>
  </si>
  <si>
    <t>TOTAL DE RECEITAS FINANCEIRAS - VALOR</t>
  </si>
  <si>
    <t xml:space="preserve">IOF  - VALOR</t>
  </si>
  <si>
    <t>JUROS CONTRATUAIS - VALOR</t>
  </si>
  <si>
    <t>JUROS DE MORA - VALOR</t>
  </si>
  <si>
    <t>TOTAL DESPESAS DE FLOOR PLAN - VALOR</t>
  </si>
  <si>
    <t>RESULTADO DO DEPARTAMENTO DE NOVOS - VALOR</t>
  </si>
  <si>
    <t>NEO 125 - ESTOQUE FINAL</t>
  </si>
  <si>
    <t>NMAX 160 ABS - ESTOQUE FINAL</t>
  </si>
  <si>
    <t>TMAX 530 - ESTOQUE FINAL</t>
  </si>
  <si>
    <t xml:space="preserve">TTR 230  - ESTOQUE FINAL</t>
  </si>
  <si>
    <t>YZ 250 - ESTOQUE FINAL</t>
  </si>
  <si>
    <t>YZ 250F - ESTOQUE FINAL</t>
  </si>
  <si>
    <t>YZ 250FX - ESTOQUE FINAL</t>
  </si>
  <si>
    <t>YZ 450F - ESTOQUE FINAL</t>
  </si>
  <si>
    <t>WR 250F - ESTOQUE FINAL</t>
  </si>
  <si>
    <t>FACTOR YBR 125i ED - ESTOQUE FINAL</t>
  </si>
  <si>
    <t>FACTOR 150E - ESTOQUE FINAL</t>
  </si>
  <si>
    <t>FACTOR 150ED - ESTOQUE FINAL</t>
  </si>
  <si>
    <t>YS 150 FAZER SED - ESTOQUE FINAL</t>
  </si>
  <si>
    <t>XTZ 150 CROSSER E - ESTOQUE FINAL</t>
  </si>
  <si>
    <t>XTZ 150 CROSSER ED - ESTOQUE FINAL</t>
  </si>
  <si>
    <t>YS 250 FAZER BLUEFLEX - ESTOQUE FINAL</t>
  </si>
  <si>
    <t>XTZ 250 LANDER - ESTOQUE FINAL</t>
  </si>
  <si>
    <t>XTZ 250 TENERE - ESTOQUE FINAL</t>
  </si>
  <si>
    <t xml:space="preserve">YZF R3  - ESTOQUE FINAL</t>
  </si>
  <si>
    <t>YZF R3 ABS - ESTOQUE FINAL</t>
  </si>
  <si>
    <t>MT03 - ESTOQUE FINAL</t>
  </si>
  <si>
    <t>MT03 ABS - ESTOQUE FINAL</t>
  </si>
  <si>
    <t>XJ6 N ABS - ESTOQUE FINAL</t>
  </si>
  <si>
    <t>XJ6 F ABS - ESTOQUE FINAL</t>
  </si>
  <si>
    <t>XT 660R - ESTOQUE FINAL</t>
  </si>
  <si>
    <t>XT 660Z TENERE ABS - ESTOQUE FINAL</t>
  </si>
  <si>
    <t>MT07 - ESTOQUE FINAL</t>
  </si>
  <si>
    <t>MT07 ABS - ESTOQUE FINAL</t>
  </si>
  <si>
    <t>MT09 - ESTOQUE FINAL</t>
  </si>
  <si>
    <t>MT09 SP - ESTOQUE FINAL</t>
  </si>
  <si>
    <t>MT09 TRACER - ESTOQUE FINAL</t>
  </si>
  <si>
    <t>YZF R1 - ESTOQUE FINAL</t>
  </si>
  <si>
    <t>YZF R1M - ESTOQUE FINAL</t>
  </si>
  <si>
    <t>TOTAL MOTOCICLETAS - ESTOQUE FINAL</t>
  </si>
  <si>
    <t>MOTORES - ESTOQUE FINAL</t>
  </si>
  <si>
    <t>WAVERUNNER - ESTOQUE FINAL</t>
  </si>
  <si>
    <t>TOTAL LINHA NÁUTICA - ESTOQUE FINAL</t>
  </si>
  <si>
    <t>MODELO 1 - ESTOQUE FINAL</t>
  </si>
  <si>
    <t>MODELO 2 - ESTOQUE FINAL</t>
  </si>
  <si>
    <t>MODELO 3 - ESTOQUE FINAL</t>
  </si>
  <si>
    <t>TOTAL QUADRICICLOS - ESTOQUE FINAL</t>
  </si>
  <si>
    <t>YZ 85LW - ESTOQUE FINAL</t>
  </si>
  <si>
    <t>YZ 250X - ESTOQUE FINAL</t>
  </si>
  <si>
    <t>YZ 450FX - ESTOQUE FINAL</t>
  </si>
  <si>
    <t>WR 450F - ESTOQUE FINAL</t>
  </si>
  <si>
    <t>A9640.1</t>
  </si>
  <si>
    <t>PLACEHOLDER ESTOQUE NEW #5 - ESTOQUE FINAL</t>
  </si>
  <si>
    <t>A9650.1</t>
  </si>
  <si>
    <t>PLACEHOLDER ESTOQUE NEW #6 - ESTOQUE FINAL</t>
  </si>
  <si>
    <t>A9660.1</t>
  </si>
  <si>
    <t>PLACEHOLDER ESTOQUE NEW #7 - ESTOQUE FINAL</t>
  </si>
  <si>
    <t>A9670.1</t>
  </si>
  <si>
    <t>PLACEHOLDER ESTOQUE NEW #8 - ESTOQUE FINAL</t>
  </si>
  <si>
    <t>A9680.1</t>
  </si>
  <si>
    <t>PLACEHOLDER ESTOQUE NEW #9 - ESTOQUE FINAL</t>
  </si>
  <si>
    <t>A9690.1</t>
  </si>
  <si>
    <t>PLACEHOLDER ESTOQUE NEW #10 - ESTOQUE FINAL</t>
  </si>
  <si>
    <t>A9700.1</t>
  </si>
  <si>
    <t>PLACEHOLDER ESTOQUE NEW #11 - ESTOQUE FINAL</t>
  </si>
  <si>
    <t>A9710.1</t>
  </si>
  <si>
    <t>PLACEHOLDER ESTOQUE NEW #12 - ESTOQUE FINAL</t>
  </si>
  <si>
    <t>A9720.1</t>
  </si>
  <si>
    <t>PLACEHOLDER ESTOQUE NEW #13 - ESTOQUE FINAL</t>
  </si>
  <si>
    <t>A9730.1</t>
  </si>
  <si>
    <t>PLACEHOLDER ESTOQUE NEW #14 - ESTOQUE FINAL</t>
  </si>
  <si>
    <t>A9740.1</t>
  </si>
  <si>
    <t>PLACEHOLDER ESTOQUE NEW #15 - ESTOQUE FINAL</t>
  </si>
  <si>
    <t>A9750.1</t>
  </si>
  <si>
    <t>PLACEHOLDER ESTOQUE NEW #16 - ESTOQUE FINAL</t>
  </si>
  <si>
    <t>A9760.1</t>
  </si>
  <si>
    <t>PLACEHOLDER ESTOQUE NEW #17 - ESTOQUE FINAL</t>
  </si>
  <si>
    <t>A9770.1</t>
  </si>
  <si>
    <t>PLACEHOLDER ESTOQUE NEW #18 - ESTOQUE FINAL</t>
  </si>
  <si>
    <t>A9780.1</t>
  </si>
  <si>
    <t>PLACEHOLDER ESTOQUE NEW #19 - ESTOQUE FINAL</t>
  </si>
  <si>
    <t>A9790.1</t>
  </si>
  <si>
    <t>PLACEHOLDER ESTOQUE NEW #20 - ESTOQUE FINAL</t>
  </si>
  <si>
    <t>TOTAL DE ESTOQUE DE NOVOS - ESTOQUE FINAL</t>
  </si>
  <si>
    <t>MOTOCICLETAS YAMAHA - UNIDADES</t>
  </si>
  <si>
    <t>MOTOCICLETAS YAMAHA - RECEITA</t>
  </si>
  <si>
    <t>MOTOCICLETAS YAMAHA - DEVOLUÇÃO DE VENDAS</t>
  </si>
  <si>
    <t>MOTOCICLETAS YAMAHA - ABAT. E DESCONTO</t>
  </si>
  <si>
    <t>MOTOCICLETAS YAMAHA - VENDA LÍQUIDA</t>
  </si>
  <si>
    <t>MOTOCICLETAS YAMAHA - CUSTO</t>
  </si>
  <si>
    <t>MOTOCICLETAS YAMAHA - LUCRO LÍQUIDO</t>
  </si>
  <si>
    <t>MOTOCICLETAS OUTRAS MARCAS - UNIDADES</t>
  </si>
  <si>
    <t>MOTOCICLETAS OUTRAS MARCAS - RECEITA</t>
  </si>
  <si>
    <t>MOTOCICLETAS OUTRAS MARCAS - DEVOLUÇÃO DE VENDAS</t>
  </si>
  <si>
    <t>MOTOCICLETAS OUTRAS MARCAS - ABAT. E DESCONTO</t>
  </si>
  <si>
    <t>MOTOCICLETAS OUTRAS MARCAS - VENDA LÍQUIDA</t>
  </si>
  <si>
    <t>MOTOCICLETAS OUTRAS MARCAS - CUSTO</t>
  </si>
  <si>
    <t>MOTOCICLETAS OUTRAS MARCAS - LUCRO LÍQUIDO</t>
  </si>
  <si>
    <t>VENDAS - MOTOCICLETAS - UNIDADES</t>
  </si>
  <si>
    <t>VENDAS - MOTOCICLETAS - RECEITA</t>
  </si>
  <si>
    <t>VENDAS - MOTOCICLETAS - DEVOLUÇÃO DE VENDAS</t>
  </si>
  <si>
    <t>VENDAS - MOTOCICLETAS - ABAT. E DESCONTO</t>
  </si>
  <si>
    <t>VENDAS - MOTOCICLETAS - VENDA LÍQUIDA</t>
  </si>
  <si>
    <t>VENDAS - MOTOCICLETAS - CUSTO</t>
  </si>
  <si>
    <t>VENDAS - MOTOCICLETAS - LUCRO LÍQUIDO</t>
  </si>
  <si>
    <t>OUTROS PRODUTOS YAMAHA - UNIDADES</t>
  </si>
  <si>
    <t>OUTROS PRODUTOS YAMAHA - RECEITA</t>
  </si>
  <si>
    <t>OUTROS PRODUTOS YAMAHA - DEVOLUÇÃO DE VENDAS</t>
  </si>
  <si>
    <t>OUTROS PRODUTOS YAMAHA - ABAT. E DESCONTO</t>
  </si>
  <si>
    <t>OUTROS PRODUTOS YAMAHA - VENDA LÍQUIDA</t>
  </si>
  <si>
    <t>OUTROS PRODUTOS YAMAHA - CUSTO</t>
  </si>
  <si>
    <t>OUTROS PRODUTOS YAMAHA - LUCRO LÍQUIDO</t>
  </si>
  <si>
    <t>TOTAL VENDAS - UNIDADES</t>
  </si>
  <si>
    <t>TOTAL VENDAS - RECEITA</t>
  </si>
  <si>
    <t>TOTAL VENDAS - DEVOLUÇÃO DE VENDAS</t>
  </si>
  <si>
    <t>TOTAL VENDAS - ABAT. E DESCONTO</t>
  </si>
  <si>
    <t>TOTAL VENDAS - VENDA LÍQUIDA</t>
  </si>
  <si>
    <t>TOTAL VENDAS - CUSTO</t>
  </si>
  <si>
    <t>TOTAL VENDAS - LUCRO LÍQUIDO</t>
  </si>
  <si>
    <t>TOT. DESPESAS COM ESTRUT. - IMÓVEIS(B) - VALOR</t>
  </si>
  <si>
    <t>RESULTADO DO DEPARTAMENTO DE USADOS VALOR</t>
  </si>
  <si>
    <t>MOTOCICLETAS YAMAHA - ESTOQUE FINAL</t>
  </si>
  <si>
    <t>MOTOCICLETAS OUTRAS MARCAS - ESTOQUE FINAL</t>
  </si>
  <si>
    <t>OUTROS PRODUTOS YAMAHA - ESTOQUE FINAL</t>
  </si>
  <si>
    <t>TOTAL ESTOQUE DE ESTOQUE FINAL</t>
  </si>
  <si>
    <t>PEÇAS GENUÍNAS - RECEITA</t>
  </si>
  <si>
    <t>PEÇAS GENUÍNAS - DEVOLUÇÃO DE VENDAS</t>
  </si>
  <si>
    <t>PEÇAS GENUÍNAS - ABAT. E DESCONTO</t>
  </si>
  <si>
    <t>PEÇAS GENUÍNAS - VENDA LÍQUIDA</t>
  </si>
  <si>
    <t>PEÇAS GENUÍNAS - CUSTO</t>
  </si>
  <si>
    <t>PEÇAS GENUÍNAS - LUCRO LÍQUIDO</t>
  </si>
  <si>
    <t>PEÇAS YTEC - RECEITA</t>
  </si>
  <si>
    <t>PEÇAS YTEC - DEVOLUÇÃO DE VENDAS</t>
  </si>
  <si>
    <t>PEÇAS YTEC - ABAT. E DESCONTO</t>
  </si>
  <si>
    <t>PEÇAS YTEC - VENDA LÍQUIDA</t>
  </si>
  <si>
    <t>PEÇAS YTEC - CUSTO</t>
  </si>
  <si>
    <t>PEÇAS YTEC - LUCRO LÍQUIDO</t>
  </si>
  <si>
    <t>PEÇAS NÃO GENUÍNAS - RECEITA</t>
  </si>
  <si>
    <t>PEÇAS NÃO GENUÍNAS - DEVOLUÇÃO DE VENDAS</t>
  </si>
  <si>
    <t>PEÇAS NÃO GENUÍNAS - ABAT. E DESCONTO</t>
  </si>
  <si>
    <t>PEÇAS NÃO GENUÍNAS - VENDA LÍQUIDA</t>
  </si>
  <si>
    <t>PEÇAS NÃO GENUÍNAS - CUSTO</t>
  </si>
  <si>
    <t>PEÇAS NÃO GENUÍNAS - LUCRO LÍQUIDO</t>
  </si>
  <si>
    <t>ACESSÓRIOS - RECEITA</t>
  </si>
  <si>
    <t>ACESSÓRIOS - DEVOLUÇÃO DE VENDAS</t>
  </si>
  <si>
    <t>ACESSÓRIOS - ABAT. E DESCONTO</t>
  </si>
  <si>
    <t>ACESSÓRIOS - VENDA LÍQUIDA</t>
  </si>
  <si>
    <t>ACESSÓRIOS - CUSTO</t>
  </si>
  <si>
    <t>ACESSÓRIOS - LUCRO LÍQUIDO</t>
  </si>
  <si>
    <t>RECEITA DE VENDA BALCÃO - RECEITA</t>
  </si>
  <si>
    <t>RECEITA DE VENDA BALCÃO - DEVOLUÇÃO DE VENDAS</t>
  </si>
  <si>
    <t>RECEITA DE VENDA BALCÃO - ABAT. E DESCONTO</t>
  </si>
  <si>
    <t>RECEITA DE VENDA BALCÃO - VENDA LÍQUIDA</t>
  </si>
  <si>
    <t>RECEITA DE VENDA BALCÃO - CUSTO</t>
  </si>
  <si>
    <t>RECEITA DE VENDA BALCÃO - LUCRO LÍQUIDO</t>
  </si>
  <si>
    <t>RECEITA DE VENDA ATACADO - RECEITA</t>
  </si>
  <si>
    <t>RECEITA DE VENDA ATACADO - DEVOLUÇÃO DE VENDAS</t>
  </si>
  <si>
    <t>RECEITA DE VENDA ATACADO - ABAT. E DESCONTO</t>
  </si>
  <si>
    <t>RECEITA DE VENDA ATACADO - VENDA LÍQUIDA</t>
  </si>
  <si>
    <t>RECEITA DE VENDA ATACADO - CUSTO</t>
  </si>
  <si>
    <t>RECEITA DE VENDA ATACADO - LUCRO LÍQUIDO</t>
  </si>
  <si>
    <t>PRODUTOS APLICADOS NA OFICINA - RECEITA</t>
  </si>
  <si>
    <t>PRODUTOS APLICADOS NA OFICINA - DEVOLUÇÃO DE VENDAS</t>
  </si>
  <si>
    <t>PRODUTOS APLICADOS NA OFICINA - ABAT. E DESCONTO</t>
  </si>
  <si>
    <t>PRODUTOS APLICADOS NA OFICINA - VENDA LÍQUIDA</t>
  </si>
  <si>
    <t>PRODUTOS APLICADOS NA OFICINA - CUSTO</t>
  </si>
  <si>
    <t>PRODUTOS APLICADOS NA OFICINA - LUCRO LÍQUIDO</t>
  </si>
  <si>
    <t>TOTAL RECEITA DE PEÇAS E ACESS. - RECEITA</t>
  </si>
  <si>
    <t>TOTAL RECEITA DE PEÇAS E ACESS. - VENDA CANCEL.</t>
  </si>
  <si>
    <t>TOTAL RECEITA DE PEÇAS E ACESS. - ABAT. E DESCONTO</t>
  </si>
  <si>
    <t>TOTAL RECEITA DE PEÇAS E ACESS. - VENDA LÍQUIDA</t>
  </si>
  <si>
    <t>TOTAL RECEITA DE PEÇAS E ACESS. - CUSTO</t>
  </si>
  <si>
    <t>TOTAL RECEITA DE PEÇAS E ACESS. - LUCRO LÍQUIDO</t>
  </si>
  <si>
    <t>COMISSÕES SOBRE VENDAS DE VALOR</t>
  </si>
  <si>
    <t>RESULTADO DO DEPARTAMENTO DE PEÇAS E ACESS. - VALOR</t>
  </si>
  <si>
    <t>REVISÃO GRATUITA - RECEITA</t>
  </si>
  <si>
    <t>REVISÃO GRATUITA - VENDA LÍQUIDA</t>
  </si>
  <si>
    <t>REVISÃO GRATUITA - CUSTO</t>
  </si>
  <si>
    <t>REVISÃO GRATUITA - LUCRO LÍQUIDO</t>
  </si>
  <si>
    <t>SERVIÇOS EM GARANTIA - RECEITA</t>
  </si>
  <si>
    <t>SERVIÇOS EM GARANTIA - VENDA LÍQUIDA</t>
  </si>
  <si>
    <t>SERVIÇOS EM GARANTIA - CUSTO</t>
  </si>
  <si>
    <t>SERVIÇOS EM GARANTIA - LUCRO LÍQUIDO</t>
  </si>
  <si>
    <t>SERVIÇOS EM GERAL - RECEITA</t>
  </si>
  <si>
    <t>SERVIÇOS EM GERAL - VENDA LÍQUIDA</t>
  </si>
  <si>
    <t>SERVIÇOS EM GERAL - CUSTO</t>
  </si>
  <si>
    <t>SERVIÇOS EM GERAL - LUCRO LÍQUIDO</t>
  </si>
  <si>
    <t>TOTAL DE RECEITA DE VENDA DE SERVIÇOS - RECEITA</t>
  </si>
  <si>
    <t>TOTAL DE RECEITA DE VENDA DE SERVIÇOS - VENDA LÍQUIDA</t>
  </si>
  <si>
    <t>TOTAL DE RECEITA DE VENDA DE SERVIÇOS - CUSTO</t>
  </si>
  <si>
    <t>TOTAL DE RECEITA DE VENDA DE SERVIÇOS - LUCRO LÍQUIDO</t>
  </si>
  <si>
    <t>COMISSIONS SERVIÇOS - VALOR</t>
  </si>
  <si>
    <t>TOT. DESPESA COM ESTRUT. - IMÓVEIS(B) - VALOR</t>
  </si>
  <si>
    <t>RESULTADO DO DEPARTAMENTO DE SERVIÇOS - VALOR</t>
  </si>
  <si>
    <t>COMISSÃO VENDA COTAS DE CONSORCIO - VALOR</t>
  </si>
  <si>
    <t>COMISSÃO SOBRE VENDAS DE SEGUROS - VALOR</t>
  </si>
  <si>
    <t>COMISSÃO S. SEGURO PROT. FINAN. - FINANCIAMENTO - VALOR</t>
  </si>
  <si>
    <t>DESPACHANTE - VALOR</t>
  </si>
  <si>
    <t>COMISSÃO SOBRE FINANCIAMENTOS - VALOR</t>
  </si>
  <si>
    <t>BONIFICACAO SOBRE FINANCIAMENTOS - ACORDO - VALOR</t>
  </si>
  <si>
    <t>TOTAL DE RECEITAS DE F &amp; I - VALOR</t>
  </si>
  <si>
    <t>RESULTADO DO DEPARTAMENTO DE DE F&amp;I - VALOR</t>
  </si>
  <si>
    <t>SALÁRIOS, GRATIF. E OUTRAS REMUNER. - NOVOS</t>
  </si>
  <si>
    <t>SALÁRIOS, GRATIF. E OUTRAS REMUNER. - USADOS</t>
  </si>
  <si>
    <t>SALÁRIOS, GRATIF. E OUTRAS REMUNER. - F &amp; I</t>
  </si>
  <si>
    <t>SALÁRIOS, GRATIF. E OUTRAS REMUNER. - PEÇAS</t>
  </si>
  <si>
    <t>SALÁRIOS, GRATIF. E OUTRAS REMUNER. - SERVIÇO</t>
  </si>
  <si>
    <t>SALÁRIOS, GRATIF. E OUTRAS REMUNER. - ADMIN</t>
  </si>
  <si>
    <t>SALÁRIOS, GRATIF. E OUTRAS REMUNER. - TOTAL</t>
  </si>
  <si>
    <t>ENCARG. SOC. E BENEF. (FGTS, PREV) - NOVOS</t>
  </si>
  <si>
    <t>ENCARG. SOC. E BENEF. (FGTS, PREV) - USADOS</t>
  </si>
  <si>
    <t>ENCARG. SOC. E BENEF. (FGTS, PREV) - F &amp; I</t>
  </si>
  <si>
    <t>ENCARG. SOC. E BENEF. (FGTS, PREV) - PEÇAS</t>
  </si>
  <si>
    <t>ENCARG. SOC. E BENEF. (FGTS, PREV) - SERVIÇO</t>
  </si>
  <si>
    <t>ENCARG. SOC. E BENEF. (FGTS, PREV) - ADMIN</t>
  </si>
  <si>
    <t>ENCARG. SOC. E BENEF. (FGTS, PREV) - TOTAL</t>
  </si>
  <si>
    <t>PROVISÕES PARA FÉRIAS E 13º SALÁRIO - NOVOS</t>
  </si>
  <si>
    <t>PROVISÕES PARA FÉRIAS E 13º SALÁRIO - USADOS</t>
  </si>
  <si>
    <t>PROVISÕES PARA FÉRIAS E 13º SALÁRIO - F &amp; I</t>
  </si>
  <si>
    <t>PROVISÕES PARA FÉRIAS E 13º SALÁRIO - PEÇAS</t>
  </si>
  <si>
    <t>PROVISÕES PARA FÉRIAS E 13º SALÁRIO - SERVIÇO</t>
  </si>
  <si>
    <t>PROVISÕES PARA FÉRIAS E 13º SALÁRIO - ADMIN</t>
  </si>
  <si>
    <t>PROVISÕES PARA FÉRIAS E 13º SALÁRIO - TOTAL</t>
  </si>
  <si>
    <t>FUNDO APOSENT. PROGR. INDIV. DE EMPREGADO - NOVOS</t>
  </si>
  <si>
    <t>FUNDO APOSENT. PROGR. INDIV. DE EMPREGADO - USADOS</t>
  </si>
  <si>
    <t>FUNDO APOSENT. PROGR. INDIV. DE EMPREGADO - F &amp; I</t>
  </si>
  <si>
    <t>FUNDO APOSENT. PROGR. INDIV. DE EMPREGADO - PEÇAS</t>
  </si>
  <si>
    <t>FUNDO APOSENT. PROGR. INDIV. DE EMPREGADO - SERVIÇO</t>
  </si>
  <si>
    <t>FUNDO APOSENT. PROGR. INDIV. DE EMPREGADO - ADMIN</t>
  </si>
  <si>
    <t>FUNDO APOSENT. PROGR. INDIV. DE EMPREGADO - TOTAL</t>
  </si>
  <si>
    <t>REMUNER. DIRIGENTE E CONSELHEIRO DE ADM - NOVOS</t>
  </si>
  <si>
    <t>REMUNER. DIRIGENTE E CONSELHEIRO DE ADM - USADOS</t>
  </si>
  <si>
    <t>REMUNER. DIRIGENTE E CONSELHEIRO DE ADM - F &amp; I</t>
  </si>
  <si>
    <t>REMUNER. DIRIGENTE E CONSELHEIRO DE ADM - PEÇAS</t>
  </si>
  <si>
    <t>REMUNER. DIRIGENTE E CONSELHEIRO DE ADM - SERVIÇO</t>
  </si>
  <si>
    <t>REMUNER. DIRIGENTE E CONSELHEIRO DE ADM - ADMIN</t>
  </si>
  <si>
    <t>REMUNER. DIRIGENTE E CONSELHEIRO DE ADM - TOTAL</t>
  </si>
  <si>
    <t>FORMAÇÃO PROFISSIONAL - NOVOS</t>
  </si>
  <si>
    <t>FORMAÇÃO PROFISSIONAL - USADOS</t>
  </si>
  <si>
    <t>FORMAÇÃO PROFISSIONAL - F &amp; I</t>
  </si>
  <si>
    <t>FORMAÇÃO PROFISSIONAL - PEÇAS</t>
  </si>
  <si>
    <t>FORMAÇÃO PROFISSIONAL - SERVIÇO</t>
  </si>
  <si>
    <t>FORMAÇÃO PROFISSIONAL - ADMIN</t>
  </si>
  <si>
    <t>FORMAÇÃO PROFISSIONAL - TOTAL</t>
  </si>
  <si>
    <t>ASSIST. MÉDICA, ODONTO. E FARMACÊUTICA - NOVOS</t>
  </si>
  <si>
    <t>ASSIST. MÉDICA, ODONTO. E FARMACÊUTICA - USADOS</t>
  </si>
  <si>
    <t>ASSIST. MÉDICA, ODONTO. E FARMACÊUTICA - F &amp; I</t>
  </si>
  <si>
    <t>ASSIST. MÉDICA, ODONTO. E FARMACÊUTICA - PEÇAS</t>
  </si>
  <si>
    <t>ASSIST. MÉDICA, ODONTO. E FARMACÊUTICA - SERVIÇO</t>
  </si>
  <si>
    <t>ASSIST. MÉDICA, ODONTO. E FARMACÊUTICA - ADMIN</t>
  </si>
  <si>
    <t>ASSIST. MÉDICA, ODONTO. E FARMACÊUTICA - TOTAL</t>
  </si>
  <si>
    <t>ALIMENTAÇÃO - NOVOS</t>
  </si>
  <si>
    <t>ALIMENTAÇÃO - USADOS</t>
  </si>
  <si>
    <t>ALIMENTAÇÃO - F &amp; I</t>
  </si>
  <si>
    <t>ALIMENTAÇÃO - PEÇAS</t>
  </si>
  <si>
    <t>ALIMENTAÇÃO - SERVIÇO</t>
  </si>
  <si>
    <t>ALIMENTAÇÃO - ADMIN</t>
  </si>
  <si>
    <t>ALIMENTAÇÃO - TOTAL</t>
  </si>
  <si>
    <t>OUTR. GASTOS PESSOAL (VIAGEM, TRANSP. ETC) - NOVOS</t>
  </si>
  <si>
    <t>OUTR. GASTOS PESSOAL (VIAGEM, TRANSP. ETC) - USADOS</t>
  </si>
  <si>
    <t>OUTR. GASTOS PESSOAL (VIAGEM, TRANSP. ETC) - F &amp; I</t>
  </si>
  <si>
    <t>OUTR. GASTOS PESSOAL (VIAGEM, TRANSP. ETC) - PEÇAS</t>
  </si>
  <si>
    <t>OUTR. GASTOS PESSOAL (VIAGEM, TRANSP. ETC) - SERVIÇO</t>
  </si>
  <si>
    <t>OUTR. GASTOS PESSOAL (VIAGEM, TRANSP. ETC) - ADMIN</t>
  </si>
  <si>
    <t>OUTR. GASTOS PESSOAL (VIAGEM, TRANSP. ETC) - TOTAL</t>
  </si>
  <si>
    <t>TOTAL DESPESAS COM PESSOAL (A) - NOVOS</t>
  </si>
  <si>
    <t>TOTAL DESPESAS COM PESSOAL (A) - USADOS</t>
  </si>
  <si>
    <t>TOTAL DESPESAS COM PESSOAL (A) - F &amp; I</t>
  </si>
  <si>
    <t>TOTAL DESPESAS COM PESSOAL (A) - PEÇAS</t>
  </si>
  <si>
    <t>TOTAL DESPESAS COM PESSOAL (A) - SERVIÇO</t>
  </si>
  <si>
    <t>TOTAL DESPESAS COM PESSOAL (A) - ADMIN</t>
  </si>
  <si>
    <t>TOTAL DESPESAS COM PESSOAL (A) - TOTAL</t>
  </si>
  <si>
    <t>ÁGUA E ENERGIA ELÉTRICA - NOVOS</t>
  </si>
  <si>
    <t>ÁGUA E ENERGIA ELÉTRICA - USADOS</t>
  </si>
  <si>
    <t>ÁGUA E ENERGIA ELÉTRICA - F &amp; I</t>
  </si>
  <si>
    <t>ÁGUA E ENERGIA ELÉTRICA - PEÇAS</t>
  </si>
  <si>
    <t>ÁGUA E ENERGIA ELÉTRICA - SERVIÇO</t>
  </si>
  <si>
    <t>ÁGUA E ENERGIA ELÉTRICA - ADMIN</t>
  </si>
  <si>
    <t>ÁGUA E ENERGIA ELÉTRICA - TOTAL</t>
  </si>
  <si>
    <t>ALUGUÉIS E IMPOSTOS - NOVOS</t>
  </si>
  <si>
    <t>ALUGUÉIS E IMPOSTOS - USADOS</t>
  </si>
  <si>
    <t>ALUGUÉIS E IMPOSTOS - F &amp; I</t>
  </si>
  <si>
    <t>ALUGUÉIS E IMPOSTOS - PEÇAS</t>
  </si>
  <si>
    <t>ALUGUÉIS E IMPOSTOS - SERVIÇO</t>
  </si>
  <si>
    <t>ALUGUÉIS E IMPOSTOS - ADMIN</t>
  </si>
  <si>
    <t>ALUGUÉIS E IMPOSTOS - TOTAL</t>
  </si>
  <si>
    <t xml:space="preserve">CONSERVAÇÃO DE PRÉDIOS, MÁQUINAS E MÓVEIS  - NOVOS</t>
  </si>
  <si>
    <t xml:space="preserve">CONSERVAÇÃO DE PRÉDIOS, MÁQUINAS E MÓVEIS  - USADOS</t>
  </si>
  <si>
    <t xml:space="preserve">CONSERVAÇÃO DE PRÉDIOS, MÁQUINAS E MÓVEIS  - F &amp; I</t>
  </si>
  <si>
    <t xml:space="preserve">CONSERVAÇÃO DE PRÉDIOS, MÁQUINAS E MÓVEIS  - PEÇAS</t>
  </si>
  <si>
    <t xml:space="preserve">CONSERVAÇÃO DE PRÉDIOS, MÁQUINAS E MÓVEIS  - SERVIÇO</t>
  </si>
  <si>
    <t xml:space="preserve">CONSERVAÇÃO DE PRÉDIOS, MÁQUINAS E MÓVEIS  - ADMIN</t>
  </si>
  <si>
    <t xml:space="preserve">CONSERVAÇÃO DE PRÉDIOS, MÁQUINAS E MÓVEIS  - TOTAL</t>
  </si>
  <si>
    <t>VIGILÂNCIA PATRIMONIAL - NOVOS</t>
  </si>
  <si>
    <t>VIGILÂNCIA PATRIMONIAL - USADOS</t>
  </si>
  <si>
    <t>VIGILÂNCIA PATRIMONIAL - F &amp; I</t>
  </si>
  <si>
    <t>VIGILÂNCIA PATRIMONIAL - PEÇAS</t>
  </si>
  <si>
    <t>VIGILÂNCIA PATRIMONIAL - SERVIÇO</t>
  </si>
  <si>
    <t>VIGILÂNCIA PATRIMONIAL - ADMIN</t>
  </si>
  <si>
    <t>VIGILÂNCIA PATRIMONIAL - TOTAL</t>
  </si>
  <si>
    <t>DEPRECIAÇÕES E AMORTIZAÇÕES - NOVOS</t>
  </si>
  <si>
    <t>DEPRECIAÇÕES E AMORTIZAÇÕES - USADOS</t>
  </si>
  <si>
    <t>DEPRECIAÇÕES E AMORTIZAÇÕES - F &amp; I</t>
  </si>
  <si>
    <t>DEPRECIAÇÕES E AMORTIZAÇÕES - PEÇAS</t>
  </si>
  <si>
    <t>DEPRECIAÇÕES E AMORTIZAÇÕES - SERVIÇO</t>
  </si>
  <si>
    <t>DEPRECIAÇÕES E AMORTIZAÇÕES - ADMIN</t>
  </si>
  <si>
    <t>DEPRECIAÇÕES E AMORTIZAÇÕES - TOTAL</t>
  </si>
  <si>
    <t>SEGUROS - NOVOS</t>
  </si>
  <si>
    <t>SEGUROS - USADOS</t>
  </si>
  <si>
    <t>SEGUROS - F &amp; I</t>
  </si>
  <si>
    <t>SEGUROS - PEÇAS</t>
  </si>
  <si>
    <t>SEGUROS - SERVIÇO</t>
  </si>
  <si>
    <t>SEGUROS - ADMIN</t>
  </si>
  <si>
    <t>SEGUROS - TOTAL</t>
  </si>
  <si>
    <t>OUTROS GASTOS COM ESTRUTURA - NOVOS</t>
  </si>
  <si>
    <t>OUTROS GASTOS COM ESTRUTURA - USADOS</t>
  </si>
  <si>
    <t>OUTROS GASTOS COM ESTRUTURA - F &amp; I</t>
  </si>
  <si>
    <t>OUTROS GASTOS COM ESTRUTURA - PEÇAS</t>
  </si>
  <si>
    <t>OUTROS GASTOS COM ESTRUTURA - SERVIÇO</t>
  </si>
  <si>
    <t>OUTROS GASTOS COM ESTRUTURA - ADMIN</t>
  </si>
  <si>
    <t>OUTROS GASTOS COM ESTRUTURA - TOTAL</t>
  </si>
  <si>
    <t>TOT. DESPESAS COM ESTRUT. - IMÓVEIS (B) - NOVOS</t>
  </si>
  <si>
    <t>TOT. DESPESAS COM ESTRUT. - IMÓVEIS (B) - USADOS</t>
  </si>
  <si>
    <t>TOT. DESPESAS COM ESTRUT. - IMÓVEIS (B) - F &amp; I</t>
  </si>
  <si>
    <t>TOT. DESPESAS COM ESTRUT. - IMÓVEIS (B) - PEÇAS</t>
  </si>
  <si>
    <t>TOT. DESPESAS COM ESTRUT. - IMÓVEIS (B) - SERVIÇO</t>
  </si>
  <si>
    <t>TOT. DESPESAS COM ESTRUT. - IMÓVEIS (B) - ADMIN</t>
  </si>
  <si>
    <t>TOT. DESPESAS COM ESTRUT. - IMÓVEIS (B) - TOTAL</t>
  </si>
  <si>
    <t xml:space="preserve">ADVOGADO  - NOVOS</t>
  </si>
  <si>
    <t xml:space="preserve">ADVOGADO  - USADOS</t>
  </si>
  <si>
    <t xml:space="preserve">ADVOGADO  - F &amp; I</t>
  </si>
  <si>
    <t xml:space="preserve">ADVOGADO  - PEÇAS</t>
  </si>
  <si>
    <t xml:space="preserve">ADVOGADO  - SERVIÇO</t>
  </si>
  <si>
    <t xml:space="preserve">ADVOGADO  - ADMIN</t>
  </si>
  <si>
    <t xml:space="preserve">ADVOGADO  - TOTAL</t>
  </si>
  <si>
    <t>CONTADOR - NOVOS</t>
  </si>
  <si>
    <t>CONTADOR - USADOS</t>
  </si>
  <si>
    <t>CONTADOR - F &amp; I</t>
  </si>
  <si>
    <t>CONTADOR - PEÇAS</t>
  </si>
  <si>
    <t>CONTADOR - SERVIÇO</t>
  </si>
  <si>
    <t>CONTADOR - ADMIN</t>
  </si>
  <si>
    <t>CONTADOR - TOTAL</t>
  </si>
  <si>
    <t>DESPESAS LEGAIS - NOVOS</t>
  </si>
  <si>
    <t>DESPESAS LEGAIS - USADOS</t>
  </si>
  <si>
    <t>DESPESAS LEGAIS - F &amp; I</t>
  </si>
  <si>
    <t>DESPESAS LEGAIS - PEÇAS</t>
  </si>
  <si>
    <t>DESPESAS LEGAIS - SERVIÇO</t>
  </si>
  <si>
    <t>DESPESAS LEGAIS - ADMIN</t>
  </si>
  <si>
    <t>DESPESAS LEGAIS - TOTAL</t>
  </si>
  <si>
    <t xml:space="preserve">DESPACHANTE  - NOVOS</t>
  </si>
  <si>
    <t xml:space="preserve">DESPACHANTE  - USADOS</t>
  </si>
  <si>
    <t xml:space="preserve">DESPACHANTE  - F &amp; I</t>
  </si>
  <si>
    <t xml:space="preserve">DESPACHANTE  - PEÇAS</t>
  </si>
  <si>
    <t xml:space="preserve">DESPACHANTE  - SERVIÇO</t>
  </si>
  <si>
    <t xml:space="preserve">DESPACHANTE  - ADMIN</t>
  </si>
  <si>
    <t xml:space="preserve">DESPACHANTE  - TOTAL</t>
  </si>
  <si>
    <t>INFORMÁTICA, TELEFONE E INTERNET - NOVOS</t>
  </si>
  <si>
    <t>INFORMÁTICA, TELEFONE E INTERNET - USADOS</t>
  </si>
  <si>
    <t>INFORMÁTICA, TELEFONE E INTERNET - F &amp; I</t>
  </si>
  <si>
    <t>INFORMÁTICA, TELEFONE E INTERNET - PEÇAS</t>
  </si>
  <si>
    <t>INFORMÁTICA, TELEFONE E INTERNET - SERVIÇO</t>
  </si>
  <si>
    <t>INFORMÁTICA, TELEFONE E INTERNET - ADMIN</t>
  </si>
  <si>
    <t>INFORMÁTICA, TELEFONE E INTERNET - TOTAL</t>
  </si>
  <si>
    <t>MATERIAIS DE CONSUMO - NOVOS</t>
  </si>
  <si>
    <t>MATERIAIS DE CONSUMO - USADOS</t>
  </si>
  <si>
    <t>MATERIAIS DE CONSUMO - F &amp; I</t>
  </si>
  <si>
    <t>MATERIAIS DE CONSUMO - PEÇAS</t>
  </si>
  <si>
    <t>MATERIAIS DE CONSUMO - SERVIÇO</t>
  </si>
  <si>
    <t>MATERIAIS DE CONSUMO - ADMIN</t>
  </si>
  <si>
    <t>MATERIAIS DE CONSUMO - TOTAL</t>
  </si>
  <si>
    <t>MULTAS - NOVOS</t>
  </si>
  <si>
    <t>MULTAS - USADOS</t>
  </si>
  <si>
    <t>MULTAS - F &amp; I</t>
  </si>
  <si>
    <t>MULTAS - PEÇAS</t>
  </si>
  <si>
    <t>MULTAS - SERVIÇO</t>
  </si>
  <si>
    <t>MULTAS - ADMIN</t>
  </si>
  <si>
    <t>MULTAS - TOTAL</t>
  </si>
  <si>
    <t>FRETES - NOVOS</t>
  </si>
  <si>
    <t>FRETES - USADOS</t>
  </si>
  <si>
    <t>FRETES - F &amp; I</t>
  </si>
  <si>
    <t>FRETES - PEÇAS</t>
  </si>
  <si>
    <t>FRETES - SERVIÇO</t>
  </si>
  <si>
    <t>FRETES - ADMIN</t>
  </si>
  <si>
    <t>FRETES - TOTAL</t>
  </si>
  <si>
    <t>PROPAGANDA E PROMOÇÃO - NOVOS</t>
  </si>
  <si>
    <t>PROPAGANDA E PROMOÇÃO - USADOS</t>
  </si>
  <si>
    <t>PROPAGANDA E PROMOÇÃO - F &amp; I</t>
  </si>
  <si>
    <t>PROPAGANDA E PROMOÇÃO - PEÇAS</t>
  </si>
  <si>
    <t>PROPAGANDA E PROMOÇÃO - SERVIÇO</t>
  </si>
  <si>
    <t>PROPAGANDA E PROMOÇÃO - ADMIN</t>
  </si>
  <si>
    <t>PROPAGANDA E PROMOÇÃO - TOTAL</t>
  </si>
  <si>
    <t>IMP., TAXAS E CONTRIB. (EXCET IRPJ E CSLL) - NOVOS</t>
  </si>
  <si>
    <t>IMP., TAXAS E CONTRIB. (EXCET IRPJ E CSLL) - USADOS</t>
  </si>
  <si>
    <t>IMP., TAXAS E CONTRIB. (EXCET IRPJ E CSLL) - F &amp; I</t>
  </si>
  <si>
    <t>IMP., TAXAS E CONTRIB. (EXCET IRPJ E CSLL) - PEÇAS</t>
  </si>
  <si>
    <t>IMP., TAXAS E CONTRIB. (EXCET IRPJ E CSLL) - SERVIÇO</t>
  </si>
  <si>
    <t>IMP., TAXAS E CONTRIB. (EXCET IRPJ E CSLL) - ADMIN</t>
  </si>
  <si>
    <t>IMP., TAXAS E CONTRIB. (EXCET IRPJ E CSLL) - TOTAL</t>
  </si>
  <si>
    <t>SEGUROS DE VEÍCULOS - NOVOS</t>
  </si>
  <si>
    <t>SEGUROS DE VEÍCULOS - USADOS</t>
  </si>
  <si>
    <t>SEGUROS DE VEÍCULOS - F &amp; I</t>
  </si>
  <si>
    <t>SEGUROS DE VEÍCULOS - PEÇAS</t>
  </si>
  <si>
    <t>SEGUROS DE VEÍCULOS - SERVIÇO</t>
  </si>
  <si>
    <t>SEGUROS DE VEÍCULOS - ADMIN</t>
  </si>
  <si>
    <t>SEGUROS DE VEÍCULOS - TOTAL</t>
  </si>
  <si>
    <t>DESP. C VEÍCULO (CONSERV., USO E REPARO) - NOVOS</t>
  </si>
  <si>
    <t>DESP. C VEÍCULO (CONSERV., USO E REPARO) - USADOS</t>
  </si>
  <si>
    <t>DESP. C VEÍCULO (CONSERV., USO E REPARO) - F &amp; I</t>
  </si>
  <si>
    <t>DESP. C VEÍCULO (CONSERV., USO E REPARO) - PEÇAS</t>
  </si>
  <si>
    <t>DESP. C VEÍCULO (CONSERV., USO E REPARO) - SERVIÇO</t>
  </si>
  <si>
    <t>DESP. C VEÍCULO (CONSERV., USO E REPARO) - ADMIN</t>
  </si>
  <si>
    <t>DESP. C VEÍCULO (CONSERV., USO E REPARO) - TOTAL</t>
  </si>
  <si>
    <t>PRESTAC. SERV. PESS. FIS. S VINC. EMPREG. - NOVOS</t>
  </si>
  <si>
    <t>PRESTAC. SERV. PESS. FIS. S VINC. EMPREG. - USADOS</t>
  </si>
  <si>
    <t>PRESTAC. SERV. PESS. FIS. S VINC. EMPREG. - F &amp; I</t>
  </si>
  <si>
    <t>PRESTAC. SERV. PESS. FIS. S VINC. EMPREG. - PEÇAS</t>
  </si>
  <si>
    <t>PRESTAC. SERV. PESS. FIS. S VINC. EMPREG. - SERVIÇO</t>
  </si>
  <si>
    <t>PRESTAC. SERV. PESS. FIS. S VINC. EMPREG. - ADMIN</t>
  </si>
  <si>
    <t>PRESTAC. SERV. PESS. FIS. S VINC. EMPREG. - TOTAL</t>
  </si>
  <si>
    <t>PRESTAÇÃO DE SERVIÇOS PESSOA JURÍDICA - NOVOS</t>
  </si>
  <si>
    <t>PRESTAÇÃO DE SERVIÇOS PESSOA JURÍDICA - USADOS</t>
  </si>
  <si>
    <t>PRESTAÇÃO DE SERVIÇOS PESSOA JURÍDICA - F &amp; I</t>
  </si>
  <si>
    <t>PRESTAÇÃO DE SERVIÇOS PESSOA JURÍDICA - PEÇAS</t>
  </si>
  <si>
    <t>PRESTAÇÃO DE SERVIÇOS PESSOA JURÍDICA - SERVIÇO</t>
  </si>
  <si>
    <t>PRESTAÇÃO DE SERVIÇOS PESSOA JURÍDICA - ADMIN</t>
  </si>
  <si>
    <t>PRESTAÇÃO DE SERVIÇOS PESSOA JURÍDICA - TOTAL</t>
  </si>
  <si>
    <t>CORTESIAS COMERCIAIS - NOVOS</t>
  </si>
  <si>
    <t>CORTESIAS COMERCIAIS - USADOS</t>
  </si>
  <si>
    <t>CORTESIAS COMERCIAIS - F &amp; I</t>
  </si>
  <si>
    <t>CORTESIAS COMERCIAIS - PEÇAS</t>
  </si>
  <si>
    <t>CORTESIAS COMERCIAIS - SERVIÇO</t>
  </si>
  <si>
    <t>CORTESIAS COMERCIAIS - ADMIN</t>
  </si>
  <si>
    <t>CORTESIAS COMERCIAIS - TOTAL</t>
  </si>
  <si>
    <t>CONTRIB. E DOAÇÕES - NOVOS</t>
  </si>
  <si>
    <t>CONTRIB. E DOAÇÕES - USADOS</t>
  </si>
  <si>
    <t>CONTRIB. E DOAÇÕES - F &amp; I</t>
  </si>
  <si>
    <t>CONTRIB. E DOAÇÕES - PEÇAS</t>
  </si>
  <si>
    <t>CONTRIB. E DOAÇÕES - SERVIÇO</t>
  </si>
  <si>
    <t>CONTRIB. E DOAÇÕES - ADMIN</t>
  </si>
  <si>
    <t>CONTRIB. E DOAÇÕES - TOTAL</t>
  </si>
  <si>
    <t>PERDAS EM OPERAÇÕES DE CRÉDITO - NOVOS</t>
  </si>
  <si>
    <t>PERDAS EM OPERAÇÕES DE CRÉDITO - USADOS</t>
  </si>
  <si>
    <t>PERDAS EM OPERAÇÕES DE CRÉDITO - F &amp; I</t>
  </si>
  <si>
    <t>PERDAS EM OPERAÇÕES DE CRÉDITO - PEÇAS</t>
  </si>
  <si>
    <t>PERDAS EM OPERAÇÕES DE CRÉDITO - SERVIÇO</t>
  </si>
  <si>
    <t>PERDAS EM OPERAÇÕES DE CRÉDITO - ADMIN</t>
  </si>
  <si>
    <t>PERDAS EM OPERAÇÕES DE CRÉDITO - TOTAL</t>
  </si>
  <si>
    <t>PERDAS DE ESTOQUE - NOVOS</t>
  </si>
  <si>
    <t>PERDAS DE ESTOQUE - USADOS</t>
  </si>
  <si>
    <t>PERDAS DE ESTOQUE - F &amp; I</t>
  </si>
  <si>
    <t>PERDAS DE ESTOQUE - PEÇAS</t>
  </si>
  <si>
    <t>PERDAS DE ESTOQUE - SERVIÇO</t>
  </si>
  <si>
    <t>PERDAS DE ESTOQUE - ADMIN</t>
  </si>
  <si>
    <t>PERDAS DE ESTOQUE - TOTAL</t>
  </si>
  <si>
    <t>OUTRAS DESPESAS GERAIS - NOVOS</t>
  </si>
  <si>
    <t>OUTRAS DESPESAS GERAIS - USADOS</t>
  </si>
  <si>
    <t>OUTRAS DESPESAS GERAIS - F &amp; I</t>
  </si>
  <si>
    <t>OUTRAS DESPESAS GERAIS - PEÇAS</t>
  </si>
  <si>
    <t>OUTRAS DESPESAS GERAIS - SERVIÇO</t>
  </si>
  <si>
    <t>OUTRAS DESPESAS GERAIS - ADMIN</t>
  </si>
  <si>
    <t>OUTRAS DESPESAS GERAIS - TOTAL</t>
  </si>
  <si>
    <t>TOTAL DESPESAS GERAIS (C) - NOVOS</t>
  </si>
  <si>
    <t>TOTAL DESPESAS GERAIS (C) - USADOS</t>
  </si>
  <si>
    <t>TOTAL DESPESAS GERAIS (C) - F &amp; I</t>
  </si>
  <si>
    <t>TOTAL DESPESAS GERAIS (C) - PEÇAS</t>
  </si>
  <si>
    <t>TOTAL DESPESAS GERAIS (C) - SERVIÇO</t>
  </si>
  <si>
    <t>TOTAL DESPESAS GERAIS (C) - ADMIN</t>
  </si>
  <si>
    <t>TOTAL DESPESAS GERAIS (C) - TOTAL</t>
  </si>
  <si>
    <t>TOTAL DESPESAS OPERACIONAIS (A+B+C) - NOVOS</t>
  </si>
  <si>
    <t>TOTAL DESPESAS OPERACIONAIS (A+B+C) - USADOS</t>
  </si>
  <si>
    <t>TOTAL DESPESAS OPERACIONAIS (A+B+C) - F &amp; I</t>
  </si>
  <si>
    <t>TOTAL DESPESAS OPERACIONAIS (A+B+C) - PEÇAS</t>
  </si>
  <si>
    <t>TOTAL DESPESAS OPERACIONAIS (A+B+C) - SERVIÇO</t>
  </si>
  <si>
    <t>TOTAL DESPESAS OPERACIONAIS (A+B+C) - ADMIN</t>
  </si>
  <si>
    <t>TOTAL DESPESAS OPERACIONAIS (A+B+C) - TOTAL</t>
  </si>
  <si>
    <t>DOAÇÕES A ENTIDADES CIVIS - NOVOS</t>
  </si>
  <si>
    <t>DOAÇÕES A ENTIDADES CIVIS - USADOS</t>
  </si>
  <si>
    <t>DOAÇÕES A ENTIDADES CIVIS - F &amp; I</t>
  </si>
  <si>
    <t>DOAÇÕES A ENTIDADES CIVIS - PEÇAS</t>
  </si>
  <si>
    <t>DOAÇÕES A ENTIDADES CIVIS - SERVIÇO</t>
  </si>
  <si>
    <t>DOAÇÕES A ENTIDADES CIVIS - ADMIN</t>
  </si>
  <si>
    <t>DOAÇÕES A ENTIDADES CIVIS - TOTAL</t>
  </si>
  <si>
    <t>DOAÇÕES INSTIT.DE ENSINO E PESQUISA - NOVOS</t>
  </si>
  <si>
    <t>DOAÇÕES INSTIT.DE ENSINO E PESQUISA - USADOS</t>
  </si>
  <si>
    <t>DOAÇÕES INSTIT.DE ENSINO E PESQUISA - F &amp; I</t>
  </si>
  <si>
    <t>DOAÇÕES INSTIT.DE ENSINO E PESQUISA - PEÇAS</t>
  </si>
  <si>
    <t>DOAÇÕES INSTIT.DE ENSINO E PESQUISA - SERVIÇO</t>
  </si>
  <si>
    <t>DOAÇÕES INSTIT.DE ENSINO E PESQUISA - ADMIN</t>
  </si>
  <si>
    <t>DOAÇÕES INSTIT.DE ENSINO E PESQUISA - TOTAL</t>
  </si>
  <si>
    <t>DOAÇÕES A PATROC. CARATER CULT. E ARTISTICO - NOVOS</t>
  </si>
  <si>
    <t>DOAÇÕES A PATROC. CARATER CULT. E ARTISTICO - USADOS</t>
  </si>
  <si>
    <t>DOAÇÕES A PATROC. CARATER CULT. E ARTISTICO - F &amp; I</t>
  </si>
  <si>
    <t>DOAÇÕES A PATROC. CARATER CULT. E ARTISTICO - PEÇAS</t>
  </si>
  <si>
    <t>DOAÇÕES A PATROC. CARATER CULT. E ARTISTICO - SERVIÇO</t>
  </si>
  <si>
    <t>DOAÇÕES A PATROC. CARATER CULT. E ARTISTICO - ADMIN</t>
  </si>
  <si>
    <t>DOAÇÕES A PATROC. CARATER CULT. E ARTISTICO - TOTAL</t>
  </si>
  <si>
    <t>OUTRAS DESPESAS NÃO-OPERACIONAIS - NOVOS</t>
  </si>
  <si>
    <t>OUTRAS DESPESAS NÃO-OPERACIONAIS - USADOS</t>
  </si>
  <si>
    <t>OUTRAS DESPESAS NÃO-OPERACIONAIS - F &amp; I</t>
  </si>
  <si>
    <t>OUTRAS DESPESAS NÃO-OPERACIONAIS - PEÇAS</t>
  </si>
  <si>
    <t>OUTRAS DESPESAS NÃO-OPERACIONAIS - SERVIÇO</t>
  </si>
  <si>
    <t>OUTRAS DESPESAS NÃO-OPERACIONAIS - ADMIN</t>
  </si>
  <si>
    <t>OUTRAS DESPESAS NÃO-OPERACIONAIS - TOTAL</t>
  </si>
  <si>
    <t>TOTAL DESPESAS NÃO-OPERACIONAIS - NOVOS</t>
  </si>
  <si>
    <t>TOTAL DESPESAS NÃO-OPERACIONAIS - USADOS</t>
  </si>
  <si>
    <t>TOTAL DESPESAS NÃO-OPERACIONAIS - F &amp; I</t>
  </si>
  <si>
    <t>TOTAL DESPESAS NÃO-OPERACIONAIS - PEÇAS</t>
  </si>
  <si>
    <t>TOTAL DESPESAS NÃO-OPERACIONAIS - SERVIÇO</t>
  </si>
  <si>
    <t>TOTAL DESPESAS NÃO-OPERACIONAIS - ADMIN</t>
  </si>
  <si>
    <t>TOTAL DESPESAS NÃO-OPERACIONAIS - TOTAL</t>
  </si>
  <si>
    <t>IOF - NOVOS</t>
  </si>
  <si>
    <t>IOF - USADOS</t>
  </si>
  <si>
    <t>IOF - F &amp; I</t>
  </si>
  <si>
    <t>IOF - PEÇAS</t>
  </si>
  <si>
    <t>IOF - SERVIÇO</t>
  </si>
  <si>
    <t>IOF - ADMIN</t>
  </si>
  <si>
    <t>IOF - TOTAL</t>
  </si>
  <si>
    <t>JUROS LINHA DE CRÉDITO BANCO YAMAHA - NOVOS</t>
  </si>
  <si>
    <t>JUROS LINHA DE CRÉDITO BANCO YAMAHA - USADOS</t>
  </si>
  <si>
    <t>JUROS LINHA DE CRÉDITO BANCO YAMAHA - TOTAL</t>
  </si>
  <si>
    <t>JUROS PASSIVOS - NOVOS</t>
  </si>
  <si>
    <t>JUROS PASSIVOS - USADOS</t>
  </si>
  <si>
    <t>JUROS PASSIVOS - F &amp; I</t>
  </si>
  <si>
    <t>JUROS PASSIVOS - PEÇAS</t>
  </si>
  <si>
    <t>JUROS PASSIVOS - SERVIÇO</t>
  </si>
  <si>
    <t>JUROS PASSIVOS - ADMIN</t>
  </si>
  <si>
    <t>JUROS PASSIVOS - TOTAL</t>
  </si>
  <si>
    <t>JUROS DE MORA - NOVOS</t>
  </si>
  <si>
    <t>JUROS DE MORA - USADOS</t>
  </si>
  <si>
    <t>JUROS DE MORA - F &amp; I</t>
  </si>
  <si>
    <t>JUROS DE MORA - PEÇAS</t>
  </si>
  <si>
    <t>JUROS DE MORA - SERVIÇO</t>
  </si>
  <si>
    <t>JUROS DE MORA - ADMIN</t>
  </si>
  <si>
    <t>JUROS DE MORA - TOTAL</t>
  </si>
  <si>
    <t>DESCONTOS CONCEDIDOS - NOVOS</t>
  </si>
  <si>
    <t>DESCONTOS CONCEDIDOS - USADOS</t>
  </si>
  <si>
    <t>DESCONTOS CONCEDIDOS - F &amp; I</t>
  </si>
  <si>
    <t>DESCONTOS CONCEDIDOS - PEÇAS</t>
  </si>
  <si>
    <t>DESCONTOS CONCEDIDOS - SERVIÇO</t>
  </si>
  <si>
    <t>DESCONTOS CONCEDIDOS - ADMIN</t>
  </si>
  <si>
    <t>DESCONTOS CONCEDIDOS - TOTAL</t>
  </si>
  <si>
    <t>MULTAS E ENCARGOS FINANCEIROS - NOVOS</t>
  </si>
  <si>
    <t>MULTAS E ENCARGOS FINANCEIROS - USADOS</t>
  </si>
  <si>
    <t>MULTAS E ENCARGOS FINANCEIROS - PEÇAS</t>
  </si>
  <si>
    <t>MULTAS E ENCARGOS FINANCEIROS - SERVIÇO</t>
  </si>
  <si>
    <t>MULTAS E ENCARGOS FINANCEIROS - ADMIN</t>
  </si>
  <si>
    <t>MULTAS E ENCARGOS FINANCEIROS - TOTAL</t>
  </si>
  <si>
    <t>TARIFA BANCÁRIA - NOVOS</t>
  </si>
  <si>
    <t>TARIFA BANCÁRIA - USADOS</t>
  </si>
  <si>
    <t>TARIFA BANCÁRIA - F &amp; I</t>
  </si>
  <si>
    <t>TARIFA BANCÁRIA - PEÇAS</t>
  </si>
  <si>
    <t>TARIFA BANCÁRIA - SERVIÇO</t>
  </si>
  <si>
    <t>TARIFA BANCÁRIA - ADMIN</t>
  </si>
  <si>
    <t>TARIFA BANCÁRIA - TOTAL</t>
  </si>
  <si>
    <t>DESPESAS COM CARTÃO DE CRÉDITO - NOVOS</t>
  </si>
  <si>
    <t>DESPESAS COM CARTÃO DE CRÉDITO - USADOS</t>
  </si>
  <si>
    <t>DESPESAS COM CARTÃO DE CRÉDITO - F &amp; I</t>
  </si>
  <si>
    <t>DESPESAS COM CARTÃO DE CRÉDITO - PEÇAS</t>
  </si>
  <si>
    <t>DESPESAS COM CARTÃO DE CRÉDITO - SERVIÇO</t>
  </si>
  <si>
    <t>DESPESAS COM CARTÃO DE CRÉDITO - ADMIN</t>
  </si>
  <si>
    <t>DESPESAS COM CARTÃO DE CRÉDITO - TOTAL</t>
  </si>
  <si>
    <t>TOTAL DESPESAS FINANCEIRAS - NOVOS</t>
  </si>
  <si>
    <t>TOTAL DESPESAS FINANCEIRAS - USADOS</t>
  </si>
  <si>
    <t>TOTAL DESPESAS FINANCEIRAS - F &amp; I</t>
  </si>
  <si>
    <t>TOTAL DESPESAS FINANCEIRAS - PEÇAS</t>
  </si>
  <si>
    <t>TOTAL DESPESAS FINANCEIRAS - SERVIÇO</t>
  </si>
  <si>
    <t>TOTAL DESPESAS FINANCEIRAS - ADMIN</t>
  </si>
  <si>
    <t>TOTAL DESPESAS FINANCEIRAS - TOTAL</t>
  </si>
  <si>
    <t>RECEITAS DIVERSAS - NOVOS</t>
  </si>
  <si>
    <t>RECEITAS DIVERSAS - USADOS</t>
  </si>
  <si>
    <t>RECEITAS DIVERSAS - F &amp; I</t>
  </si>
  <si>
    <t>RECEITAS DIVERSAS - PEÇAS</t>
  </si>
  <si>
    <t>RECEITAS DIVERSAS - SERVIÇO</t>
  </si>
  <si>
    <t>RECEITAS DIVERSAS - ADMIN</t>
  </si>
  <si>
    <t>RECEITAS DIVERSAS - TOTAL</t>
  </si>
  <si>
    <t>REEMBOLSO EMPLACAMENTOS - NOVOS</t>
  </si>
  <si>
    <t>REEMBOLSO EMPLACAMENTOS - USADOS</t>
  </si>
  <si>
    <t>REEMBOLSO EMPLACAMENTOS - TOTAL</t>
  </si>
  <si>
    <t>RECEITAS COM ALIENAÇÃO DE BENS - NOVOS</t>
  </si>
  <si>
    <t>RECEITAS COM ALIENAÇÃO DE BENS - USADOS</t>
  </si>
  <si>
    <t>RECEITAS COM ALIENAÇÃO DE BENS - F &amp; I</t>
  </si>
  <si>
    <t>RECEITAS COM ALIENAÇÃO DE BENS - PEÇAS</t>
  </si>
  <si>
    <t>RECEITAS COM ALIENAÇÃO DE BENS - SERVIÇO</t>
  </si>
  <si>
    <t>RECEITAS COM ALIENAÇÃO DE BENS - ADMIN</t>
  </si>
  <si>
    <t>RECEITAS COM ALIENAÇÃO DE BENS - TOTAL</t>
  </si>
  <si>
    <t>TOTAL DE RECEITAS NÃO-OPERACIONAIS - NOVOS</t>
  </si>
  <si>
    <t>TOTAL DE RECEITAS NÃO-OPERACIONAIS - USADOS</t>
  </si>
  <si>
    <t>TOTAL DE RECEITAS NÃO-OPERACIONAIS - F &amp; I</t>
  </si>
  <si>
    <t>TOTAL DE RECEITAS NÃO-OPERACIONAIS - PEÇAS</t>
  </si>
  <si>
    <t>TOTAL DE RECEITAS NÃO-OPERACIONAIS - SERVIÇO</t>
  </si>
  <si>
    <t>TOTAL DE RECEITAS NÃO-OPERACIONAIS - ADMIN</t>
  </si>
  <si>
    <t>TOTAL DE RECEITAS NÃO-OPERACIONAIS - TOTAL</t>
  </si>
  <si>
    <t>RENDIMENTO SOBRE APLICAÇÕES - NOVOS</t>
  </si>
  <si>
    <t>RENDIMENTO SOBRE APLICAÇÕES - USADOS</t>
  </si>
  <si>
    <t>RENDIMENTO SOBRE APLICAÇÕES - F &amp; I</t>
  </si>
  <si>
    <t>RENDIMENTO SOBRE APLICAÇÕES - PEÇAS</t>
  </si>
  <si>
    <t>RENDIMENTO SOBRE APLICAÇÕES - SERVIÇO</t>
  </si>
  <si>
    <t>RENDIMENTO SOBRE APLICAÇÕES - ADMIN</t>
  </si>
  <si>
    <t>RENDIMENTO SOBRE APLICAÇÕES - TOTAL</t>
  </si>
  <si>
    <t>DESCONTOS OBTIDOS - NOVOS</t>
  </si>
  <si>
    <t>DESCONTOS OBTIDOS - USADOS</t>
  </si>
  <si>
    <t>DESCONTOS OBTIDOS - F &amp; I</t>
  </si>
  <si>
    <t>DESCONTOS OBTIDOS - PEÇAS</t>
  </si>
  <si>
    <t>DESCONTOS OBTIDOS - SERVIÇO</t>
  </si>
  <si>
    <t>DESCONTOS OBTIDOS - ADMIN</t>
  </si>
  <si>
    <t>DESCONTOS OBTIDOS - TOTAL</t>
  </si>
  <si>
    <t>COMISSÕES/BONIFICAÇÕES DIVERSAS - NOVOS</t>
  </si>
  <si>
    <t>COMISSÕES/BONIFICAÇÕES DIVERSAS - USADOS</t>
  </si>
  <si>
    <t>COMISSÕES/BONIFICAÇÕES DIVERSAS - TOTAL</t>
  </si>
  <si>
    <t>TOTAL DE RECEITAS FINANCEIRAS - NOVOS</t>
  </si>
  <si>
    <t>TOTAL DE RECEITAS FINANCEIRAS - USADOS</t>
  </si>
  <si>
    <t>TOTAL DE RECEITAS FINANCEIRAS - F &amp; I</t>
  </si>
  <si>
    <t>TOTAL DE RECEITAS FINANCEIRAS - PEÇAS</t>
  </si>
  <si>
    <t>TOTAL DE RECEITAS FINANCEIRAS - SERVIÇO</t>
  </si>
  <si>
    <t>TOTAL DE RECEITAS FINANCEIRAS - ADMIN</t>
  </si>
  <si>
    <t>TOTAL DE RECEITAS FINANCEIRAS - TOTAL</t>
  </si>
  <si>
    <t>GERENTES - NOVOS</t>
  </si>
  <si>
    <t>GERENTES - USADOS</t>
  </si>
  <si>
    <t>GERENTES - F &amp; I</t>
  </si>
  <si>
    <t>GERENTES - PEÇAS</t>
  </si>
  <si>
    <t>GERENTES - SERVIÇO</t>
  </si>
  <si>
    <t>GERENTES - ADMIN</t>
  </si>
  <si>
    <t>GERENTES - TOTAL</t>
  </si>
  <si>
    <t>SUPERVISOR - NOVOS</t>
  </si>
  <si>
    <t>SUPERVISOR - USADOS</t>
  </si>
  <si>
    <t>SUPERVISOR - F &amp; I</t>
  </si>
  <si>
    <t>SUPERVISOR - PEÇAS</t>
  </si>
  <si>
    <t>SUPERVISOR - SERVIÇO</t>
  </si>
  <si>
    <t>SUPERVISOR - ADMIN</t>
  </si>
  <si>
    <t>SUPERVISOR - TOTAL</t>
  </si>
  <si>
    <t>VENDEDORES EXTERNOS - NOVOS</t>
  </si>
  <si>
    <t>VENDEDORES EXTERNOS - USADOS</t>
  </si>
  <si>
    <t>VENDEDORES EXTERNOS - F &amp; I</t>
  </si>
  <si>
    <t>VENDEDORES EXTERNOS - PEÇAS</t>
  </si>
  <si>
    <t>VENDEDORES EXTERNOS - SERVIÇO</t>
  </si>
  <si>
    <t>VENDEDORES EXTERNOS - ADMIN</t>
  </si>
  <si>
    <t>VENDEDORES EXTERNOS - TOTAL</t>
  </si>
  <si>
    <t>VENDEDORES INTERNOS - NOVOS</t>
  </si>
  <si>
    <t>VENDEDORES INTERNOS - USADOS</t>
  </si>
  <si>
    <t>VENDEDORES INTERNOS - F &amp; I</t>
  </si>
  <si>
    <t>VENDEDORES INTERNOS - PEÇAS</t>
  </si>
  <si>
    <t>VENDEDORES INTERNOS - SERVIÇO</t>
  </si>
  <si>
    <t>VENDEDORES INTERNOS - ADMIN</t>
  </si>
  <si>
    <t>VENDEDORES INTERNOS - TOTAL</t>
  </si>
  <si>
    <t>ADMINISTRATIVOS - NOVOS</t>
  </si>
  <si>
    <t>ADMINISTRATIVOS - USADOS</t>
  </si>
  <si>
    <t>ADMINISTRATIVOS - F &amp; I</t>
  </si>
  <si>
    <t>ADMINISTRATIVOS - PEÇAS</t>
  </si>
  <si>
    <t>ADMINISTRATIVOS - SERVIÇO</t>
  </si>
  <si>
    <t>ADMINISTRATIVOS - ADMIN</t>
  </si>
  <si>
    <t>ADMINISTRATIVOS - TOTAL</t>
  </si>
  <si>
    <t>RECEPCIONISTA - NOVOS</t>
  </si>
  <si>
    <t>RECEPCIONISTA - USADOS</t>
  </si>
  <si>
    <t>RECEPCIONISTA - F &amp; I</t>
  </si>
  <si>
    <t>RECEPCIONISTA - PEÇAS</t>
  </si>
  <si>
    <t>RECEPCIONISTA - SERVIÇO</t>
  </si>
  <si>
    <t>RECEPCIONISTA - ADMIN</t>
  </si>
  <si>
    <t>RECEPCIONISTA - TOTAL</t>
  </si>
  <si>
    <t>MECÂNICOS - NOVOS</t>
  </si>
  <si>
    <t>MECÂNICOS - USADOS</t>
  </si>
  <si>
    <t>MECÂNICOS - F &amp; I</t>
  </si>
  <si>
    <t>MECÂNICOS - PEÇAS</t>
  </si>
  <si>
    <t>MECÂNICOS - SERVIÇO</t>
  </si>
  <si>
    <t>MECÂNICOS - ADMIN</t>
  </si>
  <si>
    <t>MECÂNICOS - TOTAL</t>
  </si>
  <si>
    <t>TOTAL DE NÚMERO DE FUNCIONÁRIOS - NOVOS</t>
  </si>
  <si>
    <t>TOTAL DE NÚMERO DE FUNCIONÁRIOS - USADOS</t>
  </si>
  <si>
    <t>TOTAL DE NÚMERO DE FUNCIONÁRIOS - F &amp; I</t>
  </si>
  <si>
    <t>TOTAL DE NÚMERO DE FUNCIONÁRIOS - PEÇAS</t>
  </si>
  <si>
    <t>TOTAL DE NÚMERO DE FUNCIONÁRIOS - SERVIÇO</t>
  </si>
  <si>
    <t>TOTAL DE NÚMERO DE FUNCIONÁRIOS - ADMIN</t>
  </si>
  <si>
    <t>TOTAL DE NÚMERO DE FUNCIONÁRIOS - TOTAL</t>
  </si>
  <si>
    <t>ÁREA DE VENDAS - NOVOS</t>
  </si>
  <si>
    <t>ÁREA DE VENDAS - USADOS</t>
  </si>
  <si>
    <t>ÁREA DE VENDAS - F &amp; I</t>
  </si>
  <si>
    <t>ÁREA DE VENDAS - PEÇAS</t>
  </si>
  <si>
    <t>ÁREA DE VENDAS - SERVIÇO</t>
  </si>
  <si>
    <t>ÁREA DE VENDAS - TOTAL</t>
  </si>
  <si>
    <t>ÁREA DE OFICINA - SERVIÇO</t>
  </si>
  <si>
    <t>ÁREA DE OFICINA - TOTAL</t>
  </si>
  <si>
    <t>ÁREA DE PEÇAS E ACESSÓRIOS - PEÇAS</t>
  </si>
  <si>
    <t>ÁREA DE PEÇAS E ACESSÓRIOS - TOTAL</t>
  </si>
  <si>
    <t>ÁREA DE ADMINISTRACAO - ADMIN</t>
  </si>
  <si>
    <t>ÁREA DE ADMINISTRACAO - TOTAL</t>
  </si>
  <si>
    <t>TOTAL DA ÁREAS UTILIZADAS ( M2 ) - NOVOS</t>
  </si>
  <si>
    <t>TOTAL DA ÁREAS UTILIZADAS ( M2 ) - USADOS</t>
  </si>
  <si>
    <t>TOTAL DA ÁREAS UTILIZADAS ( M2 ) - F &amp; I</t>
  </si>
  <si>
    <t>TOTAL DA ÁREAS UTILIZADAS ( M2 ) - PEÇAS</t>
  </si>
  <si>
    <t>TOTAL DA ÁREAS UTILIZADAS ( M2 ) - SERVIÇO</t>
  </si>
  <si>
    <t>TOTAL DA ÁREAS UTILIZADAS ( M2 ) - ADMIN</t>
  </si>
  <si>
    <t>TOTAL DA ÁREAS UTILIZADAS ( M2 ) - TOTAL</t>
  </si>
  <si>
    <t>CAIXA - VALOR</t>
  </si>
  <si>
    <t>BANCOS - VALOR</t>
  </si>
  <si>
    <t>CONTA CORRENTE - VALOR</t>
  </si>
  <si>
    <t>INVESTIMENTOS / APLICAÇÕES - VALOR</t>
  </si>
  <si>
    <t>TOTAL CAIXA E BANCOS - VALOR</t>
  </si>
  <si>
    <t>DUPLICATAS A RECEBER - VALOR</t>
  </si>
  <si>
    <t>CHEQUES EM COBRANÇA - VALOR</t>
  </si>
  <si>
    <t>CLIENTES DIVERSOS - VALOR</t>
  </si>
  <si>
    <t>CARTÕES DE CRÉDITO - VALOR</t>
  </si>
  <si>
    <t>CHEQUES PRÉ-DATADOS - VALOR</t>
  </si>
  <si>
    <t>PROV. PARA DEVEDORES DUVIDOSOS (-) - VALOR</t>
  </si>
  <si>
    <t>DUPLICATAS / CHEQUES DESCONTADOS (-) - VALOR</t>
  </si>
  <si>
    <t>TOTAL CONTAS A RECEBER - VALOR</t>
  </si>
  <si>
    <t>ADIANTAMENTOS A FORNECEDORES - VALOR</t>
  </si>
  <si>
    <t>IMPOSTOS A RECUPERAR - VALOR</t>
  </si>
  <si>
    <t>DESPESAS ANTECIPADAS - VALOR</t>
  </si>
  <si>
    <t>OUTRAS CONTAS A RECEBER - VALOR</t>
  </si>
  <si>
    <t>TOTAL DO ATIVO CIRCULANTE - VALOR</t>
  </si>
  <si>
    <t>VEÍCULOS VALOR</t>
  </si>
  <si>
    <t>PEÇAS E ACESSÓRIOS - VALOR</t>
  </si>
  <si>
    <t>OUTROS ESTOQUES - VALOR</t>
  </si>
  <si>
    <t>TOTAL DO ESTOQUE - VALOR</t>
  </si>
  <si>
    <t>EMPRÉSTIMOS / MÚTUOS COM SÓCIOS - VALOR</t>
  </si>
  <si>
    <t>CONTAS A RECEBER DE COLIGADAS - VALOR</t>
  </si>
  <si>
    <t>DEPÓSITOS JUDICIAIS - VALOR</t>
  </si>
  <si>
    <t>TRANSFER. ENTRE MATRIZ E FILIAIS - VALOR</t>
  </si>
  <si>
    <t>OUTROS VALORES A RECEBER - VALOR</t>
  </si>
  <si>
    <t>TOTAL DO REALIZÁVEL A LONGO PRAZO - VALOR</t>
  </si>
  <si>
    <t>TOTAL DO ATIVO NÃO-CIRCULANTE - VALOR</t>
  </si>
  <si>
    <t>PARTIC. EM EMPR. CONTR. E COLIG. - VALOR</t>
  </si>
  <si>
    <t>PARTIC. INCENTIVOS FISCAIS E OUTROS - VALOR</t>
  </si>
  <si>
    <t>TOTAL INVESTIMENTOS - VALOR</t>
  </si>
  <si>
    <t>IMÓVEIS - VALOR</t>
  </si>
  <si>
    <t>MÓVEIS E UTENSÍLIOS - VALOR</t>
  </si>
  <si>
    <t>INSTALAÇÕES - VALOR</t>
  </si>
  <si>
    <t>MAQUINAS E EQUIPAMENTOS - VALOR</t>
  </si>
  <si>
    <t>VEÍCULOS DE USO - VALOR</t>
  </si>
  <si>
    <t>VEÍCULOS DE TEST-DRIVE - VALOR</t>
  </si>
  <si>
    <t>OUTROS - VALOR</t>
  </si>
  <si>
    <t>DEPRECIACOES ACUMULADAS (-) - VALOR</t>
  </si>
  <si>
    <t>TOTAL DO IMOBILIZADO - VALOR</t>
  </si>
  <si>
    <t>PROJETOS / AMORTIZACOES (-) - VALOR</t>
  </si>
  <si>
    <t>TOTAL DO DIFERIDO - VALOR</t>
  </si>
  <si>
    <t>INTANGÍVEL - VALOR</t>
  </si>
  <si>
    <t>TOTAL DO ATIVO PERMANENTE - VALOR</t>
  </si>
  <si>
    <t>ATIVO TOTAL - VALOR</t>
  </si>
  <si>
    <t>CONTAS A PAGAR - VALOR</t>
  </si>
  <si>
    <t>INSTITUIÇÕES FINANCEIRAS - VALOR</t>
  </si>
  <si>
    <t>FLOOR PLAN - VALOR</t>
  </si>
  <si>
    <t>TOTAL DO CONTAS A PAGAR - VALOR</t>
  </si>
  <si>
    <t>VEÍCULOS - VALOR</t>
  </si>
  <si>
    <t>TOTAL FORNECEDORES - VALOR</t>
  </si>
  <si>
    <t>SALÁRIOS E ENCARGOS - VALOR</t>
  </si>
  <si>
    <t>PROVISÕES DE FÉRIAS - VALOR</t>
  </si>
  <si>
    <t>PROVISÕES DE 13º SALÁRIO - VALOR</t>
  </si>
  <si>
    <t>TOTAL OBRIGAÇÕES TRABALHISTAS - VALOR</t>
  </si>
  <si>
    <t>ICMS - VALOR</t>
  </si>
  <si>
    <t>ISS - VALOR</t>
  </si>
  <si>
    <t>PIS - VALOR</t>
  </si>
  <si>
    <t>COFINS - VALOR</t>
  </si>
  <si>
    <t>CSLL - VALOR</t>
  </si>
  <si>
    <t>IRPJ - VALOR</t>
  </si>
  <si>
    <t>PARCELAMENTO DE IMPOSTOS - VALOR</t>
  </si>
  <si>
    <t>ADIANTAMENTO DE CLIENTES - VALOR</t>
  </si>
  <si>
    <t>EMPRÉSTIMOS COM SÓCIOS E COLIGADAS - VALOR</t>
  </si>
  <si>
    <t>MULTAS - VALOR</t>
  </si>
  <si>
    <t>TOTAL OBRIGAÇÕES FISCAIS E TRIB. - VALOR</t>
  </si>
  <si>
    <t>TOTAL DO PASSIVO CIRCULANTE - VALOR</t>
  </si>
  <si>
    <t>INTITUIÇÕES FINANCEIRAS - VALOR</t>
  </si>
  <si>
    <t>IMPOSTO DE RENDA DIFERIDO - VALOR</t>
  </si>
  <si>
    <t>PROVISÃO PARA IMP. DIRETOS E IND. - VALOR</t>
  </si>
  <si>
    <t>TOTAL DO EXIGÍVEL A LONGO PRAZO - VALOR</t>
  </si>
  <si>
    <t>RESULTADO DE EXERCÍCIOS FUTUROS - VALOR</t>
  </si>
  <si>
    <t>TOTAL DO PASSIVO NÃO-CIRCULANTE - VALOR</t>
  </si>
  <si>
    <t>CAPITAL SOCIAL - VALOR</t>
  </si>
  <si>
    <t>CAPITAL A INTEGRALIZAR (-) - VALOR</t>
  </si>
  <si>
    <t>RESERVA DE CAPITAL - VALOR</t>
  </si>
  <si>
    <t>RESERVA DE AVALIAÇÃO - VALOR</t>
  </si>
  <si>
    <t>OUTRAS RESERVAS - VALOR</t>
  </si>
  <si>
    <t>RESULT. ACUM. DE EXERC. ANTERIORES - VALOR</t>
  </si>
  <si>
    <t>RESULTADO DO EXERCÍCIO - VALOR</t>
  </si>
  <si>
    <t>DISTRIBUIÇÃO DE LUCROS - VALOR</t>
  </si>
  <si>
    <t>TOTAL DO PATRIMÔNIO LÍQUIDO - VALOR</t>
  </si>
  <si>
    <t>PASSIVO TOTAL - VALOR</t>
  </si>
  <si>
    <t>RESULTADO ANTES DO IRPJ/CSLL - NOVOS - VALOR</t>
  </si>
  <si>
    <t>RESULTADO ANTES DO IRPJ/CSLL - USADOS - VALOR</t>
  </si>
  <si>
    <t xml:space="preserve">RESULTADO ANTES DO IRPJ/CSLL - F&amp;I  - VALOR</t>
  </si>
  <si>
    <t>RESULTADO ANTES DO IRPJ/CSLL - PEÇAS - VALOR</t>
  </si>
  <si>
    <t xml:space="preserve">RESULTADO ANTES DO IRPJ/CSLL - SERVIÇO  - VALOR</t>
  </si>
  <si>
    <t>RESULTADO ANTES DO IRPJ/CSLL - ADM - VALOR</t>
  </si>
  <si>
    <t>RESULTADO ANTES DO IRPJ/CSLL - TOTAL - VALOR</t>
  </si>
  <si>
    <t>TOTAL OUTROS - VENDA CANCEL.</t>
  </si>
  <si>
    <t>TOTAL OUTROS - LUCRO LÍQUIDO</t>
  </si>
  <si>
    <t>RECUPERAÇÃO DE DESPESAS (D) - NOVOS</t>
  </si>
  <si>
    <t>RECUPERAÇÃO DE DESPESAS (D) - USADOS</t>
  </si>
  <si>
    <t>RECUPERAÇÃO DE DESPESAS (D) - F &amp; I</t>
  </si>
  <si>
    <t>RECUPERAÇÃO DE DESPESAS (D) - PEÇAS</t>
  </si>
  <si>
    <t>RECUPERAÇÃO DE DESPESAS (D) - SERVIÇO</t>
  </si>
  <si>
    <t>RECUPERAÇÃO DE DESPESAS (D) - ADMIN</t>
  </si>
  <si>
    <t>RECUPERAÇÃO DE DESPESAS (D) - TOTAL</t>
  </si>
  <si>
    <t>DLRBAC</t>
  </si>
  <si>
    <t>DEALER BAC</t>
  </si>
  <si>
    <t>GARBAGE</t>
  </si>
  <si>
    <t>Garbage Account</t>
  </si>
  <si>
    <t>W1ER</t>
  </si>
  <si>
    <t>Points For Errors</t>
  </si>
  <si>
    <t>W2ER</t>
  </si>
  <si>
    <t>Points for Warnings</t>
  </si>
  <si>
    <t>BUMTHS</t>
  </si>
  <si>
    <t xml:space="preserve">BU Report Period </t>
  </si>
  <si>
    <t>DLRMTHS</t>
  </si>
  <si>
    <t>Dealer Report Period</t>
  </si>
  <si>
    <t>New Sales</t>
  </si>
  <si>
    <t>VENDA DE NOVOS</t>
  </si>
  <si>
    <t>AMOUNT</t>
  </si>
  <si>
    <t>VALOR</t>
  </si>
  <si>
    <t>Used Sales</t>
  </si>
  <si>
    <t>COST OF SALES</t>
  </si>
  <si>
    <t>CUSTO</t>
  </si>
  <si>
    <t>Parts</t>
  </si>
  <si>
    <t xml:space="preserve">DISCOUNT </t>
  </si>
  <si>
    <t>ABAT. E DESCONTO</t>
  </si>
  <si>
    <t>Service</t>
  </si>
  <si>
    <t>SERVIÇO</t>
  </si>
  <si>
    <t>DP</t>
  </si>
  <si>
    <t>DIRECT PROFIT</t>
  </si>
  <si>
    <t>GROSS PROFIT</t>
  </si>
  <si>
    <t>LUCRO BRUTO</t>
  </si>
  <si>
    <t>Admin</t>
  </si>
  <si>
    <t>HC</t>
  </si>
  <si>
    <t>HEADCOUNT</t>
  </si>
  <si>
    <t>NUN. FUNCIONÁRIOS</t>
  </si>
  <si>
    <t>BALANÇO</t>
  </si>
  <si>
    <t>HOURS</t>
  </si>
  <si>
    <t>HORAS</t>
  </si>
  <si>
    <t>JC</t>
  </si>
  <si>
    <t>JOB CARDS</t>
  </si>
  <si>
    <t>O.S.</t>
  </si>
  <si>
    <t>NET SALES</t>
  </si>
  <si>
    <t>RECEITA LÍQUIDA</t>
  </si>
  <si>
    <t>RR</t>
  </si>
  <si>
    <t>RECOVERY RATE</t>
  </si>
  <si>
    <t>TARIFA REAL</t>
  </si>
  <si>
    <t xml:space="preserve">RECEITA
(SEM IMPOSTOS)</t>
  </si>
  <si>
    <t>UNIDADES</t>
  </si>
  <si>
    <t>VALUE</t>
  </si>
  <si>
    <t>SALE CANCELED</t>
  </si>
  <si>
    <t xml:space="preserve">DEVOLUÇÃO
DE VENDAS</t>
  </si>
  <si>
    <t>AREA</t>
  </si>
  <si>
    <t>ÁREA</t>
  </si>
  <si>
    <t>NEW</t>
  </si>
  <si>
    <t>NOVOS</t>
  </si>
  <si>
    <t>USED</t>
  </si>
  <si>
    <t>USADOS</t>
  </si>
  <si>
    <t>EN</t>
  </si>
  <si>
    <t>PT</t>
  </si>
  <si>
    <t xml:space="preserve">Location: </t>
  </si>
  <si>
    <t xml:space="preserve">Localização: </t>
  </si>
  <si>
    <t>PARTS</t>
  </si>
  <si>
    <t>PEÇAS E ACESS.</t>
  </si>
  <si>
    <t>SERVICES</t>
  </si>
  <si>
    <t xml:space="preserve">Report Period Ending: </t>
  </si>
  <si>
    <t xml:space="preserve">Período: </t>
  </si>
  <si>
    <t>ADM</t>
  </si>
  <si>
    <t>YAMAHA BMI Financial Statement - YTD</t>
  </si>
  <si>
    <t>DRE YAMAHA BMI - Acumulado</t>
  </si>
  <si>
    <t>TOTAL</t>
  </si>
  <si>
    <t>YAMAHA BMI Financial Statement - MTH</t>
  </si>
  <si>
    <t>DRE YAMAHA BMI - Mês</t>
  </si>
  <si>
    <t>FINAL STOCK</t>
  </si>
  <si>
    <t>ESTOQUE FINAL</t>
  </si>
  <si>
    <t>SHARE</t>
  </si>
  <si>
    <t>EQUITY INTEREST (%)</t>
  </si>
  <si>
    <t>%</t>
  </si>
  <si>
    <t>ACCT</t>
  </si>
  <si>
    <t>CONTA</t>
  </si>
  <si>
    <t>UNIDADES DEVOLVIDAS</t>
  </si>
  <si>
    <t>RETURNED UNITS</t>
  </si>
  <si>
    <t>LINE SCOOTER &lt;200 cc</t>
  </si>
  <si>
    <t>LINE SCOOTER &gt;200 cc</t>
  </si>
  <si>
    <t>TOTAL SALES - SCOOTER</t>
  </si>
  <si>
    <t>LINE OFF ROAD</t>
  </si>
  <si>
    <t>TOTAL SALES - LINE OFF ROAD</t>
  </si>
  <si>
    <t>LINE 125 cc</t>
  </si>
  <si>
    <t>TOTAL SALES - LINE 125 cc</t>
  </si>
  <si>
    <t>LINE 150 cc - Street</t>
  </si>
  <si>
    <t>LINE 150 cc - On/Off</t>
  </si>
  <si>
    <t>TOTAL SALES - LINE 150 cc</t>
  </si>
  <si>
    <t>LINE 250 cc - Street</t>
  </si>
  <si>
    <t>LINE 250 cc - On/Off</t>
  </si>
  <si>
    <t>TOTAL SALES - LINE 250 cc</t>
  </si>
  <si>
    <t>LINE 320 cc</t>
  </si>
  <si>
    <t>TOTAL SALES - LINE 320 cc</t>
  </si>
  <si>
    <t>LINE &gt; 500 cc</t>
  </si>
  <si>
    <t>TOTAL SALES - LINE &gt; 500 cc</t>
  </si>
  <si>
    <t>TOTAL OTHERS</t>
  </si>
  <si>
    <t>TOTAL NEW SALES - MOTORCYCLES</t>
  </si>
  <si>
    <t>NAUTICAL LINE</t>
  </si>
  <si>
    <t>ENGINES</t>
  </si>
  <si>
    <t>TOTAL SALES - NAUTICAL LINE</t>
  </si>
  <si>
    <t>QUADRICYCLES LINE</t>
  </si>
  <si>
    <t>MODEL 1</t>
  </si>
  <si>
    <t>MODEL 2</t>
  </si>
  <si>
    <t>MODEL 3</t>
  </si>
  <si>
    <t>TOTAL SALES - QUADRICYCLES LINE</t>
  </si>
  <si>
    <t>TOTAL VEHICLE SALES</t>
  </si>
  <si>
    <t>OTHER OPERATING REVENUES</t>
  </si>
  <si>
    <t>RETAIL INCENTIVES</t>
  </si>
  <si>
    <t>BONIFICATIONS 1</t>
  </si>
  <si>
    <t>BONIFICATIONS 2</t>
  </si>
  <si>
    <t>MISCELLANEOUS COMMITTEES</t>
  </si>
  <si>
    <t>OTHER REVENUES</t>
  </si>
  <si>
    <t>TOTAL OTHER OPERATING REVENUES</t>
  </si>
  <si>
    <t>VARIABLE EXPENSES</t>
  </si>
  <si>
    <t>SALES COMMISSIONS</t>
  </si>
  <si>
    <t>TAXES OVER COMMISSIONS (-)</t>
  </si>
  <si>
    <t>OTHER EXPENSES</t>
  </si>
  <si>
    <t>TOTAL OF VARIABLE EXPENSES</t>
  </si>
  <si>
    <t>CONTRIBUTION MARGIN</t>
  </si>
  <si>
    <t>EXPENSES</t>
  </si>
  <si>
    <t>TOTAL EXPENDITURE WITH PERSONNEL (A)</t>
  </si>
  <si>
    <t>TOTAL EXPENDITURE WITH STRUCTURE - BUILDINGS (B)</t>
  </si>
  <si>
    <t>TOTAL GENERAL EXPENSES (C)</t>
  </si>
  <si>
    <t>TOTAL OPERATING EXPENSES (A + B + C)</t>
  </si>
  <si>
    <t>TOTAL DE DESPESAS FIXAS (A+B+C)</t>
  </si>
  <si>
    <t>OPERATING PROFIT / LOSS</t>
  </si>
  <si>
    <t>EXPENSES / NON-OPERATING AND FINANCIAL REVENUES</t>
  </si>
  <si>
    <t>TOTAL NON-OPERATING EXPENSES</t>
  </si>
  <si>
    <t>TOTAL FINANCIAL EXPENSES</t>
  </si>
  <si>
    <t>TOTAL NON-OPERATING REVENUES</t>
  </si>
  <si>
    <t>TOTAL FINANCIAL REVENUES</t>
  </si>
  <si>
    <t>CONTRACTUAL INTEREST</t>
  </si>
  <si>
    <t>INTERESTS OF MORA</t>
  </si>
  <si>
    <t>TOTAL FLOOR PLAN EXPENDITURE</t>
  </si>
  <si>
    <t>DEPARTMENTAL RESULT</t>
  </si>
  <si>
    <t>NEW DEPARTMENT RESULT</t>
  </si>
  <si>
    <t>STOCK - LINE SCOOTER &lt;200 cc</t>
  </si>
  <si>
    <t>STOCK - LINE SCOOTER &gt;200 cc</t>
  </si>
  <si>
    <t>STOCK - LINE OFF ROAD</t>
  </si>
  <si>
    <t>STOCK - LINE 125 cc</t>
  </si>
  <si>
    <t>STOCK - LINE 150 cc - Street</t>
  </si>
  <si>
    <t>STOCK - LINE 150 cc - On/Off</t>
  </si>
  <si>
    <t>STOCK - LINE 250 cc - Street</t>
  </si>
  <si>
    <t>STOCK - LINE 250 cc - On/Off</t>
  </si>
  <si>
    <t>STOCK - LINE 320 cc</t>
  </si>
  <si>
    <t>STOCK - LINE &gt; 500 cc</t>
  </si>
  <si>
    <t>TOTAL MOTORCYCLES</t>
  </si>
  <si>
    <t>STOCK - NAUTICAL LINE</t>
  </si>
  <si>
    <t>TOTAL NAUTICAL LINE</t>
  </si>
  <si>
    <t>STOCK - QUADRICYCLES LINE</t>
  </si>
  <si>
    <t>TOTAL QUADRICYCLES LINE</t>
  </si>
  <si>
    <t>TOTAL NEW STOCK</t>
  </si>
  <si>
    <t>USED SALES</t>
  </si>
  <si>
    <t>MOTORCYCLES YAMAHA</t>
  </si>
  <si>
    <t>MOTORCYCLES OTHER BRANDS</t>
  </si>
  <si>
    <t>USED SALES - MOTORCYCLES</t>
  </si>
  <si>
    <t>USED SALES - OTHER PRODUCTS</t>
  </si>
  <si>
    <t>OTHER PRODUCTS YAMAHA</t>
  </si>
  <si>
    <t>TOTAL USED SALES</t>
  </si>
  <si>
    <t>USED DEPARTMENT RESULT</t>
  </si>
  <si>
    <t>STOCK (UNITS)</t>
  </si>
  <si>
    <t>TOTAL USED STOCK</t>
  </si>
  <si>
    <t>PARTS &amp; ACCESSORIES</t>
  </si>
  <si>
    <t>GENUINE PARTS</t>
  </si>
  <si>
    <t>YTEC PARTS</t>
  </si>
  <si>
    <t>NON-GENUINE PARTS</t>
  </si>
  <si>
    <t>ACCESSORIES</t>
  </si>
  <si>
    <t>BALCONY SALES REVENUE</t>
  </si>
  <si>
    <t>WHOLESALE SALES REVENUE</t>
  </si>
  <si>
    <t>PRODUCTS APPLIED ON SERVICE</t>
  </si>
  <si>
    <t>TOTAL PARTS &amp; ACCESSORIES SALES REVENUE</t>
  </si>
  <si>
    <t>EXPENSES VARIÁVEIS</t>
  </si>
  <si>
    <t>PARTS SALES COMMISSIONS</t>
  </si>
  <si>
    <t>PARTS &amp; ACCESSORIES DEPARTMENT RESULT</t>
  </si>
  <si>
    <t>SERVICE</t>
  </si>
  <si>
    <t>FREE REVIEW</t>
  </si>
  <si>
    <t>WARRANTY SERVICES</t>
  </si>
  <si>
    <t>SERVICES IN GENERAL</t>
  </si>
  <si>
    <t>TOTAL SERVICE SALES REVENUE</t>
  </si>
  <si>
    <t>SERVICE COMMISSIONS</t>
  </si>
  <si>
    <t>SERVICE DEPARTMENT RESULT</t>
  </si>
  <si>
    <t>F &amp; I SALES</t>
  </si>
  <si>
    <t>SALE OF CONSORTIUM QUOTAS COMMISSION</t>
  </si>
  <si>
    <t>INSURANCE SALES COMMISSION</t>
  </si>
  <si>
    <t>FINANCIAL PROTECTION INSURANCE COMMISSION - FINANCING</t>
  </si>
  <si>
    <t>FORWARDING AGENT</t>
  </si>
  <si>
    <t>FUNDING SALES COMMISSION</t>
  </si>
  <si>
    <t>FINANCING BONUS - AGREEMENT</t>
  </si>
  <si>
    <t>TOTAL F &amp; I SALES REVENUE</t>
  </si>
  <si>
    <t>TAXES COMMISSIONS (-)</t>
  </si>
  <si>
    <t>FIXED EXPENSES</t>
  </si>
  <si>
    <t>F &amp; I DEPARTMENT RESULT</t>
  </si>
  <si>
    <t>ADMINISTRATIVE EXPENSES</t>
  </si>
  <si>
    <t>WAGES, GRATIFICATIONS AND OTHER REMUNERATION</t>
  </si>
  <si>
    <t>SOCIAL CHARGES AND BENEFITS (FGTS, PREV SOCIAL ETC)</t>
  </si>
  <si>
    <t>PROVISIONS FOR HOLIDAYS AND 13th SALARY</t>
  </si>
  <si>
    <t>RETIREMENT FUND PROGR. INDIVIDUAL OF EMPLOYEES</t>
  </si>
  <si>
    <t>REMUNERATION OF DIRECTORS AND THE BOARD OF DIRECTORS</t>
  </si>
  <si>
    <t>PROFESSIONAL QUALIFICATION</t>
  </si>
  <si>
    <t>MEDICAL, DENTAL AND PHARMACEUTICAL ASSISTANCE</t>
  </si>
  <si>
    <t>FOOD VOUCHER</t>
  </si>
  <si>
    <t>OTHER EXPENSES WITH STAFF (TRAVEL, TRANSPORT ETC)</t>
  </si>
  <si>
    <t>WATER AND ELECTRICAL ENERGY</t>
  </si>
  <si>
    <t>RENTALS AND TAXES</t>
  </si>
  <si>
    <t>CONSERVATION OF BUILDINGS, MACHINERY AND FURNITURE</t>
  </si>
  <si>
    <t>PATRIMONIAL SURVEILLANCE</t>
  </si>
  <si>
    <t>DEPRECIATIONS AND AMORTIZATIONS</t>
  </si>
  <si>
    <t>INSURANCE</t>
  </si>
  <si>
    <t>OTHER STRUCTURE EXPENSES</t>
  </si>
  <si>
    <t>LAWYER</t>
  </si>
  <si>
    <t>ACCOUNTANT</t>
  </si>
  <si>
    <t>LEGAL EXPENSES</t>
  </si>
  <si>
    <t>COMPUTERS, TELEPHONE AND INTERNET</t>
  </si>
  <si>
    <t>CONSUMABLES</t>
  </si>
  <si>
    <t>FINES</t>
  </si>
  <si>
    <t>FREIGHTAGE</t>
  </si>
  <si>
    <t>ADVERTISING AND ADVERTISING</t>
  </si>
  <si>
    <t>PROPAGANDA E PROMOÇÃO</t>
  </si>
  <si>
    <t>TAXES, FEES AND CONTRIBUTIONS (EXCEPT IRPJ AND CSLL)</t>
  </si>
  <si>
    <t>VEHICLE INSURANCE</t>
  </si>
  <si>
    <t>EXPENSES WITH VEHICLES (CONSERVATION, USE AND REPAIRS)</t>
  </si>
  <si>
    <t>PERSONAL SERVICES WITHOUT EMPLOYEE'S LINK</t>
  </si>
  <si>
    <t>PROVISION OF LEGAL SERVICES</t>
  </si>
  <si>
    <t>COMMERCIAL COURTESIES</t>
  </si>
  <si>
    <t>CONTRIBUTIONS AND DONATIONS</t>
  </si>
  <si>
    <t>LOSSES ON CREDIT OPERATIONS</t>
  </si>
  <si>
    <t>STOCK LOSSES</t>
  </si>
  <si>
    <t>OTHER GENERAL EXPENSES</t>
  </si>
  <si>
    <t>EXPENSES RECOVERED (D)</t>
  </si>
  <si>
    <t>TOTAL OPERATING EXPENSES (A + B + C - D)</t>
  </si>
  <si>
    <t>TOTAL DE DESPESAS FIXAS (A + B + C - D)</t>
  </si>
  <si>
    <t>EXPENSES NÃO-OPERACIONAIS</t>
  </si>
  <si>
    <t>DONATIONS TO CIVIL ENTITIES</t>
  </si>
  <si>
    <t>DONATION TO TEACHING &amp; RESEARCH INSTI. (LAW 9249/1995)</t>
  </si>
  <si>
    <t>DONATION TO SPONS. OF CULT. &amp; ARTIS. CHARAC.(LAW 8313)</t>
  </si>
  <si>
    <t>OTHER EXPENSES NÃO-OPERACIONAIS</t>
  </si>
  <si>
    <t>EXPENSES FINANCEIRAS</t>
  </si>
  <si>
    <t>YAMAHA BANK CREDIT LINE INTEREST</t>
  </si>
  <si>
    <t>INTEREST COSTS</t>
  </si>
  <si>
    <t>DISCOUNTS GIVEN</t>
  </si>
  <si>
    <t>FINES AND FINANCIAL CHARGES</t>
  </si>
  <si>
    <t>BANK RATE</t>
  </si>
  <si>
    <t>EXPENSES WITH CREDIT CARD</t>
  </si>
  <si>
    <t>MISCELLANEOUS REVENUE</t>
  </si>
  <si>
    <t>REIMBURSEMENT OF PLACEMENTS</t>
  </si>
  <si>
    <t>REVENUE FROM GOODS ALIENATION</t>
  </si>
  <si>
    <t>APPLICATIONS INCOME</t>
  </si>
  <si>
    <t>DISCOUNTS OBTAINED</t>
  </si>
  <si>
    <t>COMMISSIONS / MISCELLANEOUS BONUS</t>
  </si>
  <si>
    <t>PROFIT BEFORE TAXES</t>
  </si>
  <si>
    <t>MANAGERS</t>
  </si>
  <si>
    <t>EXTERNAL SELLERS</t>
  </si>
  <si>
    <t>INTERNAL SELLERS</t>
  </si>
  <si>
    <t>ADMINISTRATIVE</t>
  </si>
  <si>
    <t>FRONT DESK CLERK</t>
  </si>
  <si>
    <t>MECHANICS</t>
  </si>
  <si>
    <t>AREA USED (M2)</t>
  </si>
  <si>
    <t>SALES AREA</t>
  </si>
  <si>
    <t>OFFICE AREA</t>
  </si>
  <si>
    <t>PARTS AND ACCESSORIES AREA</t>
  </si>
  <si>
    <t>ADMINISTRATIVE AREA</t>
  </si>
  <si>
    <t>TOTAL AREA USED (M2)</t>
  </si>
  <si>
    <t>BALANCE SHEET</t>
  </si>
  <si>
    <t>ASSETS</t>
  </si>
  <si>
    <t>CASH</t>
  </si>
  <si>
    <t>BANKS</t>
  </si>
  <si>
    <t>CURRENT ACCOUNT</t>
  </si>
  <si>
    <t>INVESTMENTS / APPLICATIONS</t>
  </si>
  <si>
    <t>TOTAL CASH AND BANKS</t>
  </si>
  <si>
    <t>TRADE RECEIVABLES</t>
  </si>
  <si>
    <t>CHECKS IN CHARGE</t>
  </si>
  <si>
    <t>MISCELLANEOUS CLIENTS</t>
  </si>
  <si>
    <t>CREDIT CARDS</t>
  </si>
  <si>
    <t>PRE-DATED CHECKS</t>
  </si>
  <si>
    <t>PROVISION FOR FUDGY DEBTORS (-)</t>
  </si>
  <si>
    <t>TRADE / DISCOUNTED CHECKS (-)</t>
  </si>
  <si>
    <t>TOTAL ACCOUNTS RECEIVABLE</t>
  </si>
  <si>
    <t>ADVANCE MONEY TO SUPPLIERS</t>
  </si>
  <si>
    <t>TAXES TO BE RECOVERED</t>
  </si>
  <si>
    <t>PREPAID EXPENSES</t>
  </si>
  <si>
    <t>OTHER ACCOUNTS RECEIVABLE</t>
  </si>
  <si>
    <t>TOTAL CURRENT ASSETS</t>
  </si>
  <si>
    <t>STOCKS (OWN, UNSIGNED)</t>
  </si>
  <si>
    <t>NEW VEHICLES</t>
  </si>
  <si>
    <t>USED VEHICLES</t>
  </si>
  <si>
    <t>OTHER STOCKS</t>
  </si>
  <si>
    <t>TOTAL STOCK</t>
  </si>
  <si>
    <t>LONG TERM ASSETS</t>
  </si>
  <si>
    <t>LOANS / MUTUALS WITH PARTNERS</t>
  </si>
  <si>
    <t>ACCOUNTS RECEIVABLE FROM AFFILIATES</t>
  </si>
  <si>
    <t>JUDICIAL DEPOSITS</t>
  </si>
  <si>
    <t>TRANSFERS BETWEEN HEAD OFFICE AND BRANCHES</t>
  </si>
  <si>
    <t>OTHER RECEIVABLES</t>
  </si>
  <si>
    <t xml:space="preserve">TOTAL  LONG-TERM RECEIVABLES</t>
  </si>
  <si>
    <t>TOTAL NON-CURRENT ASSETS</t>
  </si>
  <si>
    <t>FIXED ASSETS</t>
  </si>
  <si>
    <t>PARTICIPATION IN CONTROLLED AND AFFILIATED COMPANIES</t>
  </si>
  <si>
    <t>PARTICIPATION TAX INCENTIVES AND OTHERS</t>
  </si>
  <si>
    <t>TOTAL INVESTMENTS</t>
  </si>
  <si>
    <t>PROPERTIES</t>
  </si>
  <si>
    <t>FURNITURE AND UTENSILS</t>
  </si>
  <si>
    <t>INSTALLATIONS</t>
  </si>
  <si>
    <t>MACHINES AND EQUIPMENT</t>
  </si>
  <si>
    <t>VEHICLES FOR USE</t>
  </si>
  <si>
    <t>TEST-DRIVE VEHICLES</t>
  </si>
  <si>
    <t>OTHERS</t>
  </si>
  <si>
    <t>ACCUMULATED DEPRECIATIONS (-)</t>
  </si>
  <si>
    <t>TOTAL OF FIXED ASSETS</t>
  </si>
  <si>
    <t>PROJECTS / AMORTIZATION (-)</t>
  </si>
  <si>
    <t>TOTAL DEFERRED</t>
  </si>
  <si>
    <t>INTANGIBLE</t>
  </si>
  <si>
    <t>TOTAL OF THE PERMANENT ASSETS</t>
  </si>
  <si>
    <t>TOTAL ASSETS</t>
  </si>
  <si>
    <t>LIABILITIES</t>
  </si>
  <si>
    <t>BILLS TO PAY</t>
  </si>
  <si>
    <t>FINANCIAL INSTITUTION</t>
  </si>
  <si>
    <t>TOTAL ACCOUNTS PAYABLE</t>
  </si>
  <si>
    <t>VEHICLES</t>
  </si>
  <si>
    <t>PARTS AND ACCESSORIES</t>
  </si>
  <si>
    <t>TOTAL SUPPLIERS</t>
  </si>
  <si>
    <t>WAGES AND CHARGES</t>
  </si>
  <si>
    <t>VACATION PROVISIONS</t>
  </si>
  <si>
    <t>13th SALARY PROVISIONS</t>
  </si>
  <si>
    <t>TOTAL LABOR OBLIGATIONS</t>
  </si>
  <si>
    <t xml:space="preserve">TAX PAYMENT </t>
  </si>
  <si>
    <t>ADVANCE MONEY TO CUSTOMER</t>
  </si>
  <si>
    <t>LOANS WITH PARTNERS AND ASSOCIATES</t>
  </si>
  <si>
    <t>TOTAL TAX AND TAX OBLIGATIONS</t>
  </si>
  <si>
    <t>TOTAL CURRENT LIABILITIES</t>
  </si>
  <si>
    <t>NON-CURRENT LIABILITIES</t>
  </si>
  <si>
    <t>FINANCIAL INSTITUTIONS</t>
  </si>
  <si>
    <t>DEFERRED INCOME TAX</t>
  </si>
  <si>
    <t>PROVISION FOR DIRECT AND INDIRECT TAXES</t>
  </si>
  <si>
    <t>TOTAL LONG-TERM DEMAND</t>
  </si>
  <si>
    <t>RESULT OF FUTURE EXERCISES</t>
  </si>
  <si>
    <t>TOTAL NON-CURRENT LIABILITIES</t>
  </si>
  <si>
    <t>NET WORTH</t>
  </si>
  <si>
    <t>SHARE CAPITAL</t>
  </si>
  <si>
    <t>CAPITAL TO BE PAID (-)</t>
  </si>
  <si>
    <t>CAPITAL RESERVE</t>
  </si>
  <si>
    <t>EVALUATION RESERVE</t>
  </si>
  <si>
    <t>OTHER RESERVES</t>
  </si>
  <si>
    <t>ACCUMULATED RESULT OF PREVIOUS YEARS</t>
  </si>
  <si>
    <t>PROFIT FOR THE YEAR</t>
  </si>
  <si>
    <t>DISTRIBUTION OF PROFITS</t>
  </si>
  <si>
    <t>TOTAL NET WORTH</t>
  </si>
  <si>
    <t>TOTAL LIABILITIES</t>
  </si>
  <si>
    <t>PARTNER PARTICIPATION</t>
  </si>
  <si>
    <t>PARTICIPAÇÃO SOCIETÁRIA</t>
  </si>
  <si>
    <t>BUSINESS PARTNER 1</t>
  </si>
  <si>
    <t>SÓCIO 1</t>
  </si>
  <si>
    <t>BUSINESS PARTNER 2</t>
  </si>
  <si>
    <t>SÓCIO 2</t>
  </si>
  <si>
    <t>BUSINESS PARTNER 3</t>
  </si>
  <si>
    <t>SÓCIO 3</t>
  </si>
  <si>
    <t>MINORITY BUSINESS PARTNES</t>
  </si>
  <si>
    <t>SÓCIO MINORITÁRIOS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</si>
</sst>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&quot;Yes&quot;;&quot;Yes&quot;;&quot;No&quot;"/>
    <numFmt numFmtId="165" formatCode="0_)"/>
    <numFmt numFmtId="166" formatCode="_(* #,##0_);_(* \(#,##0\);_(* &quot;-&quot;??_);_(@_)"/>
  </numFmts>
  <fonts count="17">
    <font>
      <sz val="11"/>
      <color theme="1"/>
      <name val="Calibri"/>
      <family val="2"/>
      <scheme val="minor"/>
    </font>
    <font>
      <sz val="6"/>
      <name val="Helv"/>
    </font>
    <font>
      <sz val="10"/>
      <name val="MS Sans Serif"/>
      <family val="2"/>
    </font>
    <font>
      <sz val="8"/>
      <name val="Arial"/>
      <family val="2"/>
    </font>
    <font>
      <b/>
      <sz val="8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rgb="FFFF000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theme="4" tint="0.59996337778862885"/>
      </left>
      <right/>
      <top style="thin">
        <color theme="4" tint="0.59996337778862885"/>
      </top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/>
      <top/>
      <bottom/>
      <diagonal/>
    </border>
  </borders>
  <cellStyleXfs count="9">
    <xf fontId="0" fillId="0" borderId="0"/>
    <xf fontId="2" fillId="0" borderId="1"/>
    <xf numFmtId="43" fontId="5" fillId="0" borderId="0"/>
    <xf numFmtId="164" fontId="1" fillId="0" borderId="0"/>
    <xf fontId="1" fillId="0" borderId="0"/>
    <xf numFmtId="164" fontId="1" fillId="0" borderId="0"/>
    <xf numFmtId="164" fontId="1" fillId="0" borderId="0"/>
    <xf numFmtId="164" fontId="1" fillId="0" borderId="0"/>
    <xf numFmtId="165" fontId="1" fillId="0" borderId="0"/>
  </cellStyleXfs>
  <cellXfs count="163">
    <xf fontId="0" applyFont="1" fillId="0" applyFill="1" borderId="0" applyBorder="1" xfId="0"/>
    <xf fontId="2" applyFont="1" fillId="0" applyFill="1" borderId="1" applyBorder="1" xfId="1"/>
    <xf numFmtId="43" applyNumberFormat="1" fontId="5" applyFont="1" fillId="0" applyFill="1" borderId="0" applyBorder="1" xfId="2"/>
    <xf numFmtId="164" applyNumberFormat="1" fontId="1" applyFont="1" fillId="0" applyFill="1" borderId="0" applyBorder="1" xfId="3"/>
    <xf fontId="1" applyFont="1" fillId="0" applyFill="1" borderId="0" applyBorder="1" xfId="4"/>
    <xf numFmtId="164" applyNumberFormat="1" fontId="1" applyFont="1" fillId="0" applyFill="1" borderId="0" applyBorder="1" xfId="5"/>
    <xf numFmtId="164" applyNumberFormat="1" fontId="1" applyFont="1" fillId="0" applyFill="1" borderId="0" applyBorder="1" xfId="6"/>
    <xf numFmtId="164" applyNumberFormat="1" fontId="1" applyFont="1" fillId="0" applyFill="1" borderId="0" applyBorder="1" xfId="7"/>
    <xf numFmtId="165" applyNumberFormat="1" fontId="1" applyFont="1" fillId="0" applyFill="1" borderId="0" applyBorder="1" xfId="8"/>
    <xf numFmtId="165" applyNumberFormat="1" fontId="3" applyFont="1" fillId="0" applyFill="1" borderId="0" applyBorder="1" xfId="4"/>
    <xf numFmtId="165" applyNumberFormat="1" fontId="3" applyFont="1" fillId="2" applyFill="1" borderId="0" applyBorder="1" xfId="4"/>
    <xf numFmtId="165" applyNumberFormat="1" fontId="0" applyFont="1" fillId="3" applyFill="1" borderId="0" applyBorder="1" xfId="0" quotePrefix="1">
      <alignment horizontal="left" wrapText="1"/>
    </xf>
    <xf numFmtId="165" applyNumberFormat="1" fontId="0" applyFont="1" fillId="3" applyFill="1" borderId="0" applyBorder="1" xfId="0" quotePrefix="1">
      <alignment horizontal="left"/>
    </xf>
    <xf numFmtId="165" applyNumberFormat="1" fontId="0" applyFont="1" fillId="3" applyFill="1" borderId="0" applyBorder="1" xfId="0"/>
    <xf numFmtId="165" applyNumberFormat="1" fontId="4" applyFont="1" fillId="0" applyFill="1" borderId="0" applyBorder="1" xfId="4"/>
    <xf numFmtId="1" applyNumberFormat="1" fontId="4" applyFont="1" fillId="0" applyFill="1" borderId="0" applyBorder="1" xfId="4">
      <alignment horizontal="right"/>
    </xf>
    <xf numFmtId="165" applyNumberFormat="1" fontId="0" applyFont="1" fillId="3" applyFill="1" borderId="0" applyBorder="1" xfId="0">
      <alignment wrapText="1"/>
    </xf>
    <xf fontId="7" applyFont="1" fillId="0" applyFill="1" borderId="0" applyBorder="1" xfId="0"/>
    <xf numFmtId="165" applyNumberFormat="1" fontId="0" applyFont="1" fillId="0" applyFill="1" borderId="0" applyBorder="1" xfId="0"/>
    <xf numFmtId="165" applyNumberFormat="1" fontId="0" applyFont="1" fillId="0" applyFill="1" borderId="0" applyBorder="1" xfId="0">
      <alignment wrapText="1"/>
    </xf>
    <xf fontId="3" applyFont="1" fillId="0" applyFill="1" borderId="0" applyBorder="1" xfId="0"/>
    <xf numFmtId="165" applyNumberFormat="1" fontId="3" applyFont="1" fillId="0" applyFill="1" borderId="0" applyBorder="1" xfId="4">
      <alignment wrapText="1"/>
    </xf>
    <xf numFmtId="165" applyNumberFormat="1" fontId="3" applyFont="1" fillId="0" applyFill="1" borderId="0" applyBorder="1" xfId="4" quotePrefix="1">
      <alignment horizontal="left"/>
    </xf>
    <xf numFmtId="165" applyNumberFormat="1" fontId="8" applyFont="1" fillId="0" applyFill="1" borderId="0" applyBorder="1" xfId="4"/>
    <xf numFmtId="165" applyNumberFormat="1" fontId="6" applyFont="1" fillId="0" applyFill="1" borderId="0" applyBorder="1" xfId="0"/>
    <xf numFmtId="165" applyNumberFormat="1" fontId="0" applyFont="1" fillId="0" applyFill="1" borderId="0" applyBorder="1" xfId="0" quotePrefix="1">
      <alignment horizontal="left"/>
    </xf>
    <xf numFmtId="165" applyNumberFormat="1" fontId="9" applyFont="1" fillId="0" applyFill="1" borderId="0" applyBorder="1" xfId="8">
      <alignment horizontal="left" vertical="center" wrapText="1"/>
      <protection hidden="1"/>
    </xf>
    <xf numFmtId="165" applyNumberFormat="1" fontId="6" applyFont="1" fillId="4" applyFill="1" borderId="0" applyBorder="1" xfId="8">
      <alignment horizontal="left" vertical="center"/>
      <protection hidden="1"/>
    </xf>
    <xf numFmtId="165" applyNumberFormat="1" fontId="10" applyFont="1" fillId="5" applyFill="1" borderId="0" applyBorder="1" xfId="8">
      <alignment horizontal="left" vertical="center"/>
      <protection hidden="1"/>
    </xf>
    <xf numFmtId="165" applyNumberFormat="1" fontId="9" applyFont="1" fillId="0" applyFill="1" borderId="0" applyBorder="1" xfId="8">
      <alignment horizontal="left" vertical="center"/>
      <protection hidden="1"/>
    </xf>
    <xf numFmtId="165" applyNumberFormat="1" fontId="6" applyFont="1" fillId="4" applyFill="1" borderId="0" applyBorder="1" xfId="8">
      <alignment horizontal="left" vertical="center" wrapText="1"/>
      <protection hidden="1"/>
    </xf>
    <xf numFmtId="165" applyNumberFormat="1" fontId="9" applyFont="1" fillId="6" applyFill="1" borderId="0" applyBorder="1" xfId="8">
      <alignment horizontal="left" vertical="center" wrapText="1"/>
      <protection hidden="1"/>
    </xf>
    <xf numFmtId="165" applyNumberFormat="1" fontId="6" applyFont="1" fillId="4" applyFill="1" borderId="2" applyBorder="1" xfId="8">
      <alignment horizontal="left" vertical="center" wrapText="1"/>
      <protection hidden="1"/>
    </xf>
    <xf numFmtId="165" applyNumberFormat="1" fontId="9" applyFont="1" fillId="0" applyFill="1" borderId="3" applyBorder="1" xfId="8">
      <alignment horizontal="left" vertical="center" wrapText="1"/>
      <protection hidden="1"/>
    </xf>
    <xf numFmtId="165" applyNumberFormat="1" fontId="9" applyFont="1" fillId="0" applyFill="1" borderId="4" applyBorder="1" xfId="8">
      <alignment horizontal="left" vertical="center" wrapText="1"/>
      <protection hidden="1"/>
    </xf>
    <xf numFmtId="165" applyNumberFormat="1" fontId="9" applyFont="1" fillId="6" applyFill="1" borderId="3" applyBorder="1" xfId="8">
      <alignment horizontal="left" vertical="center" wrapText="1"/>
      <protection hidden="1"/>
    </xf>
    <xf numFmtId="165" applyNumberFormat="1" fontId="6" applyFont="1" fillId="4" applyFill="1" borderId="4" applyBorder="1" xfId="8">
      <alignment horizontal="left" vertical="center" wrapText="1"/>
      <protection hidden="1"/>
    </xf>
    <xf fontId="6" applyFont="1" fillId="5" applyFill="1" borderId="4" applyBorder="1" xfId="0">
      <alignment horizontal="left" vertical="center" wrapText="1"/>
      <protection hidden="1"/>
    </xf>
    <xf numFmtId="165" applyNumberFormat="1" fontId="6" applyFont="1" fillId="5" applyFill="1" borderId="0" applyBorder="1" xfId="8">
      <alignment horizontal="center" vertical="center"/>
      <protection hidden="1"/>
    </xf>
    <xf numFmtId="165" applyNumberFormat="1" fontId="6" applyFont="1" fillId="5" applyFill="1" borderId="3" applyBorder="1" xfId="8">
      <alignment horizontal="center" vertical="center"/>
      <protection hidden="1"/>
    </xf>
    <xf numFmtId="165" applyNumberFormat="1" fontId="6" applyFont="1" fillId="5" applyFill="1" borderId="0" applyBorder="1" xfId="8">
      <alignment horizontal="center" vertical="center" wrapText="1"/>
      <protection hidden="1"/>
    </xf>
    <xf fontId="6" applyFont="1" fillId="3" applyFill="1" borderId="0" applyBorder="1" xfId="0">
      <alignment horizontal="left" vertical="center"/>
    </xf>
    <xf numFmtId="165" applyNumberFormat="1" fontId="6" applyFont="1" fillId="4" applyFill="1" borderId="0" applyBorder="1" xfId="8">
      <alignment vertical="center"/>
    </xf>
    <xf numFmtId="165" applyNumberFormat="1" fontId="9" applyFont="1" fillId="0" applyFill="1" borderId="0" applyBorder="1" xfId="8">
      <alignment horizontal="left" vertical="center"/>
    </xf>
    <xf numFmtId="165" applyNumberFormat="1" fontId="9" applyFont="1" fillId="6" applyFill="1" borderId="0" applyBorder="1" xfId="8">
      <alignment horizontal="left" vertical="center"/>
    </xf>
    <xf fontId="0" applyFont="1" fillId="0" applyFill="1" borderId="0" applyBorder="1" xfId="0">
      <alignment vertical="center"/>
    </xf>
    <xf numFmtId="165" applyNumberFormat="1" fontId="10" applyFont="1" fillId="5" applyFill="1" borderId="0" applyBorder="1" xfId="8">
      <alignment horizontal="left" vertical="center" wrapText="1"/>
      <protection hidden="1"/>
    </xf>
    <xf numFmtId="165" applyNumberFormat="1" fontId="6" applyFont="1" fillId="5" applyFill="1" borderId="0" applyBorder="1" xfId="8">
      <alignment horizontal="left" vertical="center" wrapText="1"/>
      <protection hidden="1"/>
    </xf>
    <xf numFmtId="165" applyNumberFormat="1" fontId="9" applyFont="1" fillId="6" applyFill="1" borderId="0" applyBorder="1" xfId="8">
      <alignment horizontal="left" vertical="center"/>
      <protection hidden="1"/>
    </xf>
    <xf numFmtId="165" applyNumberFormat="1" fontId="6" applyFont="1" fillId="5" applyFill="1" borderId="0" applyBorder="1" xfId="8">
      <alignment horizontal="left" vertical="center"/>
      <protection hidden="1"/>
    </xf>
    <xf numFmtId="165" applyNumberFormat="1" fontId="6" applyFont="1" fillId="4" applyFill="1" borderId="4" applyBorder="1" xfId="8">
      <alignment horizontal="left" vertical="center"/>
      <protection hidden="1"/>
    </xf>
    <xf numFmtId="165" applyNumberFormat="1" fontId="6" applyFont="1" fillId="4" applyFill="1" borderId="2" applyBorder="1" xfId="8">
      <alignment horizontal="left" vertical="center"/>
      <protection hidden="1"/>
    </xf>
    <xf numFmtId="165" applyNumberFormat="1" fontId="9" applyFont="1" fillId="0" applyFill="1" borderId="3" applyBorder="1" xfId="8">
      <alignment horizontal="left" vertical="center"/>
      <protection hidden="1"/>
    </xf>
    <xf numFmtId="165" applyNumberFormat="1" fontId="9" applyFont="1" fillId="0" applyFill="1" borderId="4" applyBorder="1" xfId="8">
      <alignment horizontal="left" vertical="center"/>
      <protection hidden="1"/>
    </xf>
    <xf numFmtId="165" applyNumberFormat="1" fontId="9" applyFont="1" fillId="6" applyFill="1" borderId="3" applyBorder="1" xfId="8">
      <alignment horizontal="left" vertical="center"/>
      <protection hidden="1"/>
    </xf>
    <xf fontId="6" applyFont="1" fillId="5" applyFill="1" borderId="4" applyBorder="1" xfId="0">
      <alignment horizontal="left" vertical="center"/>
      <protection hidden="1"/>
    </xf>
    <xf numFmtId="3" applyNumberFormat="1" fontId="9" applyFont="1" fillId="7" applyFill="1" borderId="0" applyBorder="1" xfId="8">
      <alignment horizontal="center" wrapText="1"/>
      <protection hidden="1"/>
    </xf>
    <xf numFmtId="165" applyNumberFormat="1" fontId="9" applyFont="1" fillId="6" applyFill="1" borderId="0" applyBorder="1" xfId="8">
      <alignment horizontal="center" wrapText="1"/>
      <protection hidden="1"/>
    </xf>
    <xf numFmtId="165" applyNumberFormat="1" fontId="10" applyFont="1" fillId="6" applyFill="1" borderId="0" applyBorder="1" xfId="8">
      <alignment horizontal="center" wrapText="1"/>
      <protection hidden="1"/>
    </xf>
    <xf numFmtId="3" applyNumberFormat="1" fontId="9" applyFont="1" fillId="6" applyFill="1" borderId="0" applyBorder="1" xfId="0">
      <alignment horizontal="center" wrapText="1"/>
      <protection hidden="1"/>
    </xf>
    <xf fontId="6" applyFont="1" fillId="5" applyFill="1" borderId="0" applyBorder="1" xfId="0">
      <alignment horizontal="center" wrapText="1"/>
      <protection hidden="1"/>
    </xf>
    <xf numFmtId="165" applyNumberFormat="1" fontId="10" applyFont="1" fillId="9" applyFill="1" borderId="0" applyBorder="1" xfId="8">
      <alignment horizontal="left" wrapText="1"/>
      <protection hidden="1"/>
    </xf>
    <xf numFmtId="165" applyNumberFormat="1" fontId="3" applyFont="1" fillId="0" applyFill="1" borderId="0" applyBorder="1" xfId="4" quotePrefix="1"/>
    <xf fontId="0" applyFont="1" fillId="3" applyFill="1" borderId="0" applyBorder="1" xfId="0"/>
    <xf fontId="0" applyFont="1" fillId="10" applyFill="1" borderId="0" applyBorder="1" xfId="0"/>
    <xf fontId="9" applyFont="1" fillId="10" applyFill="1" borderId="0" applyBorder="1" xfId="0"/>
    <xf fontId="16" applyFont="1" fillId="0" applyFill="1" borderId="0" applyBorder="1" xfId="0">
      <alignment vertical="center"/>
    </xf>
    <xf fontId="0" applyFont="1" fillId="10" applyFill="1" borderId="0" applyBorder="1" xfId="0">
      <alignment wrapText="1"/>
    </xf>
    <xf fontId="0" applyFont="1" fillId="0" applyFill="1" borderId="0" applyBorder="1" xfId="0" quotePrefix="1"/>
    <xf fontId="0" applyFont="1" fillId="7" applyFill="1" borderId="0" applyBorder="1" xfId="0">
      <alignment vertical="center"/>
      <protection hidden="1"/>
    </xf>
    <xf fontId="14" applyFont="1" fillId="7" applyFill="1" borderId="0" applyBorder="1" xfId="0">
      <alignment vertical="center"/>
      <protection hidden="1"/>
    </xf>
    <xf fontId="6" applyFont="1" fillId="3" applyFill="1" borderId="0" applyBorder="1" xfId="0">
      <alignment horizontal="left" vertical="center"/>
      <protection hidden="1"/>
    </xf>
    <xf fontId="15" applyFont="1" fillId="3" applyFill="1" borderId="0" applyBorder="1" xfId="0">
      <alignment vertical="center"/>
      <protection hidden="1"/>
    </xf>
    <xf numFmtId="165" applyNumberFormat="1" fontId="6" applyFont="1" fillId="4" applyFill="1" borderId="0" applyBorder="1" xfId="8">
      <alignment vertical="center"/>
      <protection hidden="1"/>
    </xf>
    <xf numFmtId="3" applyNumberFormat="1" fontId="6" applyFont="1" fillId="5" applyFill="1" borderId="0" applyBorder="1" xfId="0">
      <alignment horizontal="center" vertical="center"/>
      <protection hidden="1"/>
    </xf>
    <xf numFmtId="165" applyNumberFormat="1" fontId="9" applyFont="1" fillId="0" applyFill="1" borderId="0" applyBorder="1" xfId="8">
      <alignment horizontal="center" vertical="center"/>
      <protection hidden="1"/>
    </xf>
    <xf numFmtId="165" applyNumberFormat="1" fontId="9" applyFont="1" fillId="6" applyFill="1" borderId="0" applyBorder="1" xfId="8">
      <alignment horizontal="center" vertical="center"/>
      <protection hidden="1"/>
    </xf>
    <xf fontId="0" applyFont="1" fillId="0" applyFill="1" borderId="0" applyBorder="1" xfId="0">
      <alignment vertical="center"/>
      <protection hidden="1"/>
    </xf>
    <xf fontId="0" applyFont="1" fillId="0" applyFill="1" borderId="0" applyBorder="1" xfId="0">
      <alignment horizontal="center" vertical="center"/>
      <protection hidden="1"/>
    </xf>
    <xf numFmtId="3" applyNumberFormat="1" fontId="6" applyFont="1" fillId="5" applyFill="1" borderId="0" applyBorder="1" xfId="0">
      <alignment horizontal="center"/>
      <protection hidden="1"/>
    </xf>
    <xf fontId="0" applyFont="1" fillId="0" applyFill="1" borderId="0" applyBorder="1" xfId="0">
      <alignment horizontal="center"/>
      <protection hidden="1"/>
    </xf>
    <xf numFmtId="165" applyNumberFormat="1" fontId="9" applyFont="1" fillId="6" applyFill="1" borderId="0" applyBorder="1" xfId="8">
      <alignment horizontal="center"/>
      <protection hidden="1"/>
    </xf>
    <xf fontId="6" applyFont="1" fillId="3" applyFill="1" borderId="0" applyBorder="1" xfId="0">
      <alignment horizontal="center" vertical="center"/>
      <protection hidden="1"/>
    </xf>
    <xf numFmtId="165" applyNumberFormat="1" fontId="9" applyFont="1" fillId="0" applyFill="1" borderId="0" applyBorder="1" xfId="8">
      <alignment horizontal="center"/>
      <protection hidden="1"/>
    </xf>
    <xf numFmtId="3" applyNumberFormat="1" fontId="9" applyFont="1" fillId="0" applyFill="1" borderId="0" applyBorder="1" xfId="0">
      <alignment horizontal="center"/>
      <protection hidden="1"/>
    </xf>
    <xf numFmtId="3" applyNumberFormat="1" fontId="6" applyFont="1" fillId="0" applyFill="1" borderId="0" applyBorder="1" xfId="0">
      <alignment horizontal="center"/>
      <protection hidden="1"/>
    </xf>
    <xf numFmtId="3" applyNumberFormat="1" fontId="10" applyFont="1" fillId="0" applyFill="1" borderId="0" applyBorder="1" xfId="0">
      <alignment horizontal="center"/>
      <protection hidden="1"/>
    </xf>
    <xf fontId="9" applyFont="1" fillId="0" applyFill="1" borderId="0" applyBorder="1" xfId="0">
      <alignment horizontal="center"/>
      <protection hidden="1"/>
    </xf>
    <xf numFmtId="3" applyNumberFormat="1" fontId="9" applyFont="1" fillId="0" applyFill="1" borderId="0" applyBorder="1" xfId="2">
      <alignment horizontal="center"/>
      <protection hidden="1"/>
    </xf>
    <xf fontId="6" applyFont="1" fillId="3" applyFill="1" borderId="0" applyBorder="1" xfId="0">
      <alignment horizontal="center"/>
      <protection hidden="1"/>
    </xf>
    <xf fontId="9" applyFont="1" fillId="3" applyFill="1" borderId="0" applyBorder="1" xfId="0">
      <alignment horizontal="center"/>
      <protection hidden="1"/>
    </xf>
    <xf fontId="0" applyFont="1" fillId="3" applyFill="1" borderId="0" applyBorder="1" xfId="0">
      <alignment horizontal="center"/>
      <protection hidden="1"/>
    </xf>
    <xf fontId="0" applyFont="1" fillId="0" applyFill="1" borderId="0" applyBorder="1" xfId="0">
      <protection hidden="1"/>
    </xf>
    <xf fontId="6" applyFont="1" fillId="0" applyFill="1" borderId="0" applyBorder="1" xfId="0">
      <alignment horizontal="center"/>
      <protection hidden="1"/>
    </xf>
    <xf numFmtId="3" applyNumberFormat="1" fontId="9" applyFont="1" fillId="8" applyFill="1" borderId="0" applyBorder="1" xfId="0">
      <alignment horizontal="center"/>
      <protection hidden="1"/>
    </xf>
    <xf fontId="0" applyFont="1" fillId="8" applyFill="1" borderId="0" applyBorder="1" xfId="0">
      <alignment horizontal="center"/>
      <protection hidden="1"/>
    </xf>
    <xf fontId="12" applyFont="1" fillId="7" applyFill="1" borderId="0" applyBorder="1" xfId="0" quotePrefix="1">
      <alignment horizontal="center" vertical="center"/>
      <protection hidden="1"/>
    </xf>
    <xf fontId="13" applyFont="1" fillId="7" applyFill="1" borderId="0" applyBorder="1" xfId="0">
      <alignment vertical="center"/>
      <protection hidden="1"/>
    </xf>
    <xf fontId="13" applyFont="1" fillId="7" applyFill="1" borderId="0" applyBorder="1" xfId="0" quotePrefix="1">
      <alignment horizontal="right" vertical="center"/>
      <protection hidden="1"/>
    </xf>
    <xf numFmtId="3" applyNumberFormat="1" fontId="13" applyFont="1" fillId="7" applyFill="1" borderId="0" applyBorder="1" xfId="0">
      <alignment horizontal="right" vertical="center"/>
      <protection hidden="1"/>
    </xf>
    <xf numFmtId="3" applyNumberFormat="1" fontId="13" applyFont="1" fillId="7" applyFill="1" borderId="0" applyBorder="1" xfId="0">
      <alignment horizontal="left" vertical="center"/>
      <protection hidden="1"/>
    </xf>
    <xf fontId="13" applyFont="1" fillId="7" applyFill="1" borderId="0" applyBorder="1" xfId="0" quotePrefix="1">
      <alignment horizontal="center" vertical="center"/>
      <protection hidden="1"/>
    </xf>
    <xf fontId="6" applyFont="1" fillId="3" applyFill="1" borderId="0" applyBorder="1" xfId="0">
      <alignment horizontal="right" vertical="center"/>
      <protection hidden="1"/>
    </xf>
    <xf fontId="9" applyFont="1" fillId="3" applyFill="1" borderId="0" applyBorder="1" xfId="0">
      <alignment horizontal="right" vertical="center"/>
      <protection hidden="1"/>
    </xf>
    <xf fontId="0" applyFont="1" fillId="3" applyFill="1" borderId="0" applyBorder="1" xfId="0">
      <alignment horizontal="right" vertical="center"/>
      <protection hidden="1"/>
    </xf>
    <xf fontId="6" applyFont="1" fillId="7" applyFill="1" borderId="0" applyBorder="1" xfId="0">
      <alignment vertical="center"/>
      <protection hidden="1"/>
    </xf>
    <xf fontId="0" applyFont="1" fillId="7" applyFill="1" borderId="0" applyBorder="1" xfId="0" quotePrefix="1">
      <alignment horizontal="left" vertical="center"/>
      <protection hidden="1"/>
    </xf>
    <xf numFmtId="166" applyNumberFormat="1" fontId="9" applyFont="1" fillId="0" applyFill="1" borderId="0" applyBorder="1" xfId="8">
      <alignment horizontal="right" vertical="center"/>
      <protection hidden="1"/>
    </xf>
    <xf numFmtId="166" applyNumberFormat="1" fontId="9" applyFont="1" fillId="6" applyFill="1" borderId="0" applyBorder="1" xfId="8">
      <alignment horizontal="right" vertical="center"/>
      <protection hidden="1"/>
    </xf>
    <xf fontId="0" applyFont="1" fillId="7" applyFill="1" borderId="0" applyBorder="1" xfId="0">
      <alignment horizontal="right" vertical="center"/>
      <protection hidden="1"/>
    </xf>
    <xf numFmtId="166" applyNumberFormat="1" fontId="0" applyFont="1" fillId="0" applyFill="1" borderId="0" applyBorder="1" xfId="0">
      <alignment horizontal="right" vertical="center"/>
      <protection hidden="1"/>
    </xf>
    <xf numFmtId="3" applyNumberFormat="1" fontId="9" applyFont="1" fillId="0" applyFill="1" borderId="0" applyBorder="1" xfId="8">
      <alignment horizontal="right" vertical="center"/>
      <protection hidden="1"/>
    </xf>
    <xf numFmtId="3" applyNumberFormat="1" fontId="9" applyFont="1" fillId="6" applyFill="1" borderId="0" applyBorder="1" xfId="8">
      <alignment horizontal="right" vertical="center"/>
      <protection hidden="1"/>
    </xf>
    <xf numFmtId="3" applyNumberFormat="1" fontId="9" applyFont="1" fillId="7" applyFill="1" borderId="0" applyBorder="1" xfId="0">
      <alignment horizontal="right" vertical="center"/>
      <protection hidden="1"/>
    </xf>
    <xf numFmtId="165" applyNumberFormat="1" fontId="9" applyFont="1" fillId="7" applyFill="1" borderId="0" applyBorder="1" xfId="8">
      <alignment horizontal="right" vertical="center"/>
      <protection hidden="1"/>
    </xf>
    <xf numFmtId="3" applyNumberFormat="1" fontId="6" applyFont="1" fillId="7" applyFill="1" borderId="0" applyBorder="1" xfId="0">
      <alignment horizontal="right" vertical="center"/>
      <protection hidden="1"/>
    </xf>
    <xf numFmtId="3" applyNumberFormat="1" fontId="10" applyFont="1" fillId="7" applyFill="1" borderId="0" applyBorder="1" xfId="0">
      <alignment horizontal="right" vertical="center"/>
      <protection hidden="1"/>
    </xf>
    <xf fontId="9" applyFont="1" fillId="7" applyFill="1" borderId="0" applyBorder="1" xfId="0">
      <alignment horizontal="right" vertical="center"/>
      <protection hidden="1"/>
    </xf>
    <xf numFmtId="3" applyNumberFormat="1" fontId="9" applyFont="1" fillId="7" applyFill="1" borderId="0" applyBorder="1" xfId="2">
      <alignment horizontal="right" vertical="center"/>
      <protection hidden="1"/>
    </xf>
    <xf fontId="6" applyFont="1" fillId="7" applyFill="1" borderId="0" applyBorder="1" xfId="0">
      <alignment horizontal="right" vertical="center"/>
      <protection hidden="1"/>
    </xf>
    <xf fontId="6" applyFont="1" fillId="5" applyFill="1" borderId="0" applyBorder="1" xfId="0">
      <alignment horizontal="center" vertical="center" wrapText="1"/>
      <protection hidden="1"/>
    </xf>
    <xf fontId="6" applyFont="1" fillId="5" applyFill="1" borderId="0" applyBorder="1" xfId="0">
      <alignment horizontal="center" vertical="center"/>
      <protection hidden="1"/>
    </xf>
    <xf numFmtId="165" applyNumberFormat="1" fontId="10" applyFont="1" fillId="9" applyFill="1" borderId="0" applyBorder="1" xfId="8">
      <alignment horizontal="right" vertical="center" wrapText="1"/>
      <protection hidden="1"/>
    </xf>
    <xf fontId="0" applyFont="1" fillId="7" applyFill="1" borderId="0" applyBorder="1" xfId="0">
      <alignment horizontal="center" vertical="center"/>
      <protection hidden="1"/>
    </xf>
    <xf numFmtId="3" applyNumberFormat="1" fontId="0" applyFont="1" fillId="7" applyFill="1" borderId="0" applyBorder="1" xfId="0">
      <alignment horizontal="right" vertical="center"/>
      <protection hidden="1"/>
    </xf>
    <xf numFmtId="165" applyNumberFormat="1" fontId="9" applyFont="1" fillId="0" applyFill="1" borderId="0" applyBorder="1" xfId="8">
      <alignment horizontal="left"/>
    </xf>
    <xf numFmtId="165" applyNumberFormat="1" fontId="9" applyFont="1" fillId="6" applyFill="1" borderId="0" applyBorder="1" xfId="8">
      <alignment horizontal="left"/>
    </xf>
    <xf fontId="6" applyFont="1" fillId="3" applyFill="1" borderId="0" applyBorder="1" xfId="0">
      <alignment horizontal="left"/>
    </xf>
    <xf fontId="0" applyFont="1" fillId="0" applyFill="1" borderId="0" applyBorder="1" xfId="0">
      <alignment horizontal="left"/>
    </xf>
    <xf numFmtId="165" applyNumberFormat="1" fontId="6" applyFont="1" fillId="4" applyFill="1" borderId="0" applyBorder="1" xfId="8">
      <alignment horizontal="left"/>
      <protection hidden="1"/>
    </xf>
    <xf numFmtId="49" applyNumberFormat="1" fontId="0" applyFont="1" fillId="3" applyFill="1" borderId="0" applyBorder="1" xfId="0"/>
    <xf numFmtId="49" applyNumberFormat="1" fontId="0" applyFont="1" fillId="10" applyFill="1" borderId="0" applyBorder="1" xfId="0"/>
    <xf numFmtId="165" applyNumberFormat="1" fontId="6" applyFont="1" fillId="4" applyFill="1" borderId="0" applyBorder="1" xfId="8"/>
    <xf numFmtId="165" applyNumberFormat="1" fontId="9" applyFont="1" fillId="6" applyFill="1" borderId="0" applyBorder="1" xfId="8">
      <alignment horizontal="left"/>
      <protection hidden="1"/>
    </xf>
    <xf numFmtId="165" applyNumberFormat="1" fontId="9" applyFont="1" fillId="0" applyFill="1" borderId="0" applyBorder="1" xfId="8">
      <alignment horizontal="left"/>
      <protection hidden="1"/>
    </xf>
    <xf numFmtId="165" applyNumberFormat="1" fontId="10" applyFont="1" fillId="5" applyFill="1" borderId="0" applyBorder="1" xfId="8">
      <alignment horizontal="left"/>
      <protection hidden="1"/>
    </xf>
    <xf numFmtId="165" applyNumberFormat="1" fontId="6" applyFont="1" fillId="5" applyFill="1" borderId="0" applyBorder="1" xfId="8">
      <alignment horizontal="left"/>
      <protection hidden="1"/>
    </xf>
    <xf numFmtId="165" applyNumberFormat="1" fontId="6" applyFont="1" fillId="4" applyFill="1" borderId="4" applyBorder="1" xfId="8">
      <alignment horizontal="left"/>
      <protection hidden="1"/>
    </xf>
    <xf numFmtId="165" applyNumberFormat="1" fontId="9" applyFont="1" fillId="0" applyFill="1" borderId="3" applyBorder="1" xfId="8">
      <alignment horizontal="left"/>
      <protection hidden="1"/>
    </xf>
    <xf numFmtId="165" applyNumberFormat="1" fontId="9" applyFont="1" fillId="6" applyFill="1" borderId="4" applyBorder="1" xfId="8">
      <alignment horizontal="left" vertical="center"/>
      <protection hidden="1"/>
    </xf>
    <xf numFmtId="43" applyNumberFormat="1" fontId="9" applyFont="1" fillId="0" applyFill="1" borderId="0" applyBorder="1" xfId="8">
      <alignment horizontal="right" vertical="center"/>
      <protection hidden="1"/>
    </xf>
    <xf numFmtId="43" applyNumberFormat="1" fontId="9" applyFont="1" fillId="6" applyFill="1" borderId="0" applyBorder="1" xfId="8">
      <alignment horizontal="right" vertical="center"/>
      <protection hidden="1"/>
    </xf>
    <xf fontId="6" applyFont="1" fillId="5" applyFill="1" borderId="0" applyBorder="1" xfId="8">
      <alignment horizontal="center" vertical="center"/>
      <protection hidden="1"/>
    </xf>
    <xf fontId="6" applyFont="1" fillId="5" applyFill="1" borderId="3" applyBorder="1" xfId="8">
      <alignment horizontal="center" vertical="center"/>
      <protection hidden="1"/>
    </xf>
    <xf fontId="6" applyFont="1" fillId="5" applyFill="1" borderId="0" applyBorder="1" xfId="8">
      <alignment horizontal="center" vertical="center" wrapText="1"/>
      <protection hidden="1"/>
    </xf>
    <xf fontId="6" applyFont="1" fillId="4" applyFill="1" borderId="0" applyBorder="1" xfId="8">
      <alignment vertical="center"/>
      <protection hidden="1"/>
    </xf>
    <xf fontId="9" applyFont="1" fillId="0" applyFill="1" borderId="0" applyBorder="1" xfId="8">
      <alignment horizontal="left" vertical="center"/>
      <protection hidden="1"/>
    </xf>
    <xf fontId="9" applyFont="1" fillId="6" applyFill="1" borderId="0" applyBorder="1" xfId="8">
      <alignment horizontal="left" vertical="center"/>
      <protection hidden="1"/>
    </xf>
    <xf fontId="9" applyFont="1" fillId="0" applyFill="1" borderId="0" applyBorder="1" xfId="8">
      <alignment horizontal="left" vertical="center" wrapText="1"/>
      <protection hidden="1"/>
    </xf>
    <xf fontId="6" applyFont="1" fillId="4" applyFill="1" borderId="0" applyBorder="1" xfId="8">
      <alignment horizontal="left" vertical="center"/>
      <protection hidden="1"/>
    </xf>
    <xf fontId="10" applyFont="1" fillId="5" applyFill="1" borderId="0" applyBorder="1" xfId="8">
      <alignment horizontal="left" vertical="center"/>
      <protection hidden="1"/>
    </xf>
    <xf fontId="9" applyFont="1" fillId="6" applyFill="1" borderId="0" applyBorder="1" xfId="8">
      <alignment horizontal="left" vertical="center" wrapText="1"/>
      <protection hidden="1"/>
    </xf>
    <xf fontId="6" applyFont="1" fillId="4" applyFill="1" borderId="0" applyBorder="1" xfId="8">
      <alignment horizontal="left" vertical="center" wrapText="1"/>
      <protection hidden="1"/>
    </xf>
    <xf fontId="10" applyFont="1" fillId="5" applyFill="1" borderId="0" applyBorder="1" xfId="8">
      <alignment horizontal="left" vertical="center" wrapText="1"/>
      <protection hidden="1"/>
    </xf>
    <xf fontId="6" applyFont="1" fillId="5" applyFill="1" borderId="0" applyBorder="1" xfId="8">
      <alignment horizontal="left" vertical="center" wrapText="1"/>
      <protection hidden="1"/>
    </xf>
    <xf fontId="6" applyFont="1" fillId="4" applyFill="1" borderId="4" applyBorder="1" xfId="8">
      <alignment horizontal="left" vertical="center" wrapText="1"/>
      <protection hidden="1"/>
    </xf>
    <xf fontId="6" applyFont="1" fillId="4" applyFill="1" borderId="2" applyBorder="1" xfId="8">
      <alignment horizontal="left" vertical="center" wrapText="1"/>
      <protection hidden="1"/>
    </xf>
    <xf fontId="9" applyFont="1" fillId="0" applyFill="1" borderId="3" applyBorder="1" xfId="8">
      <alignment horizontal="left" vertical="center" wrapText="1"/>
      <protection hidden="1"/>
    </xf>
    <xf fontId="9" applyFont="1" fillId="0" applyFill="1" borderId="4" applyBorder="1" xfId="8">
      <alignment horizontal="left" vertical="center" wrapText="1"/>
      <protection hidden="1"/>
    </xf>
    <xf fontId="9" applyFont="1" fillId="6" applyFill="1" borderId="3" applyBorder="1" xfId="8">
      <alignment horizontal="left" vertical="center" wrapText="1"/>
      <protection hidden="1"/>
    </xf>
    <xf numFmtId="3" applyNumberFormat="1" fontId="13" applyFont="1" fillId="7" applyFill="1" borderId="0" applyBorder="1" xfId="0">
      <alignment horizontal="left" vertical="center"/>
      <protection hidden="1"/>
    </xf>
    <xf fontId="11" applyFont="1" fillId="7" applyFill="1" borderId="0" applyBorder="1" xfId="0">
      <alignment horizontal="center" vertical="center"/>
      <protection hidden="1"/>
    </xf>
    <xf numFmtId="3" applyNumberFormat="1" fontId="11" applyFont="1" fillId="7" applyFill="1" borderId="0" applyBorder="1" xfId="0">
      <alignment horizontal="center" vertical="center"/>
      <protection hidden="1"/>
    </xf>
  </cellXfs>
  <cellStyles count="9">
    <cellStyle name="BOLD_B" xfId="1"/>
    <cellStyle name="Comma" xfId="2" builtinId="3"/>
    <cellStyle name="Normal" xfId="0" builtinId="0"/>
    <cellStyle name="Normal 2" xfId="3"/>
    <cellStyle name="Normal 2 2" xfId="4"/>
    <cellStyle name="Normal 3" xfId="5"/>
    <cellStyle name="Normal 4" xfId="6"/>
    <cellStyle name="Normal 5" xfId="7"/>
    <cellStyle name="Normal 6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pageSetUpPr fitToPage="1"/>
  </sheetPr>
  <dimension ref="A1:X526"/>
  <sheetViews>
    <sheetView tabSelected="1" zoomScaleNormal="100" workbookViewId="0">
      <pane ySplit="2" topLeftCell="A3" activePane="bottomLeft" state="frozenSplit"/>
      <selection activeCell="Q12" sqref="Q12:W12"/>
      <selection pane="bottomLeft" activeCell="C9" sqref="C9"/>
    </sheetView>
  </sheetViews>
  <sheetFormatPr defaultColWidth="9.140625" defaultRowHeight="15" zeroHeight="1" x14ac:dyDescent="0.25"/>
  <cols>
    <col min="1" max="1" bestFit="1" width="65.140625" customWidth="1" style="69"/>
    <col min="2" max="2" bestFit="1" width="13.7109375" customWidth="1" style="123"/>
    <col min="3" max="3" width="19.5703125" customWidth="1" style="124"/>
    <col min="4" max="4" width="20.7109375" customWidth="1" style="124"/>
    <col min="5" max="8" width="18" customWidth="1" style="124"/>
    <col min="9" max="9" width="19.7109375" customWidth="1" style="124"/>
    <col min="10" max="10" width="17.5703125" customWidth="1" style="69"/>
    <col min="11" max="11" width="1.85546875" customWidth="1" style="69"/>
    <col min="12" max="14" width="9.140625" customWidth="1" style="69"/>
    <col min="15" max="15" hidden="1" width="49.5703125" customWidth="1" style="69"/>
    <col min="16" max="24" hidden="1" width="9.140625" customWidth="1" style="69"/>
    <col min="25" max="25" width="9.140625" customWidth="1" style="69"/>
    <col min="26" max="16384" width="9.140625" customWidth="1" style="69"/>
  </cols>
  <sheetData>
    <row r="1" ht="26.25">
      <c r="A1" s="161" t="str">
        <f>Translation!$A$22</f>
        <v>DRE YAMAHA BMI - Acumulado</v>
      </c>
      <c r="B1" s="161"/>
      <c r="C1" s="162"/>
      <c r="D1" s="162"/>
      <c r="E1" s="162"/>
      <c r="F1" s="162"/>
      <c r="G1" s="162"/>
      <c r="H1" s="162"/>
      <c r="I1" s="162"/>
      <c r="J1" s="96"/>
    </row>
    <row r="2" ht="15.75" s="70" customFormat="1">
      <c r="A2" s="97" t="str">
        <f>Translation!$A$20&amp;Data!D1</f>
        <v>Concessionário: %%=$RecordSet.#4</v>
      </c>
      <c r="B2" s="98"/>
      <c r="C2" s="160" t="str">
        <f>Translation!$A$19&amp;Data!D3</f>
        <v>Localização: %%=$RecordSet.#8</v>
      </c>
      <c r="D2" s="160"/>
      <c r="E2" s="160"/>
      <c r="F2" s="99"/>
      <c r="G2" s="99"/>
      <c r="H2" s="99" t="str">
        <f>Translation!$A$21</f>
        <v>Período: </v>
      </c>
      <c r="I2" s="100" t="e">
        <f>VLOOKUP(Data!D6,Data!H1:I12,2,FALSE)&amp;" "&amp;Data!E6</f>
        <v>#N/A</v>
      </c>
      <c r="J2" s="101"/>
    </row>
    <row r="3" ht="18.75">
      <c r="A3" s="71" t="str">
        <f>Translation!A1</f>
        <v>VENDA DE NOVOS</v>
      </c>
      <c r="B3" s="72"/>
      <c r="C3" s="102"/>
      <c r="D3" s="102"/>
      <c r="E3" s="102"/>
      <c r="F3" s="102"/>
      <c r="G3" s="103"/>
      <c r="H3" s="104"/>
      <c r="I3" s="104"/>
      <c r="J3" s="104"/>
      <c r="K3" s="105"/>
      <c r="O3" s="71" t="s">
        <v>0</v>
      </c>
      <c r="P3" s="72"/>
    </row>
    <row r="4" ht="30">
      <c r="A4" s="145" t="str">
        <f>Translation!A35</f>
        <v>LINHA SCOOTER &lt;200 cc</v>
      </c>
      <c r="B4" s="142" t="str">
        <f>Translation!$G$32</f>
        <v>CONTA</v>
      </c>
      <c r="C4" s="121" t="str">
        <f>Translation!$G$12</f>
        <v>UNIDADES</v>
      </c>
      <c r="D4" s="120" t="str">
        <f>Translation!$G$11</f>
        <v>RECEITA
(SEM IMPOSTOS)</v>
      </c>
      <c r="E4" s="120" t="str">
        <f>Translation!$G$33</f>
        <v>UNIDADES DEVOLVIDAS</v>
      </c>
      <c r="F4" s="120" t="str">
        <f>Translation!$G$14</f>
        <v>DEVOLUÇÃO
DE VENDAS</v>
      </c>
      <c r="G4" s="120" t="str">
        <f>Translation!$G$3</f>
        <v>ABAT. E DESCONTO</v>
      </c>
      <c r="H4" s="120" t="str">
        <f>Translation!$G$9</f>
        <v>RECEITA LÍQUIDA</v>
      </c>
      <c r="I4" s="121" t="str">
        <f>Translation!$G$2</f>
        <v>CUSTO</v>
      </c>
      <c r="J4" s="121" t="str">
        <f>Translation!$G$5</f>
        <v>LUCRO BRUTO</v>
      </c>
      <c r="O4" s="73" t="s">
        <v>1</v>
      </c>
      <c r="P4" s="38" t="str">
        <f>Translation!$G$32</f>
        <v>CONTA</v>
      </c>
      <c r="Q4" s="74" t="s">
        <v>2</v>
      </c>
      <c r="R4" s="74" t="s">
        <v>3</v>
      </c>
      <c r="S4" s="74" t="s">
        <v>4</v>
      </c>
      <c r="T4" s="74" t="s">
        <v>5</v>
      </c>
      <c r="U4" s="74" t="s">
        <v>6</v>
      </c>
      <c r="V4" s="74" t="s">
        <v>7</v>
      </c>
      <c r="W4" s="74" t="s">
        <v>8</v>
      </c>
      <c r="X4" s="74" t="s">
        <v>9</v>
      </c>
    </row>
    <row r="5">
      <c r="A5" s="146" t="str">
        <f>Translation!A36</f>
        <v>NEO 125</v>
      </c>
      <c r="B5" s="142" t="s">
        <v>10</v>
      </c>
      <c r="C5" s="107" t="e">
        <f>VLOOKUP(Q5,Data!$B:$E,4,FALSE)</f>
        <v>#N/A</v>
      </c>
      <c r="D5" s="140" t="e">
        <f>VLOOKUP(R5,Data!$B:$E,4,FALSE)</f>
        <v>#N/A</v>
      </c>
      <c r="E5" s="107" t="e">
        <f>VLOOKUP(S5,Data!$B:$E,4,FALSE)</f>
        <v>#N/A</v>
      </c>
      <c r="F5" s="140" t="e">
        <f>VLOOKUP(T5,Data!$B:$E,4,FALSE)</f>
        <v>#N/A</v>
      </c>
      <c r="G5" s="140" t="e">
        <f>VLOOKUP(U5,Data!$B:$E,4,FALSE)</f>
        <v>#N/A</v>
      </c>
      <c r="H5" s="141" t="e">
        <f>VLOOKUP(V5,Data!$B:$E,4,FALSE)</f>
        <v>#N/A</v>
      </c>
      <c r="I5" s="140" t="e">
        <f>VLOOKUP(W5,Data!$B:$E,4,FALSE)</f>
        <v>#N/A</v>
      </c>
      <c r="J5" s="141" t="e">
        <f>VLOOKUP(X5,Data!$B:$E,4,FALSE)</f>
        <v>#N/A</v>
      </c>
      <c r="O5" s="29" t="s">
        <v>11</v>
      </c>
      <c r="P5" s="38" t="s">
        <v>10</v>
      </c>
      <c r="Q5" s="75" t="s">
        <v>12</v>
      </c>
      <c r="R5" s="75" t="s">
        <v>13</v>
      </c>
      <c r="S5" s="75" t="s">
        <v>14</v>
      </c>
      <c r="T5" s="75" t="s">
        <v>15</v>
      </c>
      <c r="U5" s="75" t="s">
        <v>16</v>
      </c>
      <c r="V5" s="76" t="s">
        <v>17</v>
      </c>
      <c r="W5" s="75" t="s">
        <v>18</v>
      </c>
      <c r="X5" s="76" t="s">
        <v>19</v>
      </c>
    </row>
    <row r="6">
      <c r="A6" s="146" t="str">
        <f>Translation!A37</f>
        <v>NMAX 160 ABS</v>
      </c>
      <c r="B6" s="142" t="s">
        <v>20</v>
      </c>
      <c r="C6" s="107" t="e">
        <f>VLOOKUP(Q6,Data!$B:$E,4,FALSE)</f>
        <v>#N/A</v>
      </c>
      <c r="D6" s="140" t="e">
        <f>VLOOKUP(R6,Data!$B:$E,4,FALSE)</f>
        <v>#N/A</v>
      </c>
      <c r="E6" s="140" t="e">
        <f>VLOOKUP(S6,Data!$B:$E,4,FALSE)</f>
        <v>#N/A</v>
      </c>
      <c r="F6" s="140" t="e">
        <f>VLOOKUP(T6,Data!$B:$E,4,FALSE)</f>
        <v>#N/A</v>
      </c>
      <c r="G6" s="140" t="e">
        <f>VLOOKUP(U6,Data!$B:$E,4,FALSE)</f>
        <v>#N/A</v>
      </c>
      <c r="H6" s="141" t="e">
        <f>VLOOKUP(V6,Data!$B:$E,4,FALSE)</f>
        <v>#N/A</v>
      </c>
      <c r="I6" s="140" t="e">
        <f>VLOOKUP(W6,Data!$B:$E,4,FALSE)</f>
        <v>#N/A</v>
      </c>
      <c r="J6" s="141" t="e">
        <f>VLOOKUP(X6,Data!$B:$E,4,FALSE)</f>
        <v>#N/A</v>
      </c>
      <c r="O6" s="29" t="s">
        <v>21</v>
      </c>
      <c r="P6" s="38" t="s">
        <v>20</v>
      </c>
      <c r="Q6" s="75" t="s">
        <v>22</v>
      </c>
      <c r="R6" s="75" t="s">
        <v>23</v>
      </c>
      <c r="S6" s="75" t="s">
        <v>24</v>
      </c>
      <c r="T6" s="75" t="s">
        <v>25</v>
      </c>
      <c r="U6" s="75" t="s">
        <v>26</v>
      </c>
      <c r="V6" s="76" t="s">
        <v>27</v>
      </c>
      <c r="W6" s="75" t="s">
        <v>28</v>
      </c>
      <c r="X6" s="76" t="s">
        <v>29</v>
      </c>
    </row>
    <row r="7" ht="30">
      <c r="A7" s="145" t="str">
        <f>Translation!A38</f>
        <v>LINHA SCOOTER &gt;200 cc</v>
      </c>
      <c r="B7" s="142" t="str">
        <f>Translation!$G$32</f>
        <v>CONTA</v>
      </c>
      <c r="C7" s="121" t="str">
        <f>Translation!$G$12</f>
        <v>UNIDADES</v>
      </c>
      <c r="D7" s="120" t="str">
        <f>Translation!$G$11</f>
        <v>RECEITA
(SEM IMPOSTOS)</v>
      </c>
      <c r="E7" s="120" t="str">
        <f>Translation!$G$33</f>
        <v>UNIDADES DEVOLVIDAS</v>
      </c>
      <c r="F7" s="120" t="str">
        <f>Translation!$G$14</f>
        <v>DEVOLUÇÃO
DE VENDAS</v>
      </c>
      <c r="G7" s="120" t="str">
        <f>Translation!$G$3</f>
        <v>ABAT. E DESCONTO</v>
      </c>
      <c r="H7" s="120" t="str">
        <f>Translation!$G$9</f>
        <v>RECEITA LÍQUIDA</v>
      </c>
      <c r="I7" s="121" t="str">
        <f>Translation!$G$2</f>
        <v>CUSTO</v>
      </c>
      <c r="J7" s="121" t="str">
        <f>Translation!$G$5</f>
        <v>LUCRO BRUTO</v>
      </c>
      <c r="O7" s="73" t="s">
        <v>30</v>
      </c>
      <c r="P7" s="38" t="str">
        <f>Translation!$G$32</f>
        <v>CONTA</v>
      </c>
      <c r="Q7" s="74" t="s">
        <v>2</v>
      </c>
      <c r="R7" s="74" t="s">
        <v>3</v>
      </c>
      <c r="S7" s="74" t="s">
        <v>4</v>
      </c>
      <c r="T7" s="74" t="s">
        <v>5</v>
      </c>
      <c r="U7" s="74" t="s">
        <v>6</v>
      </c>
      <c r="V7" s="74" t="s">
        <v>7</v>
      </c>
      <c r="W7" s="74" t="s">
        <v>8</v>
      </c>
      <c r="X7" s="74" t="s">
        <v>9</v>
      </c>
    </row>
    <row r="8">
      <c r="A8" s="146" t="str">
        <f>Translation!A39</f>
        <v>TMAX 530</v>
      </c>
      <c r="B8" s="142" t="s">
        <v>31</v>
      </c>
      <c r="C8" s="107" t="e">
        <f>VLOOKUP(Q8,Data!$B:$E,4,FALSE)</f>
        <v>#N/A</v>
      </c>
      <c r="D8" s="140" t="e">
        <f>VLOOKUP(R8,Data!$B:$E,4,FALSE)</f>
        <v>#N/A</v>
      </c>
      <c r="E8" s="140" t="e">
        <f>VLOOKUP(S8,Data!$B:$E,4,FALSE)</f>
        <v>#N/A</v>
      </c>
      <c r="F8" s="140" t="e">
        <f>VLOOKUP(T8,Data!$B:$E,4,FALSE)</f>
        <v>#N/A</v>
      </c>
      <c r="G8" s="140" t="e">
        <f>VLOOKUP(U8,Data!$B:$E,4,FALSE)</f>
        <v>#N/A</v>
      </c>
      <c r="H8" s="141" t="e">
        <f>VLOOKUP(V8,Data!$B:$E,4,FALSE)</f>
        <v>#N/A</v>
      </c>
      <c r="I8" s="140" t="e">
        <f>VLOOKUP(W8,Data!$B:$E,4,FALSE)</f>
        <v>#N/A</v>
      </c>
      <c r="J8" s="141" t="e">
        <f>VLOOKUP(X8,Data!$B:$E,4,FALSE)</f>
        <v>#N/A</v>
      </c>
      <c r="O8" s="29" t="s">
        <v>32</v>
      </c>
      <c r="P8" s="38" t="s">
        <v>31</v>
      </c>
      <c r="Q8" s="75" t="s">
        <v>33</v>
      </c>
      <c r="R8" s="75" t="s">
        <v>34</v>
      </c>
      <c r="S8" s="75" t="s">
        <v>35</v>
      </c>
      <c r="T8" s="75" t="s">
        <v>36</v>
      </c>
      <c r="U8" s="75" t="s">
        <v>37</v>
      </c>
      <c r="V8" s="76" t="s">
        <v>38</v>
      </c>
      <c r="W8" s="75" t="s">
        <v>39</v>
      </c>
      <c r="X8" s="76" t="s">
        <v>40</v>
      </c>
    </row>
    <row r="9">
      <c r="A9" s="146" t="s">
        <v>41</v>
      </c>
      <c r="B9" s="142" t="s">
        <v>42</v>
      </c>
      <c r="C9" s="107" t="e">
        <f>VLOOKUP(Q9,Data!$B:$E,4,FALSE)</f>
        <v>#N/A</v>
      </c>
      <c r="D9" s="107" t="e">
        <f>VLOOKUP(R9,Data!$B:$E,4,FALSE)</f>
        <v>#N/A</v>
      </c>
      <c r="E9" s="107" t="e">
        <f>VLOOKUP(S9,Data!$B:$E,4,FALSE)</f>
        <v>#N/A</v>
      </c>
      <c r="F9" s="107" t="e">
        <f>VLOOKUP(T9,Data!$B:$E,4,FALSE)</f>
        <v>#N/A</v>
      </c>
      <c r="G9" s="107" t="e">
        <f>VLOOKUP(U9,Data!$B:$E,4,FALSE)</f>
        <v>#N/A</v>
      </c>
      <c r="H9" s="141" t="e">
        <f>VLOOKUP(V9,Data!$B:$E,4,FALSE)</f>
        <v>#N/A</v>
      </c>
      <c r="I9" s="140" t="e">
        <f>VLOOKUP(W9,Data!$B:$E,4,FALSE)</f>
        <v>#N/A</v>
      </c>
      <c r="J9" s="141" t="e">
        <f>VLOOKUP(X9,Data!$B:$E,4,FALSE)</f>
        <v>#N/A</v>
      </c>
      <c r="O9" s="29" t="s">
        <v>41</v>
      </c>
      <c r="P9" s="38" t="s">
        <v>42</v>
      </c>
      <c r="Q9" s="75" t="s">
        <v>43</v>
      </c>
      <c r="R9" s="75" t="s">
        <v>44</v>
      </c>
      <c r="S9" s="75" t="s">
        <v>45</v>
      </c>
      <c r="T9" s="75" t="s">
        <v>46</v>
      </c>
      <c r="U9" s="75" t="s">
        <v>47</v>
      </c>
      <c r="V9" s="76" t="s">
        <v>48</v>
      </c>
      <c r="W9" s="75" t="s">
        <v>49</v>
      </c>
      <c r="X9" s="76" t="s">
        <v>50</v>
      </c>
    </row>
    <row r="10">
      <c r="A10" s="146" t="s">
        <v>51</v>
      </c>
      <c r="B10" s="142" t="s">
        <v>52</v>
      </c>
      <c r="C10" s="107" t="e">
        <f>VLOOKUP(Q10,Data!$B:$E,4,FALSE)</f>
        <v>#N/A</v>
      </c>
      <c r="D10" s="107" t="e">
        <f>VLOOKUP(R10,Data!$B:$E,4,FALSE)</f>
        <v>#N/A</v>
      </c>
      <c r="E10" s="107" t="e">
        <f>VLOOKUP(S10,Data!$B:$E,4,FALSE)</f>
        <v>#N/A</v>
      </c>
      <c r="F10" s="107" t="e">
        <f>VLOOKUP(T10,Data!$B:$E,4,FALSE)</f>
        <v>#N/A</v>
      </c>
      <c r="G10" s="107" t="e">
        <f>VLOOKUP(U10,Data!$B:$E,4,FALSE)</f>
        <v>#N/A</v>
      </c>
      <c r="H10" s="141" t="e">
        <f>VLOOKUP(V10,Data!$B:$E,4,FALSE)</f>
        <v>#N/A</v>
      </c>
      <c r="I10" s="140" t="e">
        <f>VLOOKUP(W10,Data!$B:$E,4,FALSE)</f>
        <v>#N/A</v>
      </c>
      <c r="J10" s="141" t="e">
        <f>VLOOKUP(X10,Data!$B:$E,4,FALSE)</f>
        <v>#N/A</v>
      </c>
      <c r="O10" s="29" t="s">
        <v>51</v>
      </c>
      <c r="P10" s="38" t="s">
        <v>52</v>
      </c>
      <c r="Q10" s="75" t="s">
        <v>53</v>
      </c>
      <c r="R10" s="75" t="s">
        <v>54</v>
      </c>
      <c r="S10" s="75" t="s">
        <v>55</v>
      </c>
      <c r="T10" s="75" t="s">
        <v>56</v>
      </c>
      <c r="U10" s="75" t="s">
        <v>57</v>
      </c>
      <c r="V10" s="76" t="s">
        <v>58</v>
      </c>
      <c r="W10" s="75" t="s">
        <v>59</v>
      </c>
      <c r="X10" s="76" t="s">
        <v>60</v>
      </c>
    </row>
    <row r="11">
      <c r="A11" s="147" t="str">
        <f>Translation!A40</f>
        <v>TOTAL DE VENDAS - SCOOTER</v>
      </c>
      <c r="B11" s="142" t="s">
        <v>61</v>
      </c>
      <c r="C11" s="108" t="e">
        <f>VLOOKUP(Q11,Data!$B:$E,4,FALSE)</f>
        <v>#N/A</v>
      </c>
      <c r="D11" s="141" t="e">
        <f>VLOOKUP(R11,Data!$B:$E,4,FALSE)</f>
        <v>#N/A</v>
      </c>
      <c r="E11" s="141" t="e">
        <f>VLOOKUP(S11,Data!$B:$E,4,FALSE)</f>
        <v>#N/A</v>
      </c>
      <c r="F11" s="141" t="e">
        <f>VLOOKUP(T11,Data!$B:$E,4,FALSE)</f>
        <v>#N/A</v>
      </c>
      <c r="G11" s="141" t="e">
        <f>VLOOKUP(U11,Data!$B:$E,4,FALSE)</f>
        <v>#N/A</v>
      </c>
      <c r="H11" s="141" t="e">
        <f>VLOOKUP(V11,Data!$B:$E,4,FALSE)</f>
        <v>#N/A</v>
      </c>
      <c r="I11" s="141" t="e">
        <f>VLOOKUP(W11,Data!$B:$E,4,FALSE)</f>
        <v>#N/A</v>
      </c>
      <c r="J11" s="141" t="e">
        <f>VLOOKUP(X11,Data!$B:$E,4,FALSE)</f>
        <v>#N/A</v>
      </c>
      <c r="O11" s="48" t="s">
        <v>62</v>
      </c>
      <c r="P11" s="38" t="s">
        <v>61</v>
      </c>
      <c r="Q11" s="76" t="s">
        <v>63</v>
      </c>
      <c r="R11" s="76" t="s">
        <v>64</v>
      </c>
      <c r="S11" s="76" t="s">
        <v>65</v>
      </c>
      <c r="T11" s="76" t="s">
        <v>66</v>
      </c>
      <c r="U11" s="76" t="s">
        <v>67</v>
      </c>
      <c r="V11" s="76" t="s">
        <v>68</v>
      </c>
      <c r="W11" s="76" t="s">
        <v>69</v>
      </c>
      <c r="X11" s="76" t="s">
        <v>70</v>
      </c>
    </row>
    <row r="12" ht="30">
      <c r="A12" s="145" t="str">
        <f>Translation!A41</f>
        <v>LINHA OFF ROAD</v>
      </c>
      <c r="B12" s="142" t="str">
        <f>Translation!$G$32</f>
        <v>CONTA</v>
      </c>
      <c r="C12" s="121" t="str">
        <f>Translation!$G$12</f>
        <v>UNIDADES</v>
      </c>
      <c r="D12" s="120" t="str">
        <f>Translation!$G$11</f>
        <v>RECEITA
(SEM IMPOSTOS)</v>
      </c>
      <c r="E12" s="120" t="str">
        <f>Translation!$G$33</f>
        <v>UNIDADES DEVOLVIDAS</v>
      </c>
      <c r="F12" s="120" t="str">
        <f>Translation!$G$14</f>
        <v>DEVOLUÇÃO
DE VENDAS</v>
      </c>
      <c r="G12" s="120" t="str">
        <f>Translation!$G$3</f>
        <v>ABAT. E DESCONTO</v>
      </c>
      <c r="H12" s="120" t="str">
        <f>Translation!$G$9</f>
        <v>RECEITA LÍQUIDA</v>
      </c>
      <c r="I12" s="121" t="str">
        <f>Translation!$G$2</f>
        <v>CUSTO</v>
      </c>
      <c r="J12" s="121" t="str">
        <f>Translation!$G$5</f>
        <v>LUCRO BRUTO</v>
      </c>
      <c r="O12" s="73" t="s">
        <v>71</v>
      </c>
      <c r="P12" s="38" t="str">
        <f>Translation!$G$32</f>
        <v>CONTA</v>
      </c>
      <c r="Q12" s="74" t="s">
        <v>2</v>
      </c>
      <c r="R12" s="74" t="s">
        <v>3</v>
      </c>
      <c r="S12" s="74" t="s">
        <v>4</v>
      </c>
      <c r="T12" s="74" t="s">
        <v>5</v>
      </c>
      <c r="U12" s="74" t="s">
        <v>6</v>
      </c>
      <c r="V12" s="74" t="s">
        <v>7</v>
      </c>
      <c r="W12" s="74" t="s">
        <v>8</v>
      </c>
      <c r="X12" s="74" t="s">
        <v>9</v>
      </c>
    </row>
    <row r="13">
      <c r="A13" s="148" t="str">
        <f>Translation!A42</f>
        <v>TTR 230 </v>
      </c>
      <c r="B13" s="142" t="s">
        <v>72</v>
      </c>
      <c r="C13" s="107" t="e">
        <f>VLOOKUP(Q13,Data!$B:$E,4,FALSE)</f>
        <v>#N/A</v>
      </c>
      <c r="D13" s="140" t="e">
        <f>VLOOKUP(R13,Data!$B:$E,4,FALSE)</f>
        <v>#N/A</v>
      </c>
      <c r="E13" s="140" t="e">
        <f>VLOOKUP(S13,Data!$B:$E,4,FALSE)</f>
        <v>#N/A</v>
      </c>
      <c r="F13" s="140" t="e">
        <f>VLOOKUP(T13,Data!$B:$E,4,FALSE)</f>
        <v>#N/A</v>
      </c>
      <c r="G13" s="140" t="e">
        <f>VLOOKUP(U13,Data!$B:$E,4,FALSE)</f>
        <v>#N/A</v>
      </c>
      <c r="H13" s="141" t="e">
        <f>VLOOKUP(V13,Data!$B:$E,4,FALSE)</f>
        <v>#N/A</v>
      </c>
      <c r="I13" s="140" t="e">
        <f>VLOOKUP(W13,Data!$B:$E,4,FALSE)</f>
        <v>#N/A</v>
      </c>
      <c r="J13" s="141" t="e">
        <f>VLOOKUP(X13,Data!$B:$E,4,FALSE)</f>
        <v>#N/A</v>
      </c>
      <c r="O13" s="148" t="s">
        <v>73</v>
      </c>
      <c r="P13" s="142" t="s">
        <v>72</v>
      </c>
      <c r="Q13" s="75" t="s">
        <v>74</v>
      </c>
      <c r="R13" s="75" t="s">
        <v>75</v>
      </c>
      <c r="S13" s="75" t="s">
        <v>76</v>
      </c>
      <c r="T13" s="75" t="s">
        <v>77</v>
      </c>
      <c r="U13" s="75" t="s">
        <v>78</v>
      </c>
      <c r="V13" s="76" t="s">
        <v>79</v>
      </c>
      <c r="W13" s="75" t="s">
        <v>80</v>
      </c>
      <c r="X13" s="76" t="s">
        <v>81</v>
      </c>
    </row>
    <row r="14">
      <c r="A14" s="148" t="s">
        <v>82</v>
      </c>
      <c r="B14" s="142" t="s">
        <v>83</v>
      </c>
      <c r="C14" s="107" t="e">
        <f>VLOOKUP(Q14,Data!$B:$E,4,FALSE)</f>
        <v>#N/A</v>
      </c>
      <c r="D14" s="140" t="e">
        <f>VLOOKUP(R14,Data!$B:$E,4,FALSE)</f>
        <v>#N/A</v>
      </c>
      <c r="E14" s="140" t="e">
        <f>VLOOKUP(S14,Data!$B:$E,4,FALSE)</f>
        <v>#N/A</v>
      </c>
      <c r="F14" s="140" t="e">
        <f>VLOOKUP(T14,Data!$B:$E,4,FALSE)</f>
        <v>#N/A</v>
      </c>
      <c r="G14" s="140" t="e">
        <f>VLOOKUP(U14,Data!$B:$E,4,FALSE)</f>
        <v>#N/A</v>
      </c>
      <c r="H14" s="141" t="e">
        <f>VLOOKUP(V14,Data!$B:$E,4,FALSE)</f>
        <v>#N/A</v>
      </c>
      <c r="I14" s="140" t="e">
        <f>VLOOKUP(W14,Data!$B:$E,4,FALSE)</f>
        <v>#N/A</v>
      </c>
      <c r="J14" s="141" t="e">
        <f>VLOOKUP(X14,Data!$B:$E,4,FALSE)</f>
        <v>#N/A</v>
      </c>
      <c r="O14" s="148" t="s">
        <v>82</v>
      </c>
      <c r="P14" s="142" t="s">
        <v>83</v>
      </c>
      <c r="Q14" s="75" t="s">
        <v>84</v>
      </c>
      <c r="R14" s="75" t="s">
        <v>85</v>
      </c>
      <c r="S14" s="75" t="s">
        <v>86</v>
      </c>
      <c r="T14" s="75" t="s">
        <v>87</v>
      </c>
      <c r="U14" s="75" t="s">
        <v>88</v>
      </c>
      <c r="V14" s="76" t="s">
        <v>89</v>
      </c>
      <c r="W14" s="75" t="s">
        <v>90</v>
      </c>
      <c r="X14" s="76" t="s">
        <v>91</v>
      </c>
    </row>
    <row r="15">
      <c r="A15" s="148" t="str">
        <f>Translation!A44</f>
        <v>YZ 250</v>
      </c>
      <c r="B15" s="142" t="s">
        <v>92</v>
      </c>
      <c r="C15" s="107" t="e">
        <f>VLOOKUP(Q15,Data!$B:$E,4,FALSE)</f>
        <v>#N/A</v>
      </c>
      <c r="D15" s="140" t="e">
        <f>VLOOKUP(R15,Data!$B:$E,4,FALSE)</f>
        <v>#N/A</v>
      </c>
      <c r="E15" s="140" t="e">
        <f>VLOOKUP(S15,Data!$B:$E,4,FALSE)</f>
        <v>#N/A</v>
      </c>
      <c r="F15" s="140" t="e">
        <f>VLOOKUP(T15,Data!$B:$E,4,FALSE)</f>
        <v>#N/A</v>
      </c>
      <c r="G15" s="140" t="e">
        <f>VLOOKUP(U15,Data!$B:$E,4,FALSE)</f>
        <v>#N/A</v>
      </c>
      <c r="H15" s="141" t="e">
        <f>VLOOKUP(V15,Data!$B:$E,4,FALSE)</f>
        <v>#N/A</v>
      </c>
      <c r="I15" s="140" t="e">
        <f>VLOOKUP(W15,Data!$B:$E,4,FALSE)</f>
        <v>#N/A</v>
      </c>
      <c r="J15" s="141" t="e">
        <f>VLOOKUP(X15,Data!$B:$E,4,FALSE)</f>
        <v>#N/A</v>
      </c>
      <c r="O15" s="148" t="s">
        <v>93</v>
      </c>
      <c r="P15" s="142" t="s">
        <v>92</v>
      </c>
      <c r="Q15" s="75" t="s">
        <v>94</v>
      </c>
      <c r="R15" s="75" t="s">
        <v>95</v>
      </c>
      <c r="S15" s="75" t="s">
        <v>96</v>
      </c>
      <c r="T15" s="75" t="s">
        <v>97</v>
      </c>
      <c r="U15" s="75" t="s">
        <v>98</v>
      </c>
      <c r="V15" s="76" t="s">
        <v>99</v>
      </c>
      <c r="W15" s="75" t="s">
        <v>100</v>
      </c>
      <c r="X15" s="76" t="s">
        <v>101</v>
      </c>
    </row>
    <row r="16">
      <c r="A16" s="148" t="str">
        <f>Translation!A45</f>
        <v>YZ 250F</v>
      </c>
      <c r="B16" s="142" t="s">
        <v>102</v>
      </c>
      <c r="C16" s="107" t="e">
        <f>VLOOKUP(Q16,Data!$B:$E,4,FALSE)</f>
        <v>#N/A</v>
      </c>
      <c r="D16" s="140" t="e">
        <f>VLOOKUP(R16,Data!$B:$E,4,FALSE)</f>
        <v>#N/A</v>
      </c>
      <c r="E16" s="140" t="e">
        <f>VLOOKUP(S16,Data!$B:$E,4,FALSE)</f>
        <v>#N/A</v>
      </c>
      <c r="F16" s="140" t="e">
        <f>VLOOKUP(T16,Data!$B:$E,4,FALSE)</f>
        <v>#N/A</v>
      </c>
      <c r="G16" s="140" t="e">
        <f>VLOOKUP(U16,Data!$B:$E,4,FALSE)</f>
        <v>#N/A</v>
      </c>
      <c r="H16" s="141" t="e">
        <f>VLOOKUP(V16,Data!$B:$E,4,FALSE)</f>
        <v>#N/A</v>
      </c>
      <c r="I16" s="140" t="e">
        <f>VLOOKUP(W16,Data!$B:$E,4,FALSE)</f>
        <v>#N/A</v>
      </c>
      <c r="J16" s="141" t="e">
        <f>VLOOKUP(X16,Data!$B:$E,4,FALSE)</f>
        <v>#N/A</v>
      </c>
      <c r="O16" s="148" t="s">
        <v>103</v>
      </c>
      <c r="P16" s="142" t="s">
        <v>102</v>
      </c>
      <c r="Q16" s="75" t="s">
        <v>104</v>
      </c>
      <c r="R16" s="75" t="s">
        <v>105</v>
      </c>
      <c r="S16" s="75" t="s">
        <v>106</v>
      </c>
      <c r="T16" s="75" t="s">
        <v>107</v>
      </c>
      <c r="U16" s="75" t="s">
        <v>108</v>
      </c>
      <c r="V16" s="76" t="s">
        <v>109</v>
      </c>
      <c r="W16" s="75" t="s">
        <v>110</v>
      </c>
      <c r="X16" s="76" t="s">
        <v>111</v>
      </c>
    </row>
    <row r="17">
      <c r="A17" s="148" t="str">
        <f>Translation!A46</f>
        <v>YZ 250FX</v>
      </c>
      <c r="B17" s="142" t="s">
        <v>112</v>
      </c>
      <c r="C17" s="107" t="e">
        <f>VLOOKUP(Q17,Data!$B:$E,4,FALSE)</f>
        <v>#N/A</v>
      </c>
      <c r="D17" s="140" t="e">
        <f>VLOOKUP(R17,Data!$B:$E,4,FALSE)</f>
        <v>#N/A</v>
      </c>
      <c r="E17" s="140" t="e">
        <f>VLOOKUP(S17,Data!$B:$E,4,FALSE)</f>
        <v>#N/A</v>
      </c>
      <c r="F17" s="140" t="e">
        <f>VLOOKUP(T17,Data!$B:$E,4,FALSE)</f>
        <v>#N/A</v>
      </c>
      <c r="G17" s="140" t="e">
        <f>VLOOKUP(U17,Data!$B:$E,4,FALSE)</f>
        <v>#N/A</v>
      </c>
      <c r="H17" s="141" t="e">
        <f>VLOOKUP(V17,Data!$B:$E,4,FALSE)</f>
        <v>#N/A</v>
      </c>
      <c r="I17" s="140" t="e">
        <f>VLOOKUP(W17,Data!$B:$E,4,FALSE)</f>
        <v>#N/A</v>
      </c>
      <c r="J17" s="141" t="e">
        <f>VLOOKUP(X17,Data!$B:$E,4,FALSE)</f>
        <v>#N/A</v>
      </c>
      <c r="O17" s="148" t="s">
        <v>113</v>
      </c>
      <c r="P17" s="142" t="s">
        <v>112</v>
      </c>
      <c r="Q17" s="75" t="s">
        <v>114</v>
      </c>
      <c r="R17" s="75" t="s">
        <v>115</v>
      </c>
      <c r="S17" s="75" t="s">
        <v>116</v>
      </c>
      <c r="T17" s="75" t="s">
        <v>117</v>
      </c>
      <c r="U17" s="75" t="s">
        <v>118</v>
      </c>
      <c r="V17" s="76" t="s">
        <v>119</v>
      </c>
      <c r="W17" s="75" t="s">
        <v>120</v>
      </c>
      <c r="X17" s="76" t="s">
        <v>121</v>
      </c>
    </row>
    <row r="18">
      <c r="A18" s="148" t="s">
        <v>122</v>
      </c>
      <c r="B18" s="142" t="s">
        <v>123</v>
      </c>
      <c r="C18" s="107" t="e">
        <f>VLOOKUP(Q18,Data!$B:$E,4,FALSE)</f>
        <v>#N/A</v>
      </c>
      <c r="D18" s="140" t="e">
        <f>VLOOKUP(R18,Data!$B:$E,4,FALSE)</f>
        <v>#N/A</v>
      </c>
      <c r="E18" s="140" t="e">
        <f>VLOOKUP(S18,Data!$B:$E,4,FALSE)</f>
        <v>#N/A</v>
      </c>
      <c r="F18" s="140" t="e">
        <f>VLOOKUP(T18,Data!$B:$E,4,FALSE)</f>
        <v>#N/A</v>
      </c>
      <c r="G18" s="140" t="e">
        <f>VLOOKUP(U18,Data!$B:$E,4,FALSE)</f>
        <v>#N/A</v>
      </c>
      <c r="H18" s="141" t="e">
        <f>VLOOKUP(V18,Data!$B:$E,4,FALSE)</f>
        <v>#N/A</v>
      </c>
      <c r="I18" s="140" t="e">
        <f>VLOOKUP(W18,Data!$B:$E,4,FALSE)</f>
        <v>#N/A</v>
      </c>
      <c r="J18" s="141" t="e">
        <f>VLOOKUP(X18,Data!$B:$E,4,FALSE)</f>
        <v>#N/A</v>
      </c>
      <c r="O18" s="148" t="s">
        <v>122</v>
      </c>
      <c r="P18" s="142" t="s">
        <v>123</v>
      </c>
      <c r="Q18" s="75" t="s">
        <v>124</v>
      </c>
      <c r="R18" s="75" t="s">
        <v>125</v>
      </c>
      <c r="S18" s="75" t="s">
        <v>126</v>
      </c>
      <c r="T18" s="75" t="s">
        <v>127</v>
      </c>
      <c r="U18" s="75" t="s">
        <v>128</v>
      </c>
      <c r="V18" s="76" t="s">
        <v>129</v>
      </c>
      <c r="W18" s="75" t="s">
        <v>130</v>
      </c>
      <c r="X18" s="76" t="s">
        <v>131</v>
      </c>
    </row>
    <row r="19">
      <c r="A19" s="148" t="str">
        <f>Translation!A48</f>
        <v>YZ 450F</v>
      </c>
      <c r="B19" s="142" t="s">
        <v>132</v>
      </c>
      <c r="C19" s="107" t="e">
        <f>VLOOKUP(Q19,Data!$B:$E,4,FALSE)</f>
        <v>#N/A</v>
      </c>
      <c r="D19" s="140" t="e">
        <f>VLOOKUP(R19,Data!$B:$E,4,FALSE)</f>
        <v>#N/A</v>
      </c>
      <c r="E19" s="140" t="e">
        <f>VLOOKUP(S19,Data!$B:$E,4,FALSE)</f>
        <v>#N/A</v>
      </c>
      <c r="F19" s="140" t="e">
        <f>VLOOKUP(T19,Data!$B:$E,4,FALSE)</f>
        <v>#N/A</v>
      </c>
      <c r="G19" s="140" t="e">
        <f>VLOOKUP(U19,Data!$B:$E,4,FALSE)</f>
        <v>#N/A</v>
      </c>
      <c r="H19" s="141" t="e">
        <f>VLOOKUP(V19,Data!$B:$E,4,FALSE)</f>
        <v>#N/A</v>
      </c>
      <c r="I19" s="140" t="e">
        <f>VLOOKUP(W19,Data!$B:$E,4,FALSE)</f>
        <v>#N/A</v>
      </c>
      <c r="J19" s="141" t="e">
        <f>VLOOKUP(X19,Data!$B:$E,4,FALSE)</f>
        <v>#N/A</v>
      </c>
      <c r="O19" s="148" t="s">
        <v>133</v>
      </c>
      <c r="P19" s="142" t="s">
        <v>132</v>
      </c>
      <c r="Q19" s="75" t="s">
        <v>134</v>
      </c>
      <c r="R19" s="75" t="s">
        <v>135</v>
      </c>
      <c r="S19" s="75" t="s">
        <v>136</v>
      </c>
      <c r="T19" s="75" t="s">
        <v>137</v>
      </c>
      <c r="U19" s="75" t="s">
        <v>138</v>
      </c>
      <c r="V19" s="76" t="s">
        <v>139</v>
      </c>
      <c r="W19" s="75" t="s">
        <v>140</v>
      </c>
      <c r="X19" s="76" t="s">
        <v>141</v>
      </c>
    </row>
    <row r="20">
      <c r="A20" s="148" t="s">
        <v>142</v>
      </c>
      <c r="B20" s="142" t="s">
        <v>143</v>
      </c>
      <c r="C20" s="107" t="e">
        <f>VLOOKUP(Q20,Data!$B:$E,4,FALSE)</f>
        <v>#N/A</v>
      </c>
      <c r="D20" s="140" t="e">
        <f>VLOOKUP(R20,Data!$B:$E,4,FALSE)</f>
        <v>#N/A</v>
      </c>
      <c r="E20" s="140" t="e">
        <f>VLOOKUP(S20,Data!$B:$E,4,FALSE)</f>
        <v>#N/A</v>
      </c>
      <c r="F20" s="140" t="e">
        <f>VLOOKUP(T20,Data!$B:$E,4,FALSE)</f>
        <v>#N/A</v>
      </c>
      <c r="G20" s="140" t="e">
        <f>VLOOKUP(U20,Data!$B:$E,4,FALSE)</f>
        <v>#N/A</v>
      </c>
      <c r="H20" s="141" t="e">
        <f>VLOOKUP(V20,Data!$B:$E,4,FALSE)</f>
        <v>#N/A</v>
      </c>
      <c r="I20" s="140" t="e">
        <f>VLOOKUP(W20,Data!$B:$E,4,FALSE)</f>
        <v>#N/A</v>
      </c>
      <c r="J20" s="141" t="e">
        <f>VLOOKUP(X20,Data!$B:$E,4,FALSE)</f>
        <v>#N/A</v>
      </c>
      <c r="O20" s="148" t="s">
        <v>142</v>
      </c>
      <c r="P20" s="142" t="s">
        <v>143</v>
      </c>
      <c r="Q20" s="75" t="s">
        <v>144</v>
      </c>
      <c r="R20" s="75" t="s">
        <v>145</v>
      </c>
      <c r="S20" s="75" t="s">
        <v>146</v>
      </c>
      <c r="T20" s="75" t="s">
        <v>147</v>
      </c>
      <c r="U20" s="75" t="s">
        <v>148</v>
      </c>
      <c r="V20" s="76" t="s">
        <v>149</v>
      </c>
      <c r="W20" s="75" t="s">
        <v>150</v>
      </c>
      <c r="X20" s="76" t="s">
        <v>151</v>
      </c>
    </row>
    <row r="21">
      <c r="A21" s="148" t="str">
        <f>Translation!A50</f>
        <v>WR 250F</v>
      </c>
      <c r="B21" s="142" t="s">
        <v>152</v>
      </c>
      <c r="C21" s="107" t="e">
        <f>VLOOKUP(Q21,Data!$B:$E,4,FALSE)</f>
        <v>#N/A</v>
      </c>
      <c r="D21" s="140" t="e">
        <f>VLOOKUP(R21,Data!$B:$E,4,FALSE)</f>
        <v>#N/A</v>
      </c>
      <c r="E21" s="140" t="e">
        <f>VLOOKUP(S21,Data!$B:$E,4,FALSE)</f>
        <v>#N/A</v>
      </c>
      <c r="F21" s="140" t="e">
        <f>VLOOKUP(T21,Data!$B:$E,4,FALSE)</f>
        <v>#N/A</v>
      </c>
      <c r="G21" s="140" t="e">
        <f>VLOOKUP(U21,Data!$B:$E,4,FALSE)</f>
        <v>#N/A</v>
      </c>
      <c r="H21" s="141" t="e">
        <f>VLOOKUP(V21,Data!$B:$E,4,FALSE)</f>
        <v>#N/A</v>
      </c>
      <c r="I21" s="140" t="e">
        <f>VLOOKUP(W21,Data!$B:$E,4,FALSE)</f>
        <v>#N/A</v>
      </c>
      <c r="J21" s="141" t="e">
        <f>VLOOKUP(X21,Data!$B:$E,4,FALSE)</f>
        <v>#N/A</v>
      </c>
      <c r="O21" s="148" t="s">
        <v>153</v>
      </c>
      <c r="P21" s="142" t="s">
        <v>152</v>
      </c>
      <c r="Q21" s="75" t="s">
        <v>154</v>
      </c>
      <c r="R21" s="75" t="s">
        <v>155</v>
      </c>
      <c r="S21" s="75" t="s">
        <v>156</v>
      </c>
      <c r="T21" s="75" t="s">
        <v>157</v>
      </c>
      <c r="U21" s="75" t="s">
        <v>158</v>
      </c>
      <c r="V21" s="76" t="s">
        <v>159</v>
      </c>
      <c r="W21" s="75" t="s">
        <v>160</v>
      </c>
      <c r="X21" s="76" t="s">
        <v>161</v>
      </c>
    </row>
    <row r="22">
      <c r="A22" s="148" t="s">
        <v>162</v>
      </c>
      <c r="B22" s="142" t="s">
        <v>163</v>
      </c>
      <c r="C22" s="107" t="e">
        <f>VLOOKUP(Q22,Data!$B:$E,4,FALSE)</f>
        <v>#N/A</v>
      </c>
      <c r="D22" s="140" t="e">
        <f>VLOOKUP(R22,Data!$B:$E,4,FALSE)</f>
        <v>#N/A</v>
      </c>
      <c r="E22" s="140" t="e">
        <f>VLOOKUP(S22,Data!$B:$E,4,FALSE)</f>
        <v>#N/A</v>
      </c>
      <c r="F22" s="140" t="e">
        <f>VLOOKUP(T22,Data!$B:$E,4,FALSE)</f>
        <v>#N/A</v>
      </c>
      <c r="G22" s="140" t="e">
        <f>VLOOKUP(U22,Data!$B:$E,4,FALSE)</f>
        <v>#N/A</v>
      </c>
      <c r="H22" s="141" t="e">
        <f>VLOOKUP(V22,Data!$B:$E,4,FALSE)</f>
        <v>#N/A</v>
      </c>
      <c r="I22" s="140" t="e">
        <f>VLOOKUP(W22,Data!$B:$E,4,FALSE)</f>
        <v>#N/A</v>
      </c>
      <c r="J22" s="141" t="e">
        <f>VLOOKUP(X22,Data!$B:$E,4,FALSE)</f>
        <v>#N/A</v>
      </c>
      <c r="O22" s="148" t="s">
        <v>162</v>
      </c>
      <c r="P22" s="142" t="s">
        <v>163</v>
      </c>
      <c r="Q22" s="75" t="s">
        <v>164</v>
      </c>
      <c r="R22" s="75" t="s">
        <v>165</v>
      </c>
      <c r="S22" s="75" t="s">
        <v>166</v>
      </c>
      <c r="T22" s="75" t="s">
        <v>167</v>
      </c>
      <c r="U22" s="75" t="s">
        <v>168</v>
      </c>
      <c r="V22" s="76" t="s">
        <v>169</v>
      </c>
      <c r="W22" s="75" t="s">
        <v>170</v>
      </c>
      <c r="X22" s="76" t="s">
        <v>171</v>
      </c>
    </row>
    <row r="23">
      <c r="A23" s="147" t="str">
        <f>Translation!A52</f>
        <v>TOTAL DE VENDAS - LINHA OFF ROAD</v>
      </c>
      <c r="B23" s="142" t="s">
        <v>172</v>
      </c>
      <c r="C23" s="108" t="e">
        <f>VLOOKUP(Q23,Data!$B:$E,4,FALSE)</f>
        <v>#N/A</v>
      </c>
      <c r="D23" s="141" t="e">
        <f>VLOOKUP(R23,Data!$B:$E,4,FALSE)</f>
        <v>#N/A</v>
      </c>
      <c r="E23" s="141" t="e">
        <f>VLOOKUP(S23,Data!$B:$E,4,FALSE)</f>
        <v>#N/A</v>
      </c>
      <c r="F23" s="141" t="e">
        <f>VLOOKUP(T23,Data!$B:$E,4,FALSE)</f>
        <v>#N/A</v>
      </c>
      <c r="G23" s="141" t="e">
        <f>VLOOKUP(U23,Data!$B:$E,4,FALSE)</f>
        <v>#N/A</v>
      </c>
      <c r="H23" s="141" t="e">
        <f>VLOOKUP(V23,Data!$B:$E,4,FALSE)</f>
        <v>#N/A</v>
      </c>
      <c r="I23" s="141" t="e">
        <f>VLOOKUP(W23,Data!$B:$E,4,FALSE)</f>
        <v>#N/A</v>
      </c>
      <c r="J23" s="141" t="e">
        <f>VLOOKUP(X23,Data!$B:$E,4,FALSE)</f>
        <v>#N/A</v>
      </c>
      <c r="O23" s="147" t="s">
        <v>173</v>
      </c>
      <c r="P23" s="38" t="s">
        <v>172</v>
      </c>
      <c r="Q23" s="76" t="s">
        <v>174</v>
      </c>
      <c r="R23" s="76" t="s">
        <v>175</v>
      </c>
      <c r="S23" s="76" t="s">
        <v>176</v>
      </c>
      <c r="T23" s="76" t="s">
        <v>177</v>
      </c>
      <c r="U23" s="76" t="s">
        <v>178</v>
      </c>
      <c r="V23" s="76" t="s">
        <v>179</v>
      </c>
      <c r="W23" s="76" t="s">
        <v>180</v>
      </c>
      <c r="X23" s="76" t="s">
        <v>181</v>
      </c>
    </row>
    <row r="24" ht="30">
      <c r="A24" s="145" t="str">
        <f>Translation!A53</f>
        <v>LINHA 125 cc</v>
      </c>
      <c r="B24" s="142" t="str">
        <f>Translation!$G$32</f>
        <v>CONTA</v>
      </c>
      <c r="C24" s="121" t="str">
        <f>Translation!$G$12</f>
        <v>UNIDADES</v>
      </c>
      <c r="D24" s="120" t="str">
        <f>Translation!$G$11</f>
        <v>RECEITA
(SEM IMPOSTOS)</v>
      </c>
      <c r="E24" s="120" t="str">
        <f>Translation!$G$33</f>
        <v>UNIDADES DEVOLVIDAS</v>
      </c>
      <c r="F24" s="120" t="str">
        <f>Translation!$G$14</f>
        <v>DEVOLUÇÃO
DE VENDAS</v>
      </c>
      <c r="G24" s="120" t="str">
        <f>Translation!$G$3</f>
        <v>ABAT. E DESCONTO</v>
      </c>
      <c r="H24" s="120" t="str">
        <f>Translation!$G$9</f>
        <v>RECEITA LÍQUIDA</v>
      </c>
      <c r="I24" s="121" t="str">
        <f>Translation!$G$2</f>
        <v>CUSTO</v>
      </c>
      <c r="J24" s="121" t="str">
        <f>Translation!$G$5</f>
        <v>LUCRO BRUTO</v>
      </c>
      <c r="O24" s="73" t="s">
        <v>182</v>
      </c>
      <c r="P24" s="38" t="str">
        <f>Translation!$G$32</f>
        <v>CONTA</v>
      </c>
      <c r="Q24" s="74" t="s">
        <v>2</v>
      </c>
      <c r="R24" s="74" t="s">
        <v>3</v>
      </c>
      <c r="S24" s="74" t="s">
        <v>4</v>
      </c>
      <c r="T24" s="74" t="s">
        <v>5</v>
      </c>
      <c r="U24" s="74" t="s">
        <v>6</v>
      </c>
      <c r="V24" s="74" t="s">
        <v>7</v>
      </c>
      <c r="W24" s="74" t="s">
        <v>8</v>
      </c>
      <c r="X24" s="74" t="s">
        <v>9</v>
      </c>
    </row>
    <row r="25">
      <c r="A25" s="77" t="str">
        <f>Translation!A54</f>
        <v>FACTOR YBR 125i ED</v>
      </c>
      <c r="B25" s="142" t="s">
        <v>183</v>
      </c>
      <c r="C25" s="107" t="e">
        <f>VLOOKUP(Q25,Data!$B:$E,4,FALSE)</f>
        <v>#N/A</v>
      </c>
      <c r="D25" s="140" t="e">
        <f>VLOOKUP(R25,Data!$B:$E,4,FALSE)</f>
        <v>#N/A</v>
      </c>
      <c r="E25" s="140" t="e">
        <f>VLOOKUP(S25,Data!$B:$E,4,FALSE)</f>
        <v>#N/A</v>
      </c>
      <c r="F25" s="140" t="e">
        <f>VLOOKUP(T25,Data!$B:$E,4,FALSE)</f>
        <v>#N/A</v>
      </c>
      <c r="G25" s="140" t="e">
        <f>VLOOKUP(U25,Data!$B:$E,4,FALSE)</f>
        <v>#N/A</v>
      </c>
      <c r="H25" s="141" t="e">
        <f>VLOOKUP(V25,Data!$B:$E,4,FALSE)</f>
        <v>#N/A</v>
      </c>
      <c r="I25" s="140" t="e">
        <f>VLOOKUP(W25,Data!$B:$E,4,FALSE)</f>
        <v>#N/A</v>
      </c>
      <c r="J25" s="141" t="e">
        <f>VLOOKUP(X25,Data!$B:$E,4,FALSE)</f>
        <v>#N/A</v>
      </c>
      <c r="O25" s="77" t="s">
        <v>184</v>
      </c>
      <c r="P25" s="38" t="s">
        <v>183</v>
      </c>
      <c r="Q25" s="78" t="s">
        <v>185</v>
      </c>
      <c r="R25" s="78" t="s">
        <v>186</v>
      </c>
      <c r="S25" s="78" t="s">
        <v>187</v>
      </c>
      <c r="T25" s="78" t="s">
        <v>188</v>
      </c>
      <c r="U25" s="78" t="s">
        <v>189</v>
      </c>
      <c r="V25" s="76" t="s">
        <v>190</v>
      </c>
      <c r="W25" s="78" t="s">
        <v>191</v>
      </c>
      <c r="X25" s="76" t="s">
        <v>192</v>
      </c>
    </row>
    <row r="26">
      <c r="A26" s="77" t="s">
        <v>193</v>
      </c>
      <c r="B26" s="142" t="s">
        <v>194</v>
      </c>
      <c r="C26" s="107" t="e">
        <f>VLOOKUP(Q26,Data!$B:$E,4,FALSE)</f>
        <v>#N/A</v>
      </c>
      <c r="D26" s="140" t="e">
        <f>VLOOKUP(R26,Data!$B:$E,4,FALSE)</f>
        <v>#N/A</v>
      </c>
      <c r="E26" s="140" t="e">
        <f>VLOOKUP(S26,Data!$B:$E,4,FALSE)</f>
        <v>#N/A</v>
      </c>
      <c r="F26" s="140" t="e">
        <f>VLOOKUP(T26,Data!$B:$E,4,FALSE)</f>
        <v>#N/A</v>
      </c>
      <c r="G26" s="140" t="e">
        <f>VLOOKUP(U26,Data!$B:$E,4,FALSE)</f>
        <v>#N/A</v>
      </c>
      <c r="H26" s="141" t="e">
        <f>VLOOKUP(V26,Data!$B:$E,4,FALSE)</f>
        <v>#N/A</v>
      </c>
      <c r="I26" s="140" t="e">
        <f>VLOOKUP(W26,Data!$B:$E,4,FALSE)</f>
        <v>#N/A</v>
      </c>
      <c r="J26" s="141" t="e">
        <f>VLOOKUP(X26,Data!$B:$E,4,FALSE)</f>
        <v>#N/A</v>
      </c>
      <c r="O26" s="77" t="s">
        <v>193</v>
      </c>
      <c r="P26" s="38" t="s">
        <v>194</v>
      </c>
      <c r="Q26" s="78" t="s">
        <v>195</v>
      </c>
      <c r="R26" s="78" t="s">
        <v>196</v>
      </c>
      <c r="S26" s="78" t="s">
        <v>197</v>
      </c>
      <c r="T26" s="78" t="s">
        <v>198</v>
      </c>
      <c r="U26" s="78" t="s">
        <v>199</v>
      </c>
      <c r="V26" s="76" t="s">
        <v>200</v>
      </c>
      <c r="W26" s="78" t="s">
        <v>201</v>
      </c>
      <c r="X26" s="76" t="s">
        <v>202</v>
      </c>
    </row>
    <row r="27">
      <c r="A27" s="147" t="str">
        <f>Translation!A55</f>
        <v>TOTAL DE VENDAS - LINHA 125 cc</v>
      </c>
      <c r="B27" s="142" t="s">
        <v>203</v>
      </c>
      <c r="C27" s="108" t="e">
        <f>VLOOKUP(Q27,Data!$B:$E,4,FALSE)</f>
        <v>#N/A</v>
      </c>
      <c r="D27" s="141" t="e">
        <f>VLOOKUP(R27,Data!$B:$E,4,FALSE)</f>
        <v>#N/A</v>
      </c>
      <c r="E27" s="141" t="e">
        <f>VLOOKUP(S27,Data!$B:$E,4,FALSE)</f>
        <v>#N/A</v>
      </c>
      <c r="F27" s="141" t="e">
        <f>VLOOKUP(T27,Data!$B:$E,4,FALSE)</f>
        <v>#N/A</v>
      </c>
      <c r="G27" s="141" t="e">
        <f>VLOOKUP(U27,Data!$B:$E,4,FALSE)</f>
        <v>#N/A</v>
      </c>
      <c r="H27" s="141" t="e">
        <f>VLOOKUP(V27,Data!$B:$E,4,FALSE)</f>
        <v>#N/A</v>
      </c>
      <c r="I27" s="141" t="e">
        <f>VLOOKUP(W27,Data!$B:$E,4,FALSE)</f>
        <v>#N/A</v>
      </c>
      <c r="J27" s="141" t="e">
        <f>VLOOKUP(X27,Data!$B:$E,4,FALSE)</f>
        <v>#N/A</v>
      </c>
      <c r="O27" s="48" t="s">
        <v>204</v>
      </c>
      <c r="P27" s="38" t="s">
        <v>203</v>
      </c>
      <c r="Q27" s="76" t="s">
        <v>205</v>
      </c>
      <c r="R27" s="76" t="s">
        <v>206</v>
      </c>
      <c r="S27" s="76" t="s">
        <v>207</v>
      </c>
      <c r="T27" s="76" t="s">
        <v>208</v>
      </c>
      <c r="U27" s="76" t="s">
        <v>209</v>
      </c>
      <c r="V27" s="76" t="s">
        <v>210</v>
      </c>
      <c r="W27" s="76" t="s">
        <v>211</v>
      </c>
      <c r="X27" s="76" t="s">
        <v>212</v>
      </c>
    </row>
    <row r="28" ht="30">
      <c r="A28" s="145" t="str">
        <f>Translation!A56</f>
        <v>LINHA 150 cc - Street</v>
      </c>
      <c r="B28" s="142" t="str">
        <f>Translation!$G$32</f>
        <v>CONTA</v>
      </c>
      <c r="C28" s="121" t="str">
        <f>Translation!$G$12</f>
        <v>UNIDADES</v>
      </c>
      <c r="D28" s="120" t="str">
        <f>Translation!$G$11</f>
        <v>RECEITA
(SEM IMPOSTOS)</v>
      </c>
      <c r="E28" s="120" t="str">
        <f>Translation!$G$33</f>
        <v>UNIDADES DEVOLVIDAS</v>
      </c>
      <c r="F28" s="120" t="str">
        <f>Translation!$G$14</f>
        <v>DEVOLUÇÃO
DE VENDAS</v>
      </c>
      <c r="G28" s="120" t="str">
        <f>Translation!$G$3</f>
        <v>ABAT. E DESCONTO</v>
      </c>
      <c r="H28" s="120" t="str">
        <f>Translation!$G$9</f>
        <v>RECEITA LÍQUIDA</v>
      </c>
      <c r="I28" s="121" t="str">
        <f>Translation!$G$2</f>
        <v>CUSTO</v>
      </c>
      <c r="J28" s="121" t="str">
        <f>Translation!$G$5</f>
        <v>LUCRO BRUTO</v>
      </c>
      <c r="O28" s="73" t="s">
        <v>213</v>
      </c>
      <c r="P28" s="38" t="str">
        <f>Translation!$G$32</f>
        <v>CONTA</v>
      </c>
      <c r="Q28" s="74" t="s">
        <v>2</v>
      </c>
      <c r="R28" s="74" t="s">
        <v>3</v>
      </c>
      <c r="S28" s="74" t="s">
        <v>4</v>
      </c>
      <c r="T28" s="74" t="s">
        <v>5</v>
      </c>
      <c r="U28" s="74" t="s">
        <v>6</v>
      </c>
      <c r="V28" s="74" t="s">
        <v>7</v>
      </c>
      <c r="W28" s="74" t="s">
        <v>8</v>
      </c>
      <c r="X28" s="74" t="s">
        <v>9</v>
      </c>
    </row>
    <row r="29">
      <c r="A29" s="77" t="str">
        <f>Translation!A57</f>
        <v>FACTOR 150E</v>
      </c>
      <c r="B29" s="142" t="s">
        <v>214</v>
      </c>
      <c r="C29" s="107" t="e">
        <f>VLOOKUP(Q29,Data!$B:$E,4,FALSE)</f>
        <v>#N/A</v>
      </c>
      <c r="D29" s="140" t="e">
        <f>VLOOKUP(R29,Data!$B:$E,4,FALSE)</f>
        <v>#N/A</v>
      </c>
      <c r="E29" s="140" t="e">
        <f>VLOOKUP(S29,Data!$B:$E,4,FALSE)</f>
        <v>#N/A</v>
      </c>
      <c r="F29" s="140" t="e">
        <f>VLOOKUP(T29,Data!$B:$E,4,FALSE)</f>
        <v>#N/A</v>
      </c>
      <c r="G29" s="140" t="e">
        <f>VLOOKUP(U29,Data!$B:$E,4,FALSE)</f>
        <v>#N/A</v>
      </c>
      <c r="H29" s="141" t="e">
        <f>VLOOKUP(V29,Data!$B:$E,4,FALSE)</f>
        <v>#N/A</v>
      </c>
      <c r="I29" s="140" t="e">
        <f>VLOOKUP(W29,Data!$B:$E,4,FALSE)</f>
        <v>#N/A</v>
      </c>
      <c r="J29" s="141" t="e">
        <f>VLOOKUP(X29,Data!$B:$E,4,FALSE)</f>
        <v>#N/A</v>
      </c>
      <c r="O29" s="77" t="s">
        <v>215</v>
      </c>
      <c r="P29" s="38" t="s">
        <v>214</v>
      </c>
      <c r="Q29" s="78" t="s">
        <v>216</v>
      </c>
      <c r="R29" s="78" t="s">
        <v>217</v>
      </c>
      <c r="S29" s="78" t="s">
        <v>218</v>
      </c>
      <c r="T29" s="78" t="s">
        <v>219</v>
      </c>
      <c r="U29" s="78" t="s">
        <v>220</v>
      </c>
      <c r="V29" s="76" t="s">
        <v>221</v>
      </c>
      <c r="W29" s="78" t="s">
        <v>222</v>
      </c>
      <c r="X29" s="76" t="s">
        <v>223</v>
      </c>
    </row>
    <row r="30">
      <c r="A30" s="77" t="str">
        <f>Translation!A58</f>
        <v>FACTOR 150ED</v>
      </c>
      <c r="B30" s="142" t="s">
        <v>224</v>
      </c>
      <c r="C30" s="107" t="e">
        <f>VLOOKUP(Q30,Data!$B:$E,4,FALSE)</f>
        <v>#N/A</v>
      </c>
      <c r="D30" s="140" t="e">
        <f>VLOOKUP(R30,Data!$B:$E,4,FALSE)</f>
        <v>#N/A</v>
      </c>
      <c r="E30" s="140" t="e">
        <f>VLOOKUP(S30,Data!$B:$E,4,FALSE)</f>
        <v>#N/A</v>
      </c>
      <c r="F30" s="140" t="e">
        <f>VLOOKUP(T30,Data!$B:$E,4,FALSE)</f>
        <v>#N/A</v>
      </c>
      <c r="G30" s="140" t="e">
        <f>VLOOKUP(U30,Data!$B:$E,4,FALSE)</f>
        <v>#N/A</v>
      </c>
      <c r="H30" s="141" t="e">
        <f>VLOOKUP(V30,Data!$B:$E,4,FALSE)</f>
        <v>#N/A</v>
      </c>
      <c r="I30" s="140" t="e">
        <f>VLOOKUP(W30,Data!$B:$E,4,FALSE)</f>
        <v>#N/A</v>
      </c>
      <c r="J30" s="141" t="e">
        <f>VLOOKUP(X30,Data!$B:$E,4,FALSE)</f>
        <v>#N/A</v>
      </c>
      <c r="O30" s="77" t="s">
        <v>225</v>
      </c>
      <c r="P30" s="38" t="s">
        <v>224</v>
      </c>
      <c r="Q30" s="78" t="s">
        <v>226</v>
      </c>
      <c r="R30" s="78" t="s">
        <v>227</v>
      </c>
      <c r="S30" s="78" t="s">
        <v>228</v>
      </c>
      <c r="T30" s="78" t="s">
        <v>229</v>
      </c>
      <c r="U30" s="78" t="s">
        <v>230</v>
      </c>
      <c r="V30" s="76" t="s">
        <v>231</v>
      </c>
      <c r="W30" s="78" t="s">
        <v>232</v>
      </c>
      <c r="X30" s="76" t="s">
        <v>233</v>
      </c>
    </row>
    <row r="31">
      <c r="A31" s="77" t="str">
        <f>Translation!A59</f>
        <v>YS 150 FAZER SED</v>
      </c>
      <c r="B31" s="142" t="s">
        <v>234</v>
      </c>
      <c r="C31" s="107" t="e">
        <f>VLOOKUP(Q31,Data!$B:$E,4,FALSE)</f>
        <v>#N/A</v>
      </c>
      <c r="D31" s="140" t="e">
        <f>VLOOKUP(R31,Data!$B:$E,4,FALSE)</f>
        <v>#N/A</v>
      </c>
      <c r="E31" s="140" t="e">
        <f>VLOOKUP(S31,Data!$B:$E,4,FALSE)</f>
        <v>#N/A</v>
      </c>
      <c r="F31" s="140" t="e">
        <f>VLOOKUP(T31,Data!$B:$E,4,FALSE)</f>
        <v>#N/A</v>
      </c>
      <c r="G31" s="140" t="e">
        <f>VLOOKUP(U31,Data!$B:$E,4,FALSE)</f>
        <v>#N/A</v>
      </c>
      <c r="H31" s="141" t="e">
        <f>VLOOKUP(V31,Data!$B:$E,4,FALSE)</f>
        <v>#N/A</v>
      </c>
      <c r="I31" s="140" t="e">
        <f>VLOOKUP(W31,Data!$B:$E,4,FALSE)</f>
        <v>#N/A</v>
      </c>
      <c r="J31" s="141" t="e">
        <f>VLOOKUP(X31,Data!$B:$E,4,FALSE)</f>
        <v>#N/A</v>
      </c>
      <c r="O31" s="77" t="s">
        <v>235</v>
      </c>
      <c r="P31" s="38" t="s">
        <v>234</v>
      </c>
      <c r="Q31" s="78" t="s">
        <v>236</v>
      </c>
      <c r="R31" s="78" t="s">
        <v>237</v>
      </c>
      <c r="S31" s="78" t="s">
        <v>238</v>
      </c>
      <c r="T31" s="78" t="s">
        <v>239</v>
      </c>
      <c r="U31" s="78" t="s">
        <v>240</v>
      </c>
      <c r="V31" s="76" t="s">
        <v>241</v>
      </c>
      <c r="W31" s="78" t="s">
        <v>242</v>
      </c>
      <c r="X31" s="76" t="s">
        <v>243</v>
      </c>
    </row>
    <row r="32">
      <c r="A32" s="77" t="s">
        <v>244</v>
      </c>
      <c r="B32" s="142" t="s">
        <v>245</v>
      </c>
      <c r="C32" s="107" t="e">
        <f>VLOOKUP(Q32,Data!$B:$E,4,FALSE)</f>
        <v>#N/A</v>
      </c>
      <c r="D32" s="140" t="e">
        <f>VLOOKUP(R32,Data!$B:$E,4,FALSE)</f>
        <v>#N/A</v>
      </c>
      <c r="E32" s="140" t="e">
        <f>VLOOKUP(S32,Data!$B:$E,4,FALSE)</f>
        <v>#N/A</v>
      </c>
      <c r="F32" s="140" t="e">
        <f>VLOOKUP(T32,Data!$B:$E,4,FALSE)</f>
        <v>#N/A</v>
      </c>
      <c r="G32" s="140" t="e">
        <f>VLOOKUP(U32,Data!$B:$E,4,FALSE)</f>
        <v>#N/A</v>
      </c>
      <c r="H32" s="141" t="e">
        <f>VLOOKUP(V32,Data!$B:$E,4,FALSE)</f>
        <v>#N/A</v>
      </c>
      <c r="I32" s="140" t="e">
        <f>VLOOKUP(W32,Data!$B:$E,4,FALSE)</f>
        <v>#N/A</v>
      </c>
      <c r="J32" s="141" t="e">
        <f>VLOOKUP(X32,Data!$B:$E,4,FALSE)</f>
        <v>#N/A</v>
      </c>
      <c r="O32" s="77" t="s">
        <v>244</v>
      </c>
      <c r="P32" s="38" t="s">
        <v>245</v>
      </c>
      <c r="Q32" s="78" t="s">
        <v>246</v>
      </c>
      <c r="R32" s="78" t="s">
        <v>247</v>
      </c>
      <c r="S32" s="78" t="s">
        <v>248</v>
      </c>
      <c r="T32" s="78" t="s">
        <v>249</v>
      </c>
      <c r="U32" s="78" t="s">
        <v>250</v>
      </c>
      <c r="V32" s="76" t="s">
        <v>251</v>
      </c>
      <c r="W32" s="78" t="s">
        <v>252</v>
      </c>
      <c r="X32" s="76" t="s">
        <v>253</v>
      </c>
    </row>
    <row r="33">
      <c r="A33" s="77" t="s">
        <v>254</v>
      </c>
      <c r="B33" s="142" t="s">
        <v>255</v>
      </c>
      <c r="C33" s="107" t="e">
        <f>VLOOKUP(Q33,Data!$B:$E,4,FALSE)</f>
        <v>#N/A</v>
      </c>
      <c r="D33" s="140" t="e">
        <f>VLOOKUP(R33,Data!$B:$E,4,FALSE)</f>
        <v>#N/A</v>
      </c>
      <c r="E33" s="140" t="e">
        <f>VLOOKUP(S33,Data!$B:$E,4,FALSE)</f>
        <v>#N/A</v>
      </c>
      <c r="F33" s="140" t="e">
        <f>VLOOKUP(T33,Data!$B:$E,4,FALSE)</f>
        <v>#N/A</v>
      </c>
      <c r="G33" s="140" t="e">
        <f>VLOOKUP(U33,Data!$B:$E,4,FALSE)</f>
        <v>#N/A</v>
      </c>
      <c r="H33" s="141" t="e">
        <f>VLOOKUP(V33,Data!$B:$E,4,FALSE)</f>
        <v>#N/A</v>
      </c>
      <c r="I33" s="140" t="e">
        <f>VLOOKUP(W33,Data!$B:$E,4,FALSE)</f>
        <v>#N/A</v>
      </c>
      <c r="J33" s="141" t="e">
        <f>VLOOKUP(X33,Data!$B:$E,4,FALSE)</f>
        <v>#N/A</v>
      </c>
      <c r="O33" s="77" t="s">
        <v>254</v>
      </c>
      <c r="P33" s="38" t="s">
        <v>255</v>
      </c>
      <c r="Q33" s="78" t="s">
        <v>256</v>
      </c>
      <c r="R33" s="78" t="s">
        <v>257</v>
      </c>
      <c r="S33" s="78" t="s">
        <v>258</v>
      </c>
      <c r="T33" s="78" t="s">
        <v>259</v>
      </c>
      <c r="U33" s="78" t="s">
        <v>260</v>
      </c>
      <c r="V33" s="76" t="s">
        <v>261</v>
      </c>
      <c r="W33" s="78" t="s">
        <v>262</v>
      </c>
      <c r="X33" s="76" t="s">
        <v>263</v>
      </c>
    </row>
    <row r="34" ht="30">
      <c r="A34" s="145" t="str">
        <f>Translation!A60</f>
        <v>LINHA 150 cc - On/Off</v>
      </c>
      <c r="B34" s="142" t="str">
        <f>Translation!$G$32</f>
        <v>CONTA</v>
      </c>
      <c r="C34" s="121" t="str">
        <f>Translation!$G$12</f>
        <v>UNIDADES</v>
      </c>
      <c r="D34" s="120" t="str">
        <f>Translation!$G$11</f>
        <v>RECEITA
(SEM IMPOSTOS)</v>
      </c>
      <c r="E34" s="120" t="str">
        <f>Translation!$G$33</f>
        <v>UNIDADES DEVOLVIDAS</v>
      </c>
      <c r="F34" s="120" t="str">
        <f>Translation!$G$14</f>
        <v>DEVOLUÇÃO
DE VENDAS</v>
      </c>
      <c r="G34" s="120" t="str">
        <f>Translation!$G$3</f>
        <v>ABAT. E DESCONTO</v>
      </c>
      <c r="H34" s="120" t="str">
        <f>Translation!$G$9</f>
        <v>RECEITA LÍQUIDA</v>
      </c>
      <c r="I34" s="121" t="str">
        <f>Translation!$G$2</f>
        <v>CUSTO</v>
      </c>
      <c r="J34" s="121" t="str">
        <f>Translation!$G$5</f>
        <v>LUCRO BRUTO</v>
      </c>
      <c r="O34" s="73" t="s">
        <v>264</v>
      </c>
      <c r="P34" s="38" t="str">
        <f>Translation!$G$32</f>
        <v>CONTA</v>
      </c>
      <c r="Q34" s="74" t="s">
        <v>2</v>
      </c>
      <c r="R34" s="74" t="s">
        <v>3</v>
      </c>
      <c r="S34" s="74" t="s">
        <v>4</v>
      </c>
      <c r="T34" s="74" t="s">
        <v>5</v>
      </c>
      <c r="U34" s="74" t="s">
        <v>6</v>
      </c>
      <c r="V34" s="74" t="s">
        <v>7</v>
      </c>
      <c r="W34" s="74" t="s">
        <v>8</v>
      </c>
      <c r="X34" s="74" t="s">
        <v>9</v>
      </c>
    </row>
    <row r="35">
      <c r="A35" s="77" t="str">
        <f>Translation!A61</f>
        <v>XTZ 150 CROSSER E</v>
      </c>
      <c r="B35" s="142" t="s">
        <v>265</v>
      </c>
      <c r="C35" s="107" t="e">
        <f>VLOOKUP(Q35,Data!$B:$E,4,FALSE)</f>
        <v>#N/A</v>
      </c>
      <c r="D35" s="140" t="e">
        <f>VLOOKUP(R35,Data!$B:$E,4,FALSE)</f>
        <v>#N/A</v>
      </c>
      <c r="E35" s="140" t="e">
        <f>VLOOKUP(S35,Data!$B:$E,4,FALSE)</f>
        <v>#N/A</v>
      </c>
      <c r="F35" s="140" t="e">
        <f>VLOOKUP(T35,Data!$B:$E,4,FALSE)</f>
        <v>#N/A</v>
      </c>
      <c r="G35" s="140" t="e">
        <f>VLOOKUP(U35,Data!$B:$E,4,FALSE)</f>
        <v>#N/A</v>
      </c>
      <c r="H35" s="141" t="e">
        <f>VLOOKUP(V35,Data!$B:$E,4,FALSE)</f>
        <v>#N/A</v>
      </c>
      <c r="I35" s="140" t="e">
        <f>VLOOKUP(W35,Data!$B:$E,4,FALSE)</f>
        <v>#N/A</v>
      </c>
      <c r="J35" s="141" t="e">
        <f>VLOOKUP(X35,Data!$B:$E,4,FALSE)</f>
        <v>#N/A</v>
      </c>
      <c r="O35" s="77" t="s">
        <v>266</v>
      </c>
      <c r="P35" s="38" t="s">
        <v>265</v>
      </c>
      <c r="Q35" s="78" t="s">
        <v>267</v>
      </c>
      <c r="R35" s="78" t="s">
        <v>268</v>
      </c>
      <c r="S35" s="78" t="s">
        <v>269</v>
      </c>
      <c r="T35" s="78" t="s">
        <v>270</v>
      </c>
      <c r="U35" s="78" t="s">
        <v>271</v>
      </c>
      <c r="V35" s="76" t="s">
        <v>272</v>
      </c>
      <c r="W35" s="78" t="s">
        <v>273</v>
      </c>
      <c r="X35" s="76" t="s">
        <v>274</v>
      </c>
    </row>
    <row r="36">
      <c r="A36" s="77" t="str">
        <f>Translation!A62</f>
        <v>XTZ 150 CROSSER ED</v>
      </c>
      <c r="B36" s="142" t="s">
        <v>275</v>
      </c>
      <c r="C36" s="107" t="e">
        <f>VLOOKUP(Q36,Data!$B:$E,4,FALSE)</f>
        <v>#N/A</v>
      </c>
      <c r="D36" s="140" t="e">
        <f>VLOOKUP(R36,Data!$B:$E,4,FALSE)</f>
        <v>#N/A</v>
      </c>
      <c r="E36" s="140" t="e">
        <f>VLOOKUP(S36,Data!$B:$E,4,FALSE)</f>
        <v>#N/A</v>
      </c>
      <c r="F36" s="140" t="e">
        <f>VLOOKUP(T36,Data!$B:$E,4,FALSE)</f>
        <v>#N/A</v>
      </c>
      <c r="G36" s="140" t="e">
        <f>VLOOKUP(U36,Data!$B:$E,4,FALSE)</f>
        <v>#N/A</v>
      </c>
      <c r="H36" s="141" t="e">
        <f>VLOOKUP(V36,Data!$B:$E,4,FALSE)</f>
        <v>#N/A</v>
      </c>
      <c r="I36" s="140" t="e">
        <f>VLOOKUP(W36,Data!$B:$E,4,FALSE)</f>
        <v>#N/A</v>
      </c>
      <c r="J36" s="141" t="e">
        <f>VLOOKUP(X36,Data!$B:$E,4,FALSE)</f>
        <v>#N/A</v>
      </c>
      <c r="O36" s="77" t="s">
        <v>276</v>
      </c>
      <c r="P36" s="38" t="s">
        <v>275</v>
      </c>
      <c r="Q36" s="78" t="s">
        <v>277</v>
      </c>
      <c r="R36" s="78" t="s">
        <v>278</v>
      </c>
      <c r="S36" s="78" t="s">
        <v>279</v>
      </c>
      <c r="T36" s="78" t="s">
        <v>280</v>
      </c>
      <c r="U36" s="78" t="s">
        <v>281</v>
      </c>
      <c r="V36" s="76" t="s">
        <v>282</v>
      </c>
      <c r="W36" s="78" t="s">
        <v>283</v>
      </c>
      <c r="X36" s="76" t="s">
        <v>284</v>
      </c>
    </row>
    <row r="37">
      <c r="A37" s="77" t="s">
        <v>285</v>
      </c>
      <c r="B37" s="142" t="s">
        <v>286</v>
      </c>
      <c r="C37" s="107" t="e">
        <f>VLOOKUP(Q37,Data!$B:$E,4,FALSE)</f>
        <v>#N/A</v>
      </c>
      <c r="D37" s="140" t="e">
        <f>VLOOKUP(R37,Data!$B:$E,4,FALSE)</f>
        <v>#N/A</v>
      </c>
      <c r="E37" s="140" t="e">
        <f>VLOOKUP(S37,Data!$B:$E,4,FALSE)</f>
        <v>#N/A</v>
      </c>
      <c r="F37" s="140" t="e">
        <f>VLOOKUP(T37,Data!$B:$E,4,FALSE)</f>
        <v>#N/A</v>
      </c>
      <c r="G37" s="140" t="e">
        <f>VLOOKUP(U37,Data!$B:$E,4,FALSE)</f>
        <v>#N/A</v>
      </c>
      <c r="H37" s="141" t="e">
        <f>VLOOKUP(V37,Data!$B:$E,4,FALSE)</f>
        <v>#N/A</v>
      </c>
      <c r="I37" s="140" t="e">
        <f>VLOOKUP(W37,Data!$B:$E,4,FALSE)</f>
        <v>#N/A</v>
      </c>
      <c r="J37" s="141" t="e">
        <f>VLOOKUP(X37,Data!$B:$E,4,FALSE)</f>
        <v>#N/A</v>
      </c>
      <c r="O37" s="77" t="s">
        <v>285</v>
      </c>
      <c r="P37" s="142" t="s">
        <v>286</v>
      </c>
      <c r="Q37" s="78" t="s">
        <v>287</v>
      </c>
      <c r="R37" s="78" t="s">
        <v>288</v>
      </c>
      <c r="S37" s="78" t="s">
        <v>289</v>
      </c>
      <c r="T37" s="78" t="s">
        <v>290</v>
      </c>
      <c r="U37" s="78" t="s">
        <v>291</v>
      </c>
      <c r="V37" s="76" t="s">
        <v>292</v>
      </c>
      <c r="W37" s="78" t="s">
        <v>293</v>
      </c>
      <c r="X37" s="76" t="s">
        <v>294</v>
      </c>
    </row>
    <row r="38">
      <c r="A38" s="77" t="s">
        <v>295</v>
      </c>
      <c r="B38" s="142" t="s">
        <v>296</v>
      </c>
      <c r="C38" s="107" t="e">
        <f>VLOOKUP(Q38,Data!$B:$E,4,FALSE)</f>
        <v>#N/A</v>
      </c>
      <c r="D38" s="140" t="e">
        <f>VLOOKUP(R38,Data!$B:$E,4,FALSE)</f>
        <v>#N/A</v>
      </c>
      <c r="E38" s="140" t="e">
        <f>VLOOKUP(S38,Data!$B:$E,4,FALSE)</f>
        <v>#N/A</v>
      </c>
      <c r="F38" s="140" t="e">
        <f>VLOOKUP(T38,Data!$B:$E,4,FALSE)</f>
        <v>#N/A</v>
      </c>
      <c r="G38" s="140" t="e">
        <f>VLOOKUP(U38,Data!$B:$E,4,FALSE)</f>
        <v>#N/A</v>
      </c>
      <c r="H38" s="141" t="e">
        <f>VLOOKUP(V38,Data!$B:$E,4,FALSE)</f>
        <v>#N/A</v>
      </c>
      <c r="I38" s="140" t="e">
        <f>VLOOKUP(W38,Data!$B:$E,4,FALSE)</f>
        <v>#N/A</v>
      </c>
      <c r="J38" s="141" t="e">
        <f>VLOOKUP(X38,Data!$B:$E,4,FALSE)</f>
        <v>#N/A</v>
      </c>
      <c r="O38" s="77" t="s">
        <v>295</v>
      </c>
      <c r="P38" s="142" t="s">
        <v>296</v>
      </c>
      <c r="Q38" s="78" t="s">
        <v>297</v>
      </c>
      <c r="R38" s="78" t="s">
        <v>298</v>
      </c>
      <c r="S38" s="78" t="s">
        <v>299</v>
      </c>
      <c r="T38" s="78" t="s">
        <v>300</v>
      </c>
      <c r="U38" s="78" t="s">
        <v>301</v>
      </c>
      <c r="V38" s="76" t="s">
        <v>302</v>
      </c>
      <c r="W38" s="78" t="s">
        <v>303</v>
      </c>
      <c r="X38" s="76" t="s">
        <v>304</v>
      </c>
    </row>
    <row r="39">
      <c r="A39" s="147" t="str">
        <f>Translation!A63</f>
        <v>TOTAL DE VENDAS - LINHA 150 cc</v>
      </c>
      <c r="B39" s="142" t="s">
        <v>305</v>
      </c>
      <c r="C39" s="108" t="e">
        <f>VLOOKUP(Q39,Data!$B:$E,4,FALSE)</f>
        <v>#N/A</v>
      </c>
      <c r="D39" s="141" t="e">
        <f>VLOOKUP(R39,Data!$B:$E,4,FALSE)</f>
        <v>#N/A</v>
      </c>
      <c r="E39" s="141" t="e">
        <f>VLOOKUP(S39,Data!$B:$E,4,FALSE)</f>
        <v>#N/A</v>
      </c>
      <c r="F39" s="141" t="e">
        <f>VLOOKUP(T39,Data!$B:$E,4,FALSE)</f>
        <v>#N/A</v>
      </c>
      <c r="G39" s="141" t="e">
        <f>VLOOKUP(U39,Data!$B:$E,4,FALSE)</f>
        <v>#N/A</v>
      </c>
      <c r="H39" s="141" t="e">
        <f>VLOOKUP(V39,Data!$B:$E,4,FALSE)</f>
        <v>#N/A</v>
      </c>
      <c r="I39" s="141" t="e">
        <f>VLOOKUP(W39,Data!$B:$E,4,FALSE)</f>
        <v>#N/A</v>
      </c>
      <c r="J39" s="141" t="e">
        <f>VLOOKUP(X39,Data!$B:$E,4,FALSE)</f>
        <v>#N/A</v>
      </c>
      <c r="O39" s="48" t="s">
        <v>306</v>
      </c>
      <c r="P39" s="38" t="s">
        <v>305</v>
      </c>
      <c r="Q39" s="76" t="s">
        <v>307</v>
      </c>
      <c r="R39" s="76" t="s">
        <v>308</v>
      </c>
      <c r="S39" s="76" t="s">
        <v>309</v>
      </c>
      <c r="T39" s="76" t="s">
        <v>310</v>
      </c>
      <c r="U39" s="76" t="s">
        <v>311</v>
      </c>
      <c r="V39" s="76" t="s">
        <v>312</v>
      </c>
      <c r="W39" s="76" t="s">
        <v>313</v>
      </c>
      <c r="X39" s="76" t="s">
        <v>314</v>
      </c>
    </row>
    <row r="40" ht="30">
      <c r="A40" s="145" t="str">
        <f>Translation!A64</f>
        <v>LINHA 250 cc - Street</v>
      </c>
      <c r="B40" s="142" t="str">
        <f>Translation!$G$32</f>
        <v>CONTA</v>
      </c>
      <c r="C40" s="121" t="str">
        <f>Translation!$G$12</f>
        <v>UNIDADES</v>
      </c>
      <c r="D40" s="120" t="str">
        <f>Translation!$G$11</f>
        <v>RECEITA
(SEM IMPOSTOS)</v>
      </c>
      <c r="E40" s="120" t="str">
        <f>Translation!$G$33</f>
        <v>UNIDADES DEVOLVIDAS</v>
      </c>
      <c r="F40" s="120" t="str">
        <f>Translation!$G$14</f>
        <v>DEVOLUÇÃO
DE VENDAS</v>
      </c>
      <c r="G40" s="120" t="str">
        <f>Translation!$G$3</f>
        <v>ABAT. E DESCONTO</v>
      </c>
      <c r="H40" s="120" t="str">
        <f>Translation!$G$9</f>
        <v>RECEITA LÍQUIDA</v>
      </c>
      <c r="I40" s="121" t="str">
        <f>Translation!$G$2</f>
        <v>CUSTO</v>
      </c>
      <c r="J40" s="121" t="str">
        <f>Translation!$G$5</f>
        <v>LUCRO BRUTO</v>
      </c>
      <c r="O40" s="73" t="s">
        <v>315</v>
      </c>
      <c r="P40" s="38" t="str">
        <f>Translation!$G$32</f>
        <v>CONTA</v>
      </c>
      <c r="Q40" s="74" t="s">
        <v>2</v>
      </c>
      <c r="R40" s="74" t="s">
        <v>3</v>
      </c>
      <c r="S40" s="74" t="s">
        <v>4</v>
      </c>
      <c r="T40" s="74" t="s">
        <v>5</v>
      </c>
      <c r="U40" s="74" t="s">
        <v>6</v>
      </c>
      <c r="V40" s="74" t="s">
        <v>7</v>
      </c>
      <c r="W40" s="74" t="s">
        <v>8</v>
      </c>
      <c r="X40" s="74" t="s">
        <v>9</v>
      </c>
    </row>
    <row r="41">
      <c r="A41" s="77" t="str">
        <f>Translation!A65</f>
        <v>YS 250 FAZER BLUEFLEX</v>
      </c>
      <c r="B41" s="142" t="s">
        <v>316</v>
      </c>
      <c r="C41" s="107" t="e">
        <f>VLOOKUP(Q41,Data!$B:$E,4,FALSE)</f>
        <v>#N/A</v>
      </c>
      <c r="D41" s="140" t="e">
        <f>VLOOKUP(R41,Data!$B:$E,4,FALSE)</f>
        <v>#N/A</v>
      </c>
      <c r="E41" s="140" t="e">
        <f>VLOOKUP(S41,Data!$B:$E,4,FALSE)</f>
        <v>#N/A</v>
      </c>
      <c r="F41" s="140" t="e">
        <f>VLOOKUP(T41,Data!$B:$E,4,FALSE)</f>
        <v>#N/A</v>
      </c>
      <c r="G41" s="140" t="e">
        <f>VLOOKUP(U41,Data!$B:$E,4,FALSE)</f>
        <v>#N/A</v>
      </c>
      <c r="H41" s="141" t="e">
        <f>VLOOKUP(V41,Data!$B:$E,4,FALSE)</f>
        <v>#N/A</v>
      </c>
      <c r="I41" s="140" t="e">
        <f>VLOOKUP(W41,Data!$B:$E,4,FALSE)</f>
        <v>#N/A</v>
      </c>
      <c r="J41" s="141" t="e">
        <f>VLOOKUP(X41,Data!$B:$E,4,FALSE)</f>
        <v>#N/A</v>
      </c>
      <c r="O41" s="77" t="s">
        <v>317</v>
      </c>
      <c r="P41" s="38" t="s">
        <v>316</v>
      </c>
      <c r="Q41" s="78" t="s">
        <v>318</v>
      </c>
      <c r="R41" s="78" t="s">
        <v>319</v>
      </c>
      <c r="S41" s="78" t="s">
        <v>320</v>
      </c>
      <c r="T41" s="78" t="s">
        <v>321</v>
      </c>
      <c r="U41" s="78" t="s">
        <v>322</v>
      </c>
      <c r="V41" s="76" t="s">
        <v>323</v>
      </c>
      <c r="W41" s="78" t="s">
        <v>324</v>
      </c>
      <c r="X41" s="76" t="s">
        <v>325</v>
      </c>
    </row>
    <row r="42">
      <c r="A42" s="77" t="s">
        <v>326</v>
      </c>
      <c r="B42" s="142" t="s">
        <v>327</v>
      </c>
      <c r="C42" s="107" t="e">
        <f>VLOOKUP(Q42,Data!$B:$E,4,FALSE)</f>
        <v>#N/A</v>
      </c>
      <c r="D42" s="140" t="e">
        <f>VLOOKUP(R42,Data!$B:$E,4,FALSE)</f>
        <v>#N/A</v>
      </c>
      <c r="E42" s="140" t="e">
        <f>VLOOKUP(S42,Data!$B:$E,4,FALSE)</f>
        <v>#N/A</v>
      </c>
      <c r="F42" s="140" t="e">
        <f>VLOOKUP(T42,Data!$B:$E,4,FALSE)</f>
        <v>#N/A</v>
      </c>
      <c r="G42" s="140" t="e">
        <f>VLOOKUP(U42,Data!$B:$E,4,FALSE)</f>
        <v>#N/A</v>
      </c>
      <c r="H42" s="141" t="e">
        <f>VLOOKUP(V42,Data!$B:$E,4,FALSE)</f>
        <v>#N/A</v>
      </c>
      <c r="I42" s="140" t="e">
        <f>VLOOKUP(W42,Data!$B:$E,4,FALSE)</f>
        <v>#N/A</v>
      </c>
      <c r="J42" s="141" t="e">
        <f>VLOOKUP(X42,Data!$B:$E,4,FALSE)</f>
        <v>#N/A</v>
      </c>
      <c r="O42" s="77" t="s">
        <v>326</v>
      </c>
      <c r="P42" s="142" t="s">
        <v>327</v>
      </c>
      <c r="Q42" s="78" t="s">
        <v>328</v>
      </c>
      <c r="R42" s="78" t="s">
        <v>329</v>
      </c>
      <c r="S42" s="78" t="s">
        <v>330</v>
      </c>
      <c r="T42" s="78" t="s">
        <v>331</v>
      </c>
      <c r="U42" s="78" t="s">
        <v>332</v>
      </c>
      <c r="V42" s="76" t="s">
        <v>333</v>
      </c>
      <c r="W42" s="78" t="s">
        <v>334</v>
      </c>
      <c r="X42" s="76" t="s">
        <v>335</v>
      </c>
    </row>
    <row r="43" ht="30">
      <c r="A43" s="145" t="str">
        <f>Translation!A66</f>
        <v>LINHA 250 cc - On/Off</v>
      </c>
      <c r="B43" s="142" t="str">
        <f>Translation!$G$32</f>
        <v>CONTA</v>
      </c>
      <c r="C43" s="121" t="str">
        <f>Translation!$G$12</f>
        <v>UNIDADES</v>
      </c>
      <c r="D43" s="120" t="str">
        <f>Translation!$G$11</f>
        <v>RECEITA
(SEM IMPOSTOS)</v>
      </c>
      <c r="E43" s="120" t="str">
        <f>Translation!$G$33</f>
        <v>UNIDADES DEVOLVIDAS</v>
      </c>
      <c r="F43" s="120" t="str">
        <f>Translation!$G$14</f>
        <v>DEVOLUÇÃO
DE VENDAS</v>
      </c>
      <c r="G43" s="120" t="str">
        <f>Translation!$G$3</f>
        <v>ABAT. E DESCONTO</v>
      </c>
      <c r="H43" s="120" t="str">
        <f>Translation!$G$9</f>
        <v>RECEITA LÍQUIDA</v>
      </c>
      <c r="I43" s="121" t="str">
        <f>Translation!$G$2</f>
        <v>CUSTO</v>
      </c>
      <c r="J43" s="121" t="str">
        <f>Translation!$G$5</f>
        <v>LUCRO BRUTO</v>
      </c>
      <c r="O43" s="73" t="s">
        <v>336</v>
      </c>
      <c r="P43" s="38" t="str">
        <f>Translation!$G$32</f>
        <v>CONTA</v>
      </c>
      <c r="Q43" s="74" t="s">
        <v>2</v>
      </c>
      <c r="R43" s="74" t="s">
        <v>3</v>
      </c>
      <c r="S43" s="74" t="s">
        <v>4</v>
      </c>
      <c r="T43" s="74" t="s">
        <v>5</v>
      </c>
      <c r="U43" s="74" t="s">
        <v>6</v>
      </c>
      <c r="V43" s="74" t="s">
        <v>7</v>
      </c>
      <c r="W43" s="74" t="s">
        <v>8</v>
      </c>
      <c r="X43" s="74" t="s">
        <v>9</v>
      </c>
    </row>
    <row r="44">
      <c r="A44" s="77" t="str">
        <f>Translation!A67</f>
        <v>XTZ 250 LANDER</v>
      </c>
      <c r="B44" s="142" t="s">
        <v>337</v>
      </c>
      <c r="C44" s="107" t="e">
        <f>VLOOKUP(Q44,Data!$B:$E,4,FALSE)</f>
        <v>#N/A</v>
      </c>
      <c r="D44" s="140" t="e">
        <f>VLOOKUP(R44,Data!$B:$E,4,FALSE)</f>
        <v>#N/A</v>
      </c>
      <c r="E44" s="140" t="e">
        <f>VLOOKUP(S44,Data!$B:$E,4,FALSE)</f>
        <v>#N/A</v>
      </c>
      <c r="F44" s="140" t="e">
        <f>VLOOKUP(T44,Data!$B:$E,4,FALSE)</f>
        <v>#N/A</v>
      </c>
      <c r="G44" s="140" t="e">
        <f>VLOOKUP(U44,Data!$B:$E,4,FALSE)</f>
        <v>#N/A</v>
      </c>
      <c r="H44" s="141" t="e">
        <f>VLOOKUP(V44,Data!$B:$E,4,FALSE)</f>
        <v>#N/A</v>
      </c>
      <c r="I44" s="140" t="e">
        <f>VLOOKUP(W44,Data!$B:$E,4,FALSE)</f>
        <v>#N/A</v>
      </c>
      <c r="J44" s="141" t="e">
        <f>VLOOKUP(X44,Data!$B:$E,4,FALSE)</f>
        <v>#N/A</v>
      </c>
      <c r="O44" s="77" t="s">
        <v>338</v>
      </c>
      <c r="P44" s="38" t="s">
        <v>337</v>
      </c>
      <c r="Q44" s="78" t="s">
        <v>339</v>
      </c>
      <c r="R44" s="78" t="s">
        <v>340</v>
      </c>
      <c r="S44" s="78" t="s">
        <v>341</v>
      </c>
      <c r="T44" s="78" t="s">
        <v>342</v>
      </c>
      <c r="U44" s="78" t="s">
        <v>343</v>
      </c>
      <c r="V44" s="76" t="s">
        <v>344</v>
      </c>
      <c r="W44" s="78" t="s">
        <v>345</v>
      </c>
      <c r="X44" s="76" t="s">
        <v>346</v>
      </c>
    </row>
    <row r="45">
      <c r="A45" s="77" t="str">
        <f>Translation!A68</f>
        <v>XTZ 250 TENERE</v>
      </c>
      <c r="B45" s="142" t="s">
        <v>347</v>
      </c>
      <c r="C45" s="107" t="e">
        <f>VLOOKUP(Q45,Data!$B:$E,4,FALSE)</f>
        <v>#N/A</v>
      </c>
      <c r="D45" s="140" t="e">
        <f>VLOOKUP(R45,Data!$B:$E,4,FALSE)</f>
        <v>#N/A</v>
      </c>
      <c r="E45" s="140" t="e">
        <f>VLOOKUP(S45,Data!$B:$E,4,FALSE)</f>
        <v>#N/A</v>
      </c>
      <c r="F45" s="140" t="e">
        <f>VLOOKUP(T45,Data!$B:$E,4,FALSE)</f>
        <v>#N/A</v>
      </c>
      <c r="G45" s="140" t="e">
        <f>VLOOKUP(U45,Data!$B:$E,4,FALSE)</f>
        <v>#N/A</v>
      </c>
      <c r="H45" s="141" t="e">
        <f>VLOOKUP(V45,Data!$B:$E,4,FALSE)</f>
        <v>#N/A</v>
      </c>
      <c r="I45" s="140" t="e">
        <f>VLOOKUP(W45,Data!$B:$E,4,FALSE)</f>
        <v>#N/A</v>
      </c>
      <c r="J45" s="141" t="e">
        <f>VLOOKUP(X45,Data!$B:$E,4,FALSE)</f>
        <v>#N/A</v>
      </c>
      <c r="O45" s="77" t="s">
        <v>348</v>
      </c>
      <c r="P45" s="38" t="s">
        <v>347</v>
      </c>
      <c r="Q45" s="78" t="s">
        <v>349</v>
      </c>
      <c r="R45" s="78" t="s">
        <v>350</v>
      </c>
      <c r="S45" s="78" t="s">
        <v>351</v>
      </c>
      <c r="T45" s="78" t="s">
        <v>352</v>
      </c>
      <c r="U45" s="78" t="s">
        <v>353</v>
      </c>
      <c r="V45" s="76" t="s">
        <v>354</v>
      </c>
      <c r="W45" s="78" t="s">
        <v>355</v>
      </c>
      <c r="X45" s="76" t="s">
        <v>356</v>
      </c>
    </row>
    <row r="46">
      <c r="A46" s="147" t="str">
        <f>Translation!A69</f>
        <v>TOTAL DE VENDAS - LINHA 250 cc</v>
      </c>
      <c r="B46" s="142" t="s">
        <v>357</v>
      </c>
      <c r="C46" s="108" t="e">
        <f>VLOOKUP(Q46,Data!$B:$E,4,FALSE)</f>
        <v>#N/A</v>
      </c>
      <c r="D46" s="141" t="e">
        <f>VLOOKUP(R46,Data!$B:$E,4,FALSE)</f>
        <v>#N/A</v>
      </c>
      <c r="E46" s="141" t="e">
        <f>VLOOKUP(S46,Data!$B:$E,4,FALSE)</f>
        <v>#N/A</v>
      </c>
      <c r="F46" s="141" t="e">
        <f>VLOOKUP(T46,Data!$B:$E,4,FALSE)</f>
        <v>#N/A</v>
      </c>
      <c r="G46" s="141" t="e">
        <f>VLOOKUP(U46,Data!$B:$E,4,FALSE)</f>
        <v>#N/A</v>
      </c>
      <c r="H46" s="141" t="e">
        <f>VLOOKUP(V46,Data!$B:$E,4,FALSE)</f>
        <v>#N/A</v>
      </c>
      <c r="I46" s="141" t="e">
        <f>VLOOKUP(W46,Data!$B:$E,4,FALSE)</f>
        <v>#N/A</v>
      </c>
      <c r="J46" s="141" t="e">
        <f>VLOOKUP(X46,Data!$B:$E,4,FALSE)</f>
        <v>#N/A</v>
      </c>
      <c r="O46" s="48" t="s">
        <v>358</v>
      </c>
      <c r="P46" s="38" t="s">
        <v>357</v>
      </c>
      <c r="Q46" s="76" t="s">
        <v>359</v>
      </c>
      <c r="R46" s="76" t="s">
        <v>360</v>
      </c>
      <c r="S46" s="76" t="s">
        <v>361</v>
      </c>
      <c r="T46" s="76" t="s">
        <v>362</v>
      </c>
      <c r="U46" s="76" t="s">
        <v>363</v>
      </c>
      <c r="V46" s="76" t="s">
        <v>364</v>
      </c>
      <c r="W46" s="76" t="s">
        <v>365</v>
      </c>
      <c r="X46" s="76" t="s">
        <v>366</v>
      </c>
    </row>
    <row r="47" ht="30">
      <c r="A47" s="145" t="str">
        <f>Translation!A70</f>
        <v>LINHA 320 cc</v>
      </c>
      <c r="B47" s="142" t="str">
        <f>Translation!$G$32</f>
        <v>CONTA</v>
      </c>
      <c r="C47" s="121" t="str">
        <f>Translation!$G$12</f>
        <v>UNIDADES</v>
      </c>
      <c r="D47" s="120" t="str">
        <f>Translation!$G$11</f>
        <v>RECEITA
(SEM IMPOSTOS)</v>
      </c>
      <c r="E47" s="120" t="str">
        <f>Translation!$G$33</f>
        <v>UNIDADES DEVOLVIDAS</v>
      </c>
      <c r="F47" s="120" t="str">
        <f>Translation!$G$14</f>
        <v>DEVOLUÇÃO
DE VENDAS</v>
      </c>
      <c r="G47" s="120" t="str">
        <f>Translation!$G$3</f>
        <v>ABAT. E DESCONTO</v>
      </c>
      <c r="H47" s="120" t="str">
        <f>Translation!$G$9</f>
        <v>RECEITA LÍQUIDA</v>
      </c>
      <c r="I47" s="121" t="str">
        <f>Translation!$G$2</f>
        <v>CUSTO</v>
      </c>
      <c r="J47" s="121" t="str">
        <f>Translation!$G$5</f>
        <v>LUCRO BRUTO</v>
      </c>
      <c r="O47" s="73" t="s">
        <v>367</v>
      </c>
      <c r="P47" s="38" t="str">
        <f>Translation!$G$32</f>
        <v>CONTA</v>
      </c>
      <c r="Q47" s="74" t="s">
        <v>2</v>
      </c>
      <c r="R47" s="74" t="s">
        <v>3</v>
      </c>
      <c r="S47" s="74" t="s">
        <v>4</v>
      </c>
      <c r="T47" s="74" t="s">
        <v>5</v>
      </c>
      <c r="U47" s="74" t="s">
        <v>6</v>
      </c>
      <c r="V47" s="74" t="s">
        <v>7</v>
      </c>
      <c r="W47" s="74" t="s">
        <v>8</v>
      </c>
      <c r="X47" s="74" t="s">
        <v>9</v>
      </c>
    </row>
    <row r="48">
      <c r="A48" s="77" t="str">
        <f>Translation!A71</f>
        <v>YZF R3 </v>
      </c>
      <c r="B48" s="142" t="s">
        <v>368</v>
      </c>
      <c r="C48" s="107" t="e">
        <f>VLOOKUP(Q48,Data!$B:$E,4,FALSE)</f>
        <v>#N/A</v>
      </c>
      <c r="D48" s="140" t="e">
        <f>VLOOKUP(R48,Data!$B:$E,4,FALSE)</f>
        <v>#N/A</v>
      </c>
      <c r="E48" s="140" t="e">
        <f>VLOOKUP(S48,Data!$B:$E,4,FALSE)</f>
        <v>#N/A</v>
      </c>
      <c r="F48" s="140" t="e">
        <f>VLOOKUP(T48,Data!$B:$E,4,FALSE)</f>
        <v>#N/A</v>
      </c>
      <c r="G48" s="140" t="e">
        <f>VLOOKUP(U48,Data!$B:$E,4,FALSE)</f>
        <v>#N/A</v>
      </c>
      <c r="H48" s="141" t="e">
        <f>VLOOKUP(V48,Data!$B:$E,4,FALSE)</f>
        <v>#N/A</v>
      </c>
      <c r="I48" s="140" t="e">
        <f>VLOOKUP(W48,Data!$B:$E,4,FALSE)</f>
        <v>#N/A</v>
      </c>
      <c r="J48" s="141" t="e">
        <f>VLOOKUP(X48,Data!$B:$E,4,FALSE)</f>
        <v>#N/A</v>
      </c>
      <c r="O48" s="77" t="s">
        <v>369</v>
      </c>
      <c r="P48" s="38" t="s">
        <v>368</v>
      </c>
      <c r="Q48" s="78" t="s">
        <v>370</v>
      </c>
      <c r="R48" s="78" t="s">
        <v>371</v>
      </c>
      <c r="S48" s="78" t="s">
        <v>372</v>
      </c>
      <c r="T48" s="78" t="s">
        <v>373</v>
      </c>
      <c r="U48" s="78" t="s">
        <v>374</v>
      </c>
      <c r="V48" s="76" t="s">
        <v>375</v>
      </c>
      <c r="W48" s="78" t="s">
        <v>376</v>
      </c>
      <c r="X48" s="76" t="s">
        <v>377</v>
      </c>
    </row>
    <row r="49">
      <c r="A49" s="77" t="str">
        <f>Translation!A72</f>
        <v>YZF R3 ABS</v>
      </c>
      <c r="B49" s="142" t="s">
        <v>378</v>
      </c>
      <c r="C49" s="107" t="e">
        <f>VLOOKUP(Q49,Data!$B:$E,4,FALSE)</f>
        <v>#N/A</v>
      </c>
      <c r="D49" s="140" t="e">
        <f>VLOOKUP(R49,Data!$B:$E,4,FALSE)</f>
        <v>#N/A</v>
      </c>
      <c r="E49" s="140" t="e">
        <f>VLOOKUP(S49,Data!$B:$E,4,FALSE)</f>
        <v>#N/A</v>
      </c>
      <c r="F49" s="140" t="e">
        <f>VLOOKUP(T49,Data!$B:$E,4,FALSE)</f>
        <v>#N/A</v>
      </c>
      <c r="G49" s="140" t="e">
        <f>VLOOKUP(U49,Data!$B:$E,4,FALSE)</f>
        <v>#N/A</v>
      </c>
      <c r="H49" s="141" t="e">
        <f>VLOOKUP(V49,Data!$B:$E,4,FALSE)</f>
        <v>#N/A</v>
      </c>
      <c r="I49" s="140" t="e">
        <f>VLOOKUP(W49,Data!$B:$E,4,FALSE)</f>
        <v>#N/A</v>
      </c>
      <c r="J49" s="141" t="e">
        <f>VLOOKUP(X49,Data!$B:$E,4,FALSE)</f>
        <v>#N/A</v>
      </c>
      <c r="O49" s="77" t="s">
        <v>379</v>
      </c>
      <c r="P49" s="38" t="s">
        <v>378</v>
      </c>
      <c r="Q49" s="78" t="s">
        <v>380</v>
      </c>
      <c r="R49" s="78" t="s">
        <v>381</v>
      </c>
      <c r="S49" s="78" t="s">
        <v>382</v>
      </c>
      <c r="T49" s="78" t="s">
        <v>383</v>
      </c>
      <c r="U49" s="78" t="s">
        <v>384</v>
      </c>
      <c r="V49" s="76" t="s">
        <v>385</v>
      </c>
      <c r="W49" s="78" t="s">
        <v>386</v>
      </c>
      <c r="X49" s="76" t="s">
        <v>387</v>
      </c>
    </row>
    <row r="50">
      <c r="A50" s="77" t="str">
        <f>Translation!A73</f>
        <v>MT03</v>
      </c>
      <c r="B50" s="142" t="s">
        <v>388</v>
      </c>
      <c r="C50" s="107" t="e">
        <f>VLOOKUP(Q50,Data!$B:$E,4,FALSE)</f>
        <v>#N/A</v>
      </c>
      <c r="D50" s="140" t="e">
        <f>VLOOKUP(R50,Data!$B:$E,4,FALSE)</f>
        <v>#N/A</v>
      </c>
      <c r="E50" s="140" t="e">
        <f>VLOOKUP(S50,Data!$B:$E,4,FALSE)</f>
        <v>#N/A</v>
      </c>
      <c r="F50" s="140" t="e">
        <f>VLOOKUP(T50,Data!$B:$E,4,FALSE)</f>
        <v>#N/A</v>
      </c>
      <c r="G50" s="140" t="e">
        <f>VLOOKUP(U50,Data!$B:$E,4,FALSE)</f>
        <v>#N/A</v>
      </c>
      <c r="H50" s="141" t="e">
        <f>VLOOKUP(V50,Data!$B:$E,4,FALSE)</f>
        <v>#N/A</v>
      </c>
      <c r="I50" s="140" t="e">
        <f>VLOOKUP(W50,Data!$B:$E,4,FALSE)</f>
        <v>#N/A</v>
      </c>
      <c r="J50" s="141" t="e">
        <f>VLOOKUP(X50,Data!$B:$E,4,FALSE)</f>
        <v>#N/A</v>
      </c>
      <c r="O50" s="77" t="s">
        <v>389</v>
      </c>
      <c r="P50" s="38" t="s">
        <v>388</v>
      </c>
      <c r="Q50" s="78" t="s">
        <v>390</v>
      </c>
      <c r="R50" s="78" t="s">
        <v>391</v>
      </c>
      <c r="S50" s="78" t="s">
        <v>392</v>
      </c>
      <c r="T50" s="78" t="s">
        <v>393</v>
      </c>
      <c r="U50" s="78" t="s">
        <v>394</v>
      </c>
      <c r="V50" s="76" t="s">
        <v>395</v>
      </c>
      <c r="W50" s="78" t="s">
        <v>396</v>
      </c>
      <c r="X50" s="76" t="s">
        <v>397</v>
      </c>
    </row>
    <row r="51">
      <c r="A51" s="77" t="str">
        <f>Translation!A74</f>
        <v>MT03 ABS</v>
      </c>
      <c r="B51" s="142" t="s">
        <v>398</v>
      </c>
      <c r="C51" s="107" t="e">
        <f>VLOOKUP(Q51,Data!$B:$E,4,FALSE)</f>
        <v>#N/A</v>
      </c>
      <c r="D51" s="140" t="e">
        <f>VLOOKUP(R51,Data!$B:$E,4,FALSE)</f>
        <v>#N/A</v>
      </c>
      <c r="E51" s="140" t="e">
        <f>VLOOKUP(S51,Data!$B:$E,4,FALSE)</f>
        <v>#N/A</v>
      </c>
      <c r="F51" s="140" t="e">
        <f>VLOOKUP(T51,Data!$B:$E,4,FALSE)</f>
        <v>#N/A</v>
      </c>
      <c r="G51" s="140" t="e">
        <f>VLOOKUP(U51,Data!$B:$E,4,FALSE)</f>
        <v>#N/A</v>
      </c>
      <c r="H51" s="141" t="e">
        <f>VLOOKUP(V51,Data!$B:$E,4,FALSE)</f>
        <v>#N/A</v>
      </c>
      <c r="I51" s="140" t="e">
        <f>VLOOKUP(W51,Data!$B:$E,4,FALSE)</f>
        <v>#N/A</v>
      </c>
      <c r="J51" s="141" t="e">
        <f>VLOOKUP(X51,Data!$B:$E,4,FALSE)</f>
        <v>#N/A</v>
      </c>
      <c r="O51" s="77" t="s">
        <v>399</v>
      </c>
      <c r="P51" s="38" t="s">
        <v>398</v>
      </c>
      <c r="Q51" s="78" t="s">
        <v>400</v>
      </c>
      <c r="R51" s="78" t="s">
        <v>401</v>
      </c>
      <c r="S51" s="78" t="s">
        <v>402</v>
      </c>
      <c r="T51" s="78" t="s">
        <v>403</v>
      </c>
      <c r="U51" s="78" t="s">
        <v>404</v>
      </c>
      <c r="V51" s="76" t="s">
        <v>405</v>
      </c>
      <c r="W51" s="78" t="s">
        <v>406</v>
      </c>
      <c r="X51" s="76" t="s">
        <v>407</v>
      </c>
    </row>
    <row r="52">
      <c r="A52" s="147" t="str">
        <f>Translation!A75</f>
        <v>TOTAL DE VENDAS - LINHA 320 cc</v>
      </c>
      <c r="B52" s="142" t="s">
        <v>408</v>
      </c>
      <c r="C52" s="108" t="e">
        <f>VLOOKUP(Q52,Data!$B:$E,4,FALSE)</f>
        <v>#N/A</v>
      </c>
      <c r="D52" s="141" t="e">
        <f>VLOOKUP(R52,Data!$B:$E,4,FALSE)</f>
        <v>#N/A</v>
      </c>
      <c r="E52" s="141" t="e">
        <f>VLOOKUP(S52,Data!$B:$E,4,FALSE)</f>
        <v>#N/A</v>
      </c>
      <c r="F52" s="141" t="e">
        <f>VLOOKUP(T52,Data!$B:$E,4,FALSE)</f>
        <v>#N/A</v>
      </c>
      <c r="G52" s="141" t="e">
        <f>VLOOKUP(U52,Data!$B:$E,4,FALSE)</f>
        <v>#N/A</v>
      </c>
      <c r="H52" s="141" t="e">
        <f>VLOOKUP(V52,Data!$B:$E,4,FALSE)</f>
        <v>#N/A</v>
      </c>
      <c r="I52" s="141" t="e">
        <f>VLOOKUP(W52,Data!$B:$E,4,FALSE)</f>
        <v>#N/A</v>
      </c>
      <c r="J52" s="141" t="e">
        <f>VLOOKUP(X52,Data!$B:$E,4,FALSE)</f>
        <v>#N/A</v>
      </c>
      <c r="O52" s="48" t="s">
        <v>409</v>
      </c>
      <c r="P52" s="38" t="s">
        <v>408</v>
      </c>
      <c r="Q52" s="76" t="s">
        <v>410</v>
      </c>
      <c r="R52" s="76" t="s">
        <v>411</v>
      </c>
      <c r="S52" s="76" t="s">
        <v>412</v>
      </c>
      <c r="T52" s="76" t="s">
        <v>413</v>
      </c>
      <c r="U52" s="76" t="s">
        <v>414</v>
      </c>
      <c r="V52" s="76" t="s">
        <v>415</v>
      </c>
      <c r="W52" s="76" t="s">
        <v>416</v>
      </c>
      <c r="X52" s="76" t="s">
        <v>417</v>
      </c>
    </row>
    <row r="53" ht="30">
      <c r="A53" s="145" t="str">
        <f>Translation!A76</f>
        <v>LINHA &gt; 500 cc</v>
      </c>
      <c r="B53" s="142" t="str">
        <f>Translation!$G$32</f>
        <v>CONTA</v>
      </c>
      <c r="C53" s="121" t="str">
        <f>Translation!$G$12</f>
        <v>UNIDADES</v>
      </c>
      <c r="D53" s="120" t="str">
        <f>Translation!$G$11</f>
        <v>RECEITA
(SEM IMPOSTOS)</v>
      </c>
      <c r="E53" s="120" t="str">
        <f>Translation!$G$33</f>
        <v>UNIDADES DEVOLVIDAS</v>
      </c>
      <c r="F53" s="120" t="str">
        <f>Translation!$G$14</f>
        <v>DEVOLUÇÃO
DE VENDAS</v>
      </c>
      <c r="G53" s="120" t="str">
        <f>Translation!$G$3</f>
        <v>ABAT. E DESCONTO</v>
      </c>
      <c r="H53" s="120" t="str">
        <f>Translation!$G$9</f>
        <v>RECEITA LÍQUIDA</v>
      </c>
      <c r="I53" s="121" t="str">
        <f>Translation!$G$2</f>
        <v>CUSTO</v>
      </c>
      <c r="J53" s="121" t="str">
        <f>Translation!$G$5</f>
        <v>LUCRO BRUTO</v>
      </c>
      <c r="O53" s="73" t="s">
        <v>418</v>
      </c>
      <c r="P53" s="38" t="str">
        <f>Translation!$G$32</f>
        <v>CONTA</v>
      </c>
      <c r="Q53" s="74" t="s">
        <v>2</v>
      </c>
      <c r="R53" s="74" t="s">
        <v>3</v>
      </c>
      <c r="S53" s="74" t="s">
        <v>4</v>
      </c>
      <c r="T53" s="74" t="s">
        <v>5</v>
      </c>
      <c r="U53" s="74" t="s">
        <v>6</v>
      </c>
      <c r="V53" s="74" t="s">
        <v>7</v>
      </c>
      <c r="W53" s="74" t="s">
        <v>8</v>
      </c>
      <c r="X53" s="74" t="s">
        <v>9</v>
      </c>
    </row>
    <row r="54">
      <c r="A54" s="77" t="str">
        <f>Translation!A77</f>
        <v>XJ6 N ABS</v>
      </c>
      <c r="B54" s="142" t="s">
        <v>419</v>
      </c>
      <c r="C54" s="107" t="e">
        <f>VLOOKUP(Q54,Data!$B:$E,4,FALSE)</f>
        <v>#N/A</v>
      </c>
      <c r="D54" s="140" t="e">
        <f>VLOOKUP(R54,Data!$B:$E,4,FALSE)</f>
        <v>#N/A</v>
      </c>
      <c r="E54" s="140" t="e">
        <f>VLOOKUP(S54,Data!$B:$E,4,FALSE)</f>
        <v>#N/A</v>
      </c>
      <c r="F54" s="140" t="e">
        <f>VLOOKUP(T54,Data!$B:$E,4,FALSE)</f>
        <v>#N/A</v>
      </c>
      <c r="G54" s="140" t="e">
        <f>VLOOKUP(U54,Data!$B:$E,4,FALSE)</f>
        <v>#N/A</v>
      </c>
      <c r="H54" s="141" t="e">
        <f>VLOOKUP(V54,Data!$B:$E,4,FALSE)</f>
        <v>#N/A</v>
      </c>
      <c r="I54" s="140" t="e">
        <f>VLOOKUP(W54,Data!$B:$E,4,FALSE)</f>
        <v>#N/A</v>
      </c>
      <c r="J54" s="141" t="e">
        <f>VLOOKUP(X54,Data!$B:$E,4,FALSE)</f>
        <v>#N/A</v>
      </c>
      <c r="O54" s="77" t="s">
        <v>420</v>
      </c>
      <c r="P54" s="38" t="s">
        <v>419</v>
      </c>
      <c r="Q54" s="78" t="s">
        <v>421</v>
      </c>
      <c r="R54" s="78" t="s">
        <v>422</v>
      </c>
      <c r="S54" s="78" t="s">
        <v>423</v>
      </c>
      <c r="T54" s="78" t="s">
        <v>424</v>
      </c>
      <c r="U54" s="78" t="s">
        <v>425</v>
      </c>
      <c r="V54" s="76" t="s">
        <v>426</v>
      </c>
      <c r="W54" s="78" t="s">
        <v>427</v>
      </c>
      <c r="X54" s="76" t="s">
        <v>428</v>
      </c>
    </row>
    <row r="55">
      <c r="A55" s="77" t="str">
        <f>Translation!A78</f>
        <v>XJ6 F ABS</v>
      </c>
      <c r="B55" s="142" t="s">
        <v>429</v>
      </c>
      <c r="C55" s="107" t="e">
        <f>VLOOKUP(Q55,Data!$B:$E,4,FALSE)</f>
        <v>#N/A</v>
      </c>
      <c r="D55" s="140" t="e">
        <f>VLOOKUP(R55,Data!$B:$E,4,FALSE)</f>
        <v>#N/A</v>
      </c>
      <c r="E55" s="140" t="e">
        <f>VLOOKUP(S55,Data!$B:$E,4,FALSE)</f>
        <v>#N/A</v>
      </c>
      <c r="F55" s="140" t="e">
        <f>VLOOKUP(T55,Data!$B:$E,4,FALSE)</f>
        <v>#N/A</v>
      </c>
      <c r="G55" s="140" t="e">
        <f>VLOOKUP(U55,Data!$B:$E,4,FALSE)</f>
        <v>#N/A</v>
      </c>
      <c r="H55" s="141" t="e">
        <f>VLOOKUP(V55,Data!$B:$E,4,FALSE)</f>
        <v>#N/A</v>
      </c>
      <c r="I55" s="140" t="e">
        <f>VLOOKUP(W55,Data!$B:$E,4,FALSE)</f>
        <v>#N/A</v>
      </c>
      <c r="J55" s="141" t="e">
        <f>VLOOKUP(X55,Data!$B:$E,4,FALSE)</f>
        <v>#N/A</v>
      </c>
      <c r="O55" s="77" t="s">
        <v>430</v>
      </c>
      <c r="P55" s="38" t="s">
        <v>429</v>
      </c>
      <c r="Q55" s="78" t="s">
        <v>431</v>
      </c>
      <c r="R55" s="78" t="s">
        <v>432</v>
      </c>
      <c r="S55" s="78" t="s">
        <v>433</v>
      </c>
      <c r="T55" s="78" t="s">
        <v>434</v>
      </c>
      <c r="U55" s="78" t="s">
        <v>435</v>
      </c>
      <c r="V55" s="76" t="s">
        <v>436</v>
      </c>
      <c r="W55" s="78" t="s">
        <v>437</v>
      </c>
      <c r="X55" s="76" t="s">
        <v>438</v>
      </c>
    </row>
    <row r="56">
      <c r="A56" s="77" t="str">
        <f>Translation!A79</f>
        <v>XT 660R</v>
      </c>
      <c r="B56" s="142" t="s">
        <v>439</v>
      </c>
      <c r="C56" s="107" t="e">
        <f>VLOOKUP(Q56,Data!$B:$E,4,FALSE)</f>
        <v>#N/A</v>
      </c>
      <c r="D56" s="140" t="e">
        <f>VLOOKUP(R56,Data!$B:$E,4,FALSE)</f>
        <v>#N/A</v>
      </c>
      <c r="E56" s="140" t="e">
        <f>VLOOKUP(S56,Data!$B:$E,4,FALSE)</f>
        <v>#N/A</v>
      </c>
      <c r="F56" s="140" t="e">
        <f>VLOOKUP(T56,Data!$B:$E,4,FALSE)</f>
        <v>#N/A</v>
      </c>
      <c r="G56" s="140" t="e">
        <f>VLOOKUP(U56,Data!$B:$E,4,FALSE)</f>
        <v>#N/A</v>
      </c>
      <c r="H56" s="141" t="e">
        <f>VLOOKUP(V56,Data!$B:$E,4,FALSE)</f>
        <v>#N/A</v>
      </c>
      <c r="I56" s="140" t="e">
        <f>VLOOKUP(W56,Data!$B:$E,4,FALSE)</f>
        <v>#N/A</v>
      </c>
      <c r="J56" s="141" t="e">
        <f>VLOOKUP(X56,Data!$B:$E,4,FALSE)</f>
        <v>#N/A</v>
      </c>
      <c r="O56" s="77" t="s">
        <v>440</v>
      </c>
      <c r="P56" s="38" t="s">
        <v>439</v>
      </c>
      <c r="Q56" s="78" t="s">
        <v>441</v>
      </c>
      <c r="R56" s="78" t="s">
        <v>442</v>
      </c>
      <c r="S56" s="78" t="s">
        <v>443</v>
      </c>
      <c r="T56" s="78" t="s">
        <v>444</v>
      </c>
      <c r="U56" s="78" t="s">
        <v>445</v>
      </c>
      <c r="V56" s="76" t="s">
        <v>446</v>
      </c>
      <c r="W56" s="78" t="s">
        <v>447</v>
      </c>
      <c r="X56" s="76" t="s">
        <v>448</v>
      </c>
    </row>
    <row r="57">
      <c r="A57" s="77" t="str">
        <f>Translation!A80</f>
        <v>XT 660Z TENERE ABS</v>
      </c>
      <c r="B57" s="142" t="s">
        <v>449</v>
      </c>
      <c r="C57" s="107" t="e">
        <f>VLOOKUP(Q57,Data!$B:$E,4,FALSE)</f>
        <v>#N/A</v>
      </c>
      <c r="D57" s="140" t="e">
        <f>VLOOKUP(R57,Data!$B:$E,4,FALSE)</f>
        <v>#N/A</v>
      </c>
      <c r="E57" s="140" t="e">
        <f>VLOOKUP(S57,Data!$B:$E,4,FALSE)</f>
        <v>#N/A</v>
      </c>
      <c r="F57" s="140" t="e">
        <f>VLOOKUP(T57,Data!$B:$E,4,FALSE)</f>
        <v>#N/A</v>
      </c>
      <c r="G57" s="140" t="e">
        <f>VLOOKUP(U57,Data!$B:$E,4,FALSE)</f>
        <v>#N/A</v>
      </c>
      <c r="H57" s="141" t="e">
        <f>VLOOKUP(V57,Data!$B:$E,4,FALSE)</f>
        <v>#N/A</v>
      </c>
      <c r="I57" s="140" t="e">
        <f>VLOOKUP(W57,Data!$B:$E,4,FALSE)</f>
        <v>#N/A</v>
      </c>
      <c r="J57" s="141" t="e">
        <f>VLOOKUP(X57,Data!$B:$E,4,FALSE)</f>
        <v>#N/A</v>
      </c>
      <c r="O57" s="77" t="s">
        <v>450</v>
      </c>
      <c r="P57" s="38" t="s">
        <v>449</v>
      </c>
      <c r="Q57" s="78" t="s">
        <v>451</v>
      </c>
      <c r="R57" s="78" t="s">
        <v>452</v>
      </c>
      <c r="S57" s="78" t="s">
        <v>453</v>
      </c>
      <c r="T57" s="78" t="s">
        <v>454</v>
      </c>
      <c r="U57" s="78" t="s">
        <v>455</v>
      </c>
      <c r="V57" s="76" t="s">
        <v>456</v>
      </c>
      <c r="W57" s="78" t="s">
        <v>457</v>
      </c>
      <c r="X57" s="76" t="s">
        <v>458</v>
      </c>
    </row>
    <row r="58">
      <c r="A58" s="77" t="str">
        <f>Translation!A81</f>
        <v>MT07</v>
      </c>
      <c r="B58" s="142" t="s">
        <v>459</v>
      </c>
      <c r="C58" s="107" t="e">
        <f>VLOOKUP(Q58,Data!$B:$E,4,FALSE)</f>
        <v>#N/A</v>
      </c>
      <c r="D58" s="140" t="e">
        <f>VLOOKUP(R58,Data!$B:$E,4,FALSE)</f>
        <v>#N/A</v>
      </c>
      <c r="E58" s="140" t="e">
        <f>VLOOKUP(S58,Data!$B:$E,4,FALSE)</f>
        <v>#N/A</v>
      </c>
      <c r="F58" s="140" t="e">
        <f>VLOOKUP(T58,Data!$B:$E,4,FALSE)</f>
        <v>#N/A</v>
      </c>
      <c r="G58" s="140" t="e">
        <f>VLOOKUP(U58,Data!$B:$E,4,FALSE)</f>
        <v>#N/A</v>
      </c>
      <c r="H58" s="141" t="e">
        <f>VLOOKUP(V58,Data!$B:$E,4,FALSE)</f>
        <v>#N/A</v>
      </c>
      <c r="I58" s="140" t="e">
        <f>VLOOKUP(W58,Data!$B:$E,4,FALSE)</f>
        <v>#N/A</v>
      </c>
      <c r="J58" s="141" t="e">
        <f>VLOOKUP(X58,Data!$B:$E,4,FALSE)</f>
        <v>#N/A</v>
      </c>
      <c r="O58" s="77" t="s">
        <v>460</v>
      </c>
      <c r="P58" s="38" t="s">
        <v>459</v>
      </c>
      <c r="Q58" s="78" t="s">
        <v>461</v>
      </c>
      <c r="R58" s="78" t="s">
        <v>462</v>
      </c>
      <c r="S58" s="78" t="s">
        <v>463</v>
      </c>
      <c r="T58" s="78" t="s">
        <v>464</v>
      </c>
      <c r="U58" s="78" t="s">
        <v>465</v>
      </c>
      <c r="V58" s="76" t="s">
        <v>466</v>
      </c>
      <c r="W58" s="78" t="s">
        <v>467</v>
      </c>
      <c r="X58" s="76" t="s">
        <v>468</v>
      </c>
    </row>
    <row r="59">
      <c r="A59" s="77" t="str">
        <f>Translation!A82</f>
        <v>MT07 ABS</v>
      </c>
      <c r="B59" s="142" t="s">
        <v>469</v>
      </c>
      <c r="C59" s="107" t="e">
        <f>VLOOKUP(Q59,Data!$B:$E,4,FALSE)</f>
        <v>#N/A</v>
      </c>
      <c r="D59" s="140" t="e">
        <f>VLOOKUP(R59,Data!$B:$E,4,FALSE)</f>
        <v>#N/A</v>
      </c>
      <c r="E59" s="140" t="e">
        <f>VLOOKUP(S59,Data!$B:$E,4,FALSE)</f>
        <v>#N/A</v>
      </c>
      <c r="F59" s="140" t="e">
        <f>VLOOKUP(T59,Data!$B:$E,4,FALSE)</f>
        <v>#N/A</v>
      </c>
      <c r="G59" s="140" t="e">
        <f>VLOOKUP(U59,Data!$B:$E,4,FALSE)</f>
        <v>#N/A</v>
      </c>
      <c r="H59" s="141" t="e">
        <f>VLOOKUP(V59,Data!$B:$E,4,FALSE)</f>
        <v>#N/A</v>
      </c>
      <c r="I59" s="140" t="e">
        <f>VLOOKUP(W59,Data!$B:$E,4,FALSE)</f>
        <v>#N/A</v>
      </c>
      <c r="J59" s="141" t="e">
        <f>VLOOKUP(X59,Data!$B:$E,4,FALSE)</f>
        <v>#N/A</v>
      </c>
      <c r="O59" s="77" t="s">
        <v>470</v>
      </c>
      <c r="P59" s="38" t="s">
        <v>469</v>
      </c>
      <c r="Q59" s="78" t="s">
        <v>471</v>
      </c>
      <c r="R59" s="78" t="s">
        <v>472</v>
      </c>
      <c r="S59" s="78" t="s">
        <v>473</v>
      </c>
      <c r="T59" s="78" t="s">
        <v>474</v>
      </c>
      <c r="U59" s="78" t="s">
        <v>475</v>
      </c>
      <c r="V59" s="76" t="s">
        <v>476</v>
      </c>
      <c r="W59" s="78" t="s">
        <v>477</v>
      </c>
      <c r="X59" s="76" t="s">
        <v>478</v>
      </c>
    </row>
    <row r="60">
      <c r="A60" s="77" t="str">
        <f>Translation!A83</f>
        <v>MT09</v>
      </c>
      <c r="B60" s="142" t="s">
        <v>479</v>
      </c>
      <c r="C60" s="107" t="e">
        <f>VLOOKUP(Q60,Data!$B:$E,4,FALSE)</f>
        <v>#N/A</v>
      </c>
      <c r="D60" s="140" t="e">
        <f>VLOOKUP(R60,Data!$B:$E,4,FALSE)</f>
        <v>#N/A</v>
      </c>
      <c r="E60" s="140" t="e">
        <f>VLOOKUP(S60,Data!$B:$E,4,FALSE)</f>
        <v>#N/A</v>
      </c>
      <c r="F60" s="140" t="e">
        <f>VLOOKUP(T60,Data!$B:$E,4,FALSE)</f>
        <v>#N/A</v>
      </c>
      <c r="G60" s="140" t="e">
        <f>VLOOKUP(U60,Data!$B:$E,4,FALSE)</f>
        <v>#N/A</v>
      </c>
      <c r="H60" s="141" t="e">
        <f>VLOOKUP(V60,Data!$B:$E,4,FALSE)</f>
        <v>#N/A</v>
      </c>
      <c r="I60" s="140" t="e">
        <f>VLOOKUP(W60,Data!$B:$E,4,FALSE)</f>
        <v>#N/A</v>
      </c>
      <c r="J60" s="141" t="e">
        <f>VLOOKUP(X60,Data!$B:$E,4,FALSE)</f>
        <v>#N/A</v>
      </c>
      <c r="O60" s="77" t="s">
        <v>480</v>
      </c>
      <c r="P60" s="38" t="s">
        <v>479</v>
      </c>
      <c r="Q60" s="78" t="s">
        <v>481</v>
      </c>
      <c r="R60" s="78" t="s">
        <v>482</v>
      </c>
      <c r="S60" s="78" t="s">
        <v>483</v>
      </c>
      <c r="T60" s="78" t="s">
        <v>484</v>
      </c>
      <c r="U60" s="78" t="s">
        <v>485</v>
      </c>
      <c r="V60" s="76" t="s">
        <v>486</v>
      </c>
      <c r="W60" s="78" t="s">
        <v>487</v>
      </c>
      <c r="X60" s="76" t="s">
        <v>488</v>
      </c>
    </row>
    <row r="61">
      <c r="A61" s="77" t="str">
        <f>Translation!A84</f>
        <v>MT09 SP</v>
      </c>
      <c r="B61" s="142" t="s">
        <v>489</v>
      </c>
      <c r="C61" s="107" t="e">
        <f>VLOOKUP(Q61,Data!$B:$E,4,FALSE)</f>
        <v>#N/A</v>
      </c>
      <c r="D61" s="140" t="e">
        <f>VLOOKUP(R61,Data!$B:$E,4,FALSE)</f>
        <v>#N/A</v>
      </c>
      <c r="E61" s="140" t="e">
        <f>VLOOKUP(S61,Data!$B:$E,4,FALSE)</f>
        <v>#N/A</v>
      </c>
      <c r="F61" s="140" t="e">
        <f>VLOOKUP(T61,Data!$B:$E,4,FALSE)</f>
        <v>#N/A</v>
      </c>
      <c r="G61" s="140" t="e">
        <f>VLOOKUP(U61,Data!$B:$E,4,FALSE)</f>
        <v>#N/A</v>
      </c>
      <c r="H61" s="141" t="e">
        <f>VLOOKUP(V61,Data!$B:$E,4,FALSE)</f>
        <v>#N/A</v>
      </c>
      <c r="I61" s="140" t="e">
        <f>VLOOKUP(W61,Data!$B:$E,4,FALSE)</f>
        <v>#N/A</v>
      </c>
      <c r="J61" s="141" t="e">
        <f>VLOOKUP(X61,Data!$B:$E,4,FALSE)</f>
        <v>#N/A</v>
      </c>
      <c r="O61" s="77" t="s">
        <v>490</v>
      </c>
      <c r="P61" s="38" t="s">
        <v>489</v>
      </c>
      <c r="Q61" s="78" t="s">
        <v>491</v>
      </c>
      <c r="R61" s="78" t="s">
        <v>492</v>
      </c>
      <c r="S61" s="78" t="s">
        <v>493</v>
      </c>
      <c r="T61" s="78" t="s">
        <v>494</v>
      </c>
      <c r="U61" s="78" t="s">
        <v>495</v>
      </c>
      <c r="V61" s="76" t="s">
        <v>496</v>
      </c>
      <c r="W61" s="78" t="s">
        <v>497</v>
      </c>
      <c r="X61" s="76" t="s">
        <v>498</v>
      </c>
    </row>
    <row r="62">
      <c r="A62" s="77" t="str">
        <f>Translation!A85</f>
        <v>MT09 TRACER</v>
      </c>
      <c r="B62" s="142" t="s">
        <v>499</v>
      </c>
      <c r="C62" s="107" t="e">
        <f>VLOOKUP(Q62,Data!$B:$E,4,FALSE)</f>
        <v>#N/A</v>
      </c>
      <c r="D62" s="140" t="e">
        <f>VLOOKUP(R62,Data!$B:$E,4,FALSE)</f>
        <v>#N/A</v>
      </c>
      <c r="E62" s="140" t="e">
        <f>VLOOKUP(S62,Data!$B:$E,4,FALSE)</f>
        <v>#N/A</v>
      </c>
      <c r="F62" s="140" t="e">
        <f>VLOOKUP(T62,Data!$B:$E,4,FALSE)</f>
        <v>#N/A</v>
      </c>
      <c r="G62" s="140" t="e">
        <f>VLOOKUP(U62,Data!$B:$E,4,FALSE)</f>
        <v>#N/A</v>
      </c>
      <c r="H62" s="141" t="e">
        <f>VLOOKUP(V62,Data!$B:$E,4,FALSE)</f>
        <v>#N/A</v>
      </c>
      <c r="I62" s="140" t="e">
        <f>VLOOKUP(W62,Data!$B:$E,4,FALSE)</f>
        <v>#N/A</v>
      </c>
      <c r="J62" s="141" t="e">
        <f>VLOOKUP(X62,Data!$B:$E,4,FALSE)</f>
        <v>#N/A</v>
      </c>
      <c r="O62" s="77" t="s">
        <v>500</v>
      </c>
      <c r="P62" s="38" t="s">
        <v>499</v>
      </c>
      <c r="Q62" s="78" t="s">
        <v>501</v>
      </c>
      <c r="R62" s="78" t="s">
        <v>502</v>
      </c>
      <c r="S62" s="78" t="s">
        <v>503</v>
      </c>
      <c r="T62" s="78" t="s">
        <v>504</v>
      </c>
      <c r="U62" s="78" t="s">
        <v>505</v>
      </c>
      <c r="V62" s="76" t="s">
        <v>506</v>
      </c>
      <c r="W62" s="78" t="s">
        <v>507</v>
      </c>
      <c r="X62" s="76" t="s">
        <v>508</v>
      </c>
    </row>
    <row r="63">
      <c r="A63" s="77" t="str">
        <f>Translation!A86</f>
        <v>YZF R1</v>
      </c>
      <c r="B63" s="142" t="s">
        <v>509</v>
      </c>
      <c r="C63" s="107" t="e">
        <f>VLOOKUP(Q63,Data!$B:$E,4,FALSE)</f>
        <v>#N/A</v>
      </c>
      <c r="D63" s="140" t="e">
        <f>VLOOKUP(R63,Data!$B:$E,4,FALSE)</f>
        <v>#N/A</v>
      </c>
      <c r="E63" s="140" t="e">
        <f>VLOOKUP(S63,Data!$B:$E,4,FALSE)</f>
        <v>#N/A</v>
      </c>
      <c r="F63" s="140" t="e">
        <f>VLOOKUP(T63,Data!$B:$E,4,FALSE)</f>
        <v>#N/A</v>
      </c>
      <c r="G63" s="140" t="e">
        <f>VLOOKUP(U63,Data!$B:$E,4,FALSE)</f>
        <v>#N/A</v>
      </c>
      <c r="H63" s="141" t="e">
        <f>VLOOKUP(V63,Data!$B:$E,4,FALSE)</f>
        <v>#N/A</v>
      </c>
      <c r="I63" s="140" t="e">
        <f>VLOOKUP(W63,Data!$B:$E,4,FALSE)</f>
        <v>#N/A</v>
      </c>
      <c r="J63" s="141" t="e">
        <f>VLOOKUP(X63,Data!$B:$E,4,FALSE)</f>
        <v>#N/A</v>
      </c>
      <c r="O63" s="77" t="s">
        <v>510</v>
      </c>
      <c r="P63" s="38" t="s">
        <v>509</v>
      </c>
      <c r="Q63" s="78" t="s">
        <v>511</v>
      </c>
      <c r="R63" s="78" t="s">
        <v>512</v>
      </c>
      <c r="S63" s="78" t="s">
        <v>513</v>
      </c>
      <c r="T63" s="78" t="s">
        <v>514</v>
      </c>
      <c r="U63" s="78" t="s">
        <v>515</v>
      </c>
      <c r="V63" s="76" t="s">
        <v>516</v>
      </c>
      <c r="W63" s="78" t="s">
        <v>517</v>
      </c>
      <c r="X63" s="76" t="s">
        <v>518</v>
      </c>
    </row>
    <row r="64">
      <c r="A64" s="77" t="str">
        <f>Translation!A87</f>
        <v>YZF R1M</v>
      </c>
      <c r="B64" s="142" t="s">
        <v>519</v>
      </c>
      <c r="C64" s="107" t="e">
        <f>VLOOKUP(Q64,Data!$B:$E,4,FALSE)</f>
        <v>#N/A</v>
      </c>
      <c r="D64" s="140" t="e">
        <f>VLOOKUP(R64,Data!$B:$E,4,FALSE)</f>
        <v>#N/A</v>
      </c>
      <c r="E64" s="140" t="e">
        <f>VLOOKUP(S64,Data!$B:$E,4,FALSE)</f>
        <v>#N/A</v>
      </c>
      <c r="F64" s="140" t="e">
        <f>VLOOKUP(T64,Data!$B:$E,4,FALSE)</f>
        <v>#N/A</v>
      </c>
      <c r="G64" s="140" t="e">
        <f>VLOOKUP(U64,Data!$B:$E,4,FALSE)</f>
        <v>#N/A</v>
      </c>
      <c r="H64" s="141" t="e">
        <f>VLOOKUP(V64,Data!$B:$E,4,FALSE)</f>
        <v>#N/A</v>
      </c>
      <c r="I64" s="140" t="e">
        <f>VLOOKUP(W64,Data!$B:$E,4,FALSE)</f>
        <v>#N/A</v>
      </c>
      <c r="J64" s="141" t="e">
        <f>VLOOKUP(X64,Data!$B:$E,4,FALSE)</f>
        <v>#N/A</v>
      </c>
      <c r="O64" s="77" t="s">
        <v>520</v>
      </c>
      <c r="P64" s="38" t="s">
        <v>519</v>
      </c>
      <c r="Q64" s="78" t="s">
        <v>521</v>
      </c>
      <c r="R64" s="78" t="s">
        <v>522</v>
      </c>
      <c r="S64" s="78" t="s">
        <v>523</v>
      </c>
      <c r="T64" s="78" t="s">
        <v>524</v>
      </c>
      <c r="U64" s="78" t="s">
        <v>525</v>
      </c>
      <c r="V64" s="76" t="s">
        <v>526</v>
      </c>
      <c r="W64" s="78" t="s">
        <v>527</v>
      </c>
      <c r="X64" s="76" t="s">
        <v>528</v>
      </c>
    </row>
    <row r="65">
      <c r="A65" s="77" t="s">
        <v>529</v>
      </c>
      <c r="B65" s="142" t="s">
        <v>530</v>
      </c>
      <c r="C65" s="107" t="e">
        <f>VLOOKUP(Q65,Data!$B:$E,4,FALSE)</f>
        <v>#N/A</v>
      </c>
      <c r="D65" s="140" t="e">
        <f>VLOOKUP(R65,Data!$B:$E,4,FALSE)</f>
        <v>#N/A</v>
      </c>
      <c r="E65" s="140" t="e">
        <f>VLOOKUP(S65,Data!$B:$E,4,FALSE)</f>
        <v>#N/A</v>
      </c>
      <c r="F65" s="140" t="e">
        <f>VLOOKUP(T65,Data!$B:$E,4,FALSE)</f>
        <v>#N/A</v>
      </c>
      <c r="G65" s="140" t="e">
        <f>VLOOKUP(U65,Data!$B:$E,4,FALSE)</f>
        <v>#N/A</v>
      </c>
      <c r="H65" s="141" t="e">
        <f>VLOOKUP(V65,Data!$B:$E,4,FALSE)</f>
        <v>#N/A</v>
      </c>
      <c r="I65" s="140" t="e">
        <f>VLOOKUP(W65,Data!$B:$E,4,FALSE)</f>
        <v>#N/A</v>
      </c>
      <c r="J65" s="141" t="e">
        <f>VLOOKUP(X65,Data!$B:$E,4,FALSE)</f>
        <v>#N/A</v>
      </c>
      <c r="O65" s="77" t="s">
        <v>529</v>
      </c>
      <c r="P65" s="142" t="s">
        <v>530</v>
      </c>
      <c r="Q65" s="78" t="s">
        <v>531</v>
      </c>
      <c r="R65" s="78" t="s">
        <v>532</v>
      </c>
      <c r="S65" s="78" t="s">
        <v>533</v>
      </c>
      <c r="T65" s="78" t="s">
        <v>534</v>
      </c>
      <c r="U65" s="78" t="s">
        <v>535</v>
      </c>
      <c r="V65" s="76" t="s">
        <v>536</v>
      </c>
      <c r="W65" s="78" t="s">
        <v>537</v>
      </c>
      <c r="X65" s="76" t="s">
        <v>538</v>
      </c>
    </row>
    <row r="66">
      <c r="A66" s="77" t="s">
        <v>539</v>
      </c>
      <c r="B66" s="142" t="s">
        <v>540</v>
      </c>
      <c r="C66" s="107" t="e">
        <f>VLOOKUP(Q66,Data!$B:$E,4,FALSE)</f>
        <v>#N/A</v>
      </c>
      <c r="D66" s="140" t="e">
        <f>VLOOKUP(R66,Data!$B:$E,4,FALSE)</f>
        <v>#N/A</v>
      </c>
      <c r="E66" s="140" t="e">
        <f>VLOOKUP(S66,Data!$B:$E,4,FALSE)</f>
        <v>#N/A</v>
      </c>
      <c r="F66" s="140" t="e">
        <f>VLOOKUP(T66,Data!$B:$E,4,FALSE)</f>
        <v>#N/A</v>
      </c>
      <c r="G66" s="140" t="e">
        <f>VLOOKUP(U66,Data!$B:$E,4,FALSE)</f>
        <v>#N/A</v>
      </c>
      <c r="H66" s="141" t="e">
        <f>VLOOKUP(V66,Data!$B:$E,4,FALSE)</f>
        <v>#N/A</v>
      </c>
      <c r="I66" s="140" t="e">
        <f>VLOOKUP(W66,Data!$B:$E,4,FALSE)</f>
        <v>#N/A</v>
      </c>
      <c r="J66" s="141" t="e">
        <f>VLOOKUP(X66,Data!$B:$E,4,FALSE)</f>
        <v>#N/A</v>
      </c>
      <c r="O66" s="77" t="s">
        <v>539</v>
      </c>
      <c r="P66" s="142" t="s">
        <v>540</v>
      </c>
      <c r="Q66" s="78" t="s">
        <v>541</v>
      </c>
      <c r="R66" s="78" t="s">
        <v>542</v>
      </c>
      <c r="S66" s="78" t="s">
        <v>543</v>
      </c>
      <c r="T66" s="78" t="s">
        <v>544</v>
      </c>
      <c r="U66" s="78" t="s">
        <v>545</v>
      </c>
      <c r="V66" s="76" t="s">
        <v>546</v>
      </c>
      <c r="W66" s="78" t="s">
        <v>547</v>
      </c>
      <c r="X66" s="76" t="s">
        <v>548</v>
      </c>
    </row>
    <row r="67">
      <c r="A67" s="77" t="s">
        <v>549</v>
      </c>
      <c r="B67" s="142" t="s">
        <v>550</v>
      </c>
      <c r="C67" s="107" t="e">
        <f>VLOOKUP(Q67,Data!$B:$E,4,FALSE)</f>
        <v>#N/A</v>
      </c>
      <c r="D67" s="140" t="e">
        <f>VLOOKUP(R67,Data!$B:$E,4,FALSE)</f>
        <v>#N/A</v>
      </c>
      <c r="E67" s="140" t="e">
        <f>VLOOKUP(S67,Data!$B:$E,4,FALSE)</f>
        <v>#N/A</v>
      </c>
      <c r="F67" s="140" t="e">
        <f>VLOOKUP(T67,Data!$B:$E,4,FALSE)</f>
        <v>#N/A</v>
      </c>
      <c r="G67" s="140" t="e">
        <f>VLOOKUP(U67,Data!$B:$E,4,FALSE)</f>
        <v>#N/A</v>
      </c>
      <c r="H67" s="141" t="e">
        <f>VLOOKUP(V67,Data!$B:$E,4,FALSE)</f>
        <v>#N/A</v>
      </c>
      <c r="I67" s="140" t="e">
        <f>VLOOKUP(W67,Data!$B:$E,4,FALSE)</f>
        <v>#N/A</v>
      </c>
      <c r="J67" s="141" t="e">
        <f>VLOOKUP(X67,Data!$B:$E,4,FALSE)</f>
        <v>#N/A</v>
      </c>
      <c r="O67" s="77" t="s">
        <v>549</v>
      </c>
      <c r="P67" s="142" t="s">
        <v>550</v>
      </c>
      <c r="Q67" s="78" t="s">
        <v>551</v>
      </c>
      <c r="R67" s="78" t="s">
        <v>552</v>
      </c>
      <c r="S67" s="78" t="s">
        <v>553</v>
      </c>
      <c r="T67" s="78" t="s">
        <v>554</v>
      </c>
      <c r="U67" s="78" t="s">
        <v>555</v>
      </c>
      <c r="V67" s="76" t="s">
        <v>556</v>
      </c>
      <c r="W67" s="78" t="s">
        <v>557</v>
      </c>
      <c r="X67" s="76" t="s">
        <v>558</v>
      </c>
    </row>
    <row r="68">
      <c r="A68" s="147" t="str">
        <f>Translation!A88</f>
        <v>TOTAL DE VENDAS - LINHA &gt; 500 cc</v>
      </c>
      <c r="B68" s="142" t="s">
        <v>559</v>
      </c>
      <c r="C68" s="108" t="e">
        <f>VLOOKUP(Q68,Data!$B:$E,4,FALSE)</f>
        <v>#N/A</v>
      </c>
      <c r="D68" s="141" t="e">
        <f>VLOOKUP(R68,Data!$B:$E,4,FALSE)</f>
        <v>#N/A</v>
      </c>
      <c r="E68" s="141" t="e">
        <f>VLOOKUP(S68,Data!$B:$E,4,FALSE)</f>
        <v>#N/A</v>
      </c>
      <c r="F68" s="141" t="e">
        <f>VLOOKUP(T68,Data!$B:$E,4,FALSE)</f>
        <v>#N/A</v>
      </c>
      <c r="G68" s="141" t="e">
        <f>VLOOKUP(U68,Data!$B:$E,4,FALSE)</f>
        <v>#N/A</v>
      </c>
      <c r="H68" s="141" t="e">
        <f>VLOOKUP(V68,Data!$B:$E,4,FALSE)</f>
        <v>#N/A</v>
      </c>
      <c r="I68" s="141" t="e">
        <f>VLOOKUP(W68,Data!$B:$E,4,FALSE)</f>
        <v>#N/A</v>
      </c>
      <c r="J68" s="141" t="e">
        <f>VLOOKUP(X68,Data!$B:$E,4,FALSE)</f>
        <v>#N/A</v>
      </c>
      <c r="O68" s="48" t="s">
        <v>560</v>
      </c>
      <c r="P68" s="38" t="s">
        <v>559</v>
      </c>
      <c r="Q68" s="76" t="s">
        <v>561</v>
      </c>
      <c r="R68" s="76" t="s">
        <v>562</v>
      </c>
      <c r="S68" s="76" t="s">
        <v>563</v>
      </c>
      <c r="T68" s="76" t="s">
        <v>564</v>
      </c>
      <c r="U68" s="76" t="s">
        <v>565</v>
      </c>
      <c r="V68" s="76" t="s">
        <v>566</v>
      </c>
      <c r="W68" s="76" t="s">
        <v>567</v>
      </c>
      <c r="X68" s="76" t="s">
        <v>568</v>
      </c>
    </row>
    <row r="69">
      <c r="A69" s="77" t="str">
        <f>Translation!A89</f>
        <v>TOTAL OUTROS</v>
      </c>
      <c r="B69" s="142" t="s">
        <v>569</v>
      </c>
      <c r="C69" s="107" t="e">
        <f>VLOOKUP(Q69,Data!$B:$E,4,FALSE)</f>
        <v>#N/A</v>
      </c>
      <c r="D69" s="140" t="e">
        <f>VLOOKUP(R69,Data!$B:$E,4,FALSE)</f>
        <v>#N/A</v>
      </c>
      <c r="E69" s="140" t="e">
        <f>VLOOKUP(S69,Data!$B:$E,4,FALSE)</f>
        <v>#N/A</v>
      </c>
      <c r="F69" s="140" t="e">
        <f>VLOOKUP(T69,Data!$B:$E,4,FALSE)</f>
        <v>#N/A</v>
      </c>
      <c r="G69" s="140" t="e">
        <f>VLOOKUP(U69,Data!$B:$E,4,FALSE)</f>
        <v>#N/A</v>
      </c>
      <c r="H69" s="141" t="e">
        <f>VLOOKUP(V69,Data!$B:$E,4,FALSE)</f>
        <v>#N/A</v>
      </c>
      <c r="I69" s="140" t="e">
        <f>VLOOKUP(W69,Data!$B:$E,4,FALSE)</f>
        <v>#N/A</v>
      </c>
      <c r="J69" s="141" t="e">
        <f>VLOOKUP(X69,Data!$B:$E,4,FALSE)</f>
        <v>#N/A</v>
      </c>
      <c r="O69" s="77" t="s">
        <v>570</v>
      </c>
      <c r="P69" s="38" t="s">
        <v>569</v>
      </c>
      <c r="Q69" s="78" t="s">
        <v>571</v>
      </c>
      <c r="R69" s="78" t="s">
        <v>572</v>
      </c>
      <c r="S69" s="78" t="s">
        <v>573</v>
      </c>
      <c r="T69" s="78" t="s">
        <v>574</v>
      </c>
      <c r="U69" s="78" t="s">
        <v>575</v>
      </c>
      <c r="V69" s="76" t="s">
        <v>576</v>
      </c>
      <c r="W69" s="78" t="s">
        <v>577</v>
      </c>
      <c r="X69" s="76" t="s">
        <v>578</v>
      </c>
    </row>
    <row r="70">
      <c r="A70" s="147" t="str">
        <f>Translation!A90</f>
        <v>TOTAL DE VENDAS DE NOVOS - MOTOCICLETAS</v>
      </c>
      <c r="B70" s="142" t="s">
        <v>579</v>
      </c>
      <c r="C70" s="108" t="e">
        <f>VLOOKUP(Q70,Data!$B:$E,4,FALSE)</f>
        <v>#N/A</v>
      </c>
      <c r="D70" s="141" t="e">
        <f>VLOOKUP(R70,Data!$B:$E,4,FALSE)</f>
        <v>#N/A</v>
      </c>
      <c r="E70" s="141" t="e">
        <f>VLOOKUP(S70,Data!$B:$E,4,FALSE)</f>
        <v>#N/A</v>
      </c>
      <c r="F70" s="141" t="e">
        <f>VLOOKUP(T70,Data!$B:$E,4,FALSE)</f>
        <v>#N/A</v>
      </c>
      <c r="G70" s="141" t="e">
        <f>VLOOKUP(U70,Data!$B:$E,4,FALSE)</f>
        <v>#N/A</v>
      </c>
      <c r="H70" s="141" t="e">
        <f>VLOOKUP(V70,Data!$B:$E,4,FALSE)</f>
        <v>#N/A</v>
      </c>
      <c r="I70" s="141" t="e">
        <f>VLOOKUP(W70,Data!$B:$E,4,FALSE)</f>
        <v>#N/A</v>
      </c>
      <c r="J70" s="141" t="e">
        <f>VLOOKUP(X70,Data!$B:$E,4,FALSE)</f>
        <v>#N/A</v>
      </c>
      <c r="O70" s="48" t="s">
        <v>580</v>
      </c>
      <c r="P70" s="38" t="s">
        <v>579</v>
      </c>
      <c r="Q70" s="76" t="s">
        <v>581</v>
      </c>
      <c r="R70" s="76" t="s">
        <v>582</v>
      </c>
      <c r="S70" s="76" t="s">
        <v>583</v>
      </c>
      <c r="T70" s="76" t="s">
        <v>584</v>
      </c>
      <c r="U70" s="76" t="s">
        <v>585</v>
      </c>
      <c r="V70" s="76" t="s">
        <v>586</v>
      </c>
      <c r="W70" s="76" t="s">
        <v>587</v>
      </c>
      <c r="X70" s="76" t="s">
        <v>588</v>
      </c>
    </row>
    <row r="71" ht="30">
      <c r="A71" s="145" t="str">
        <f>Translation!A91</f>
        <v>LINHA NÁUTICA</v>
      </c>
      <c r="B71" s="142" t="str">
        <f>Translation!$G$32</f>
        <v>CONTA</v>
      </c>
      <c r="C71" s="121" t="str">
        <f>Translation!$G$12</f>
        <v>UNIDADES</v>
      </c>
      <c r="D71" s="120" t="str">
        <f>Translation!$G$11</f>
        <v>RECEITA
(SEM IMPOSTOS)</v>
      </c>
      <c r="E71" s="120" t="str">
        <f>Translation!$G$33</f>
        <v>UNIDADES DEVOLVIDAS</v>
      </c>
      <c r="F71" s="120" t="str">
        <f>Translation!$G$14</f>
        <v>DEVOLUÇÃO
DE VENDAS</v>
      </c>
      <c r="G71" s="120" t="str">
        <f>Translation!$G$3</f>
        <v>ABAT. E DESCONTO</v>
      </c>
      <c r="H71" s="120" t="str">
        <f>Translation!$G$9</f>
        <v>RECEITA LÍQUIDA</v>
      </c>
      <c r="I71" s="121" t="str">
        <f>Translation!$G$2</f>
        <v>CUSTO</v>
      </c>
      <c r="J71" s="121" t="str">
        <f>Translation!$G$5</f>
        <v>LUCRO BRUTO</v>
      </c>
      <c r="O71" s="73" t="s">
        <v>589</v>
      </c>
      <c r="P71" s="38" t="str">
        <f>Translation!$G$32</f>
        <v>CONTA</v>
      </c>
      <c r="Q71" s="74" t="s">
        <v>2</v>
      </c>
      <c r="R71" s="74" t="s">
        <v>3</v>
      </c>
      <c r="S71" s="74" t="s">
        <v>4</v>
      </c>
      <c r="T71" s="74" t="s">
        <v>5</v>
      </c>
      <c r="U71" s="74" t="s">
        <v>6</v>
      </c>
      <c r="V71" s="74" t="s">
        <v>7</v>
      </c>
      <c r="W71" s="74" t="s">
        <v>8</v>
      </c>
      <c r="X71" s="74" t="s">
        <v>9</v>
      </c>
    </row>
    <row r="72">
      <c r="A72" s="77" t="str">
        <f>Translation!A92</f>
        <v>MOTORES</v>
      </c>
      <c r="B72" s="142" t="s">
        <v>590</v>
      </c>
      <c r="C72" s="107" t="e">
        <f>VLOOKUP(Q72,Data!$B:$E,4,FALSE)</f>
        <v>#N/A</v>
      </c>
      <c r="D72" s="140" t="e">
        <f>VLOOKUP(R72,Data!$B:$E,4,FALSE)</f>
        <v>#N/A</v>
      </c>
      <c r="E72" s="140" t="e">
        <f>VLOOKUP(S72,Data!$B:$E,4,FALSE)</f>
        <v>#N/A</v>
      </c>
      <c r="F72" s="140" t="e">
        <f>VLOOKUP(T72,Data!$B:$E,4,FALSE)</f>
        <v>#N/A</v>
      </c>
      <c r="G72" s="140" t="e">
        <f>VLOOKUP(U72,Data!$B:$E,4,FALSE)</f>
        <v>#N/A</v>
      </c>
      <c r="H72" s="141" t="e">
        <f>VLOOKUP(V72,Data!$B:$E,4,FALSE)</f>
        <v>#N/A</v>
      </c>
      <c r="I72" s="140" t="e">
        <f>VLOOKUP(W72,Data!$B:$E,4,FALSE)</f>
        <v>#N/A</v>
      </c>
      <c r="J72" s="141" t="e">
        <f>VLOOKUP(X72,Data!$B:$E,4,FALSE)</f>
        <v>#N/A</v>
      </c>
      <c r="O72" s="77" t="s">
        <v>591</v>
      </c>
      <c r="P72" s="38" t="s">
        <v>590</v>
      </c>
      <c r="Q72" s="78" t="s">
        <v>592</v>
      </c>
      <c r="R72" s="78" t="s">
        <v>593</v>
      </c>
      <c r="S72" s="78" t="s">
        <v>594</v>
      </c>
      <c r="T72" s="78" t="s">
        <v>595</v>
      </c>
      <c r="U72" s="78" t="s">
        <v>596</v>
      </c>
      <c r="V72" s="76" t="s">
        <v>597</v>
      </c>
      <c r="W72" s="78" t="s">
        <v>598</v>
      </c>
      <c r="X72" s="76" t="s">
        <v>599</v>
      </c>
    </row>
    <row r="73">
      <c r="A73" s="77" t="str">
        <f>Translation!A93</f>
        <v>WAVERUNNER</v>
      </c>
      <c r="B73" s="142" t="s">
        <v>600</v>
      </c>
      <c r="C73" s="107" t="e">
        <f>VLOOKUP(Q73,Data!$B:$E,4,FALSE)</f>
        <v>#N/A</v>
      </c>
      <c r="D73" s="140" t="e">
        <f>VLOOKUP(R73,Data!$B:$E,4,FALSE)</f>
        <v>#N/A</v>
      </c>
      <c r="E73" s="140" t="e">
        <f>VLOOKUP(S73,Data!$B:$E,4,FALSE)</f>
        <v>#N/A</v>
      </c>
      <c r="F73" s="140" t="e">
        <f>VLOOKUP(T73,Data!$B:$E,4,FALSE)</f>
        <v>#N/A</v>
      </c>
      <c r="G73" s="140" t="e">
        <f>VLOOKUP(U73,Data!$B:$E,4,FALSE)</f>
        <v>#N/A</v>
      </c>
      <c r="H73" s="141" t="e">
        <f>VLOOKUP(V73,Data!$B:$E,4,FALSE)</f>
        <v>#N/A</v>
      </c>
      <c r="I73" s="140" t="e">
        <f>VLOOKUP(W73,Data!$B:$E,4,FALSE)</f>
        <v>#N/A</v>
      </c>
      <c r="J73" s="141" t="e">
        <f>VLOOKUP(X73,Data!$B:$E,4,FALSE)</f>
        <v>#N/A</v>
      </c>
      <c r="O73" s="77" t="s">
        <v>601</v>
      </c>
      <c r="P73" s="38" t="s">
        <v>600</v>
      </c>
      <c r="Q73" s="78" t="s">
        <v>602</v>
      </c>
      <c r="R73" s="78" t="s">
        <v>603</v>
      </c>
      <c r="S73" s="78" t="s">
        <v>604</v>
      </c>
      <c r="T73" s="78" t="s">
        <v>605</v>
      </c>
      <c r="U73" s="78" t="s">
        <v>606</v>
      </c>
      <c r="V73" s="76" t="s">
        <v>607</v>
      </c>
      <c r="W73" s="78" t="s">
        <v>608</v>
      </c>
      <c r="X73" s="76" t="s">
        <v>609</v>
      </c>
    </row>
    <row r="74">
      <c r="A74" s="147" t="str">
        <f>Translation!A94</f>
        <v>TOTAL DE VENDAS - LINHA NAÚTICA</v>
      </c>
      <c r="B74" s="142" t="s">
        <v>610</v>
      </c>
      <c r="C74" s="108" t="e">
        <f>VLOOKUP(Q74,Data!$B:$E,4,FALSE)</f>
        <v>#N/A</v>
      </c>
      <c r="D74" s="141" t="e">
        <f>VLOOKUP(R74,Data!$B:$E,4,FALSE)</f>
        <v>#N/A</v>
      </c>
      <c r="E74" s="141" t="e">
        <f>VLOOKUP(S74,Data!$B:$E,4,FALSE)</f>
        <v>#N/A</v>
      </c>
      <c r="F74" s="141" t="e">
        <f>VLOOKUP(T74,Data!$B:$E,4,FALSE)</f>
        <v>#N/A</v>
      </c>
      <c r="G74" s="141" t="e">
        <f>VLOOKUP(U74,Data!$B:$E,4,FALSE)</f>
        <v>#N/A</v>
      </c>
      <c r="H74" s="141" t="e">
        <f>VLOOKUP(V74,Data!$B:$E,4,FALSE)</f>
        <v>#N/A</v>
      </c>
      <c r="I74" s="141" t="e">
        <f>VLOOKUP(W74,Data!$B:$E,4,FALSE)</f>
        <v>#N/A</v>
      </c>
      <c r="J74" s="141" t="e">
        <f>VLOOKUP(X74,Data!$B:$E,4,FALSE)</f>
        <v>#N/A</v>
      </c>
      <c r="O74" s="48" t="s">
        <v>611</v>
      </c>
      <c r="P74" s="38" t="s">
        <v>610</v>
      </c>
      <c r="Q74" s="76" t="s">
        <v>612</v>
      </c>
      <c r="R74" s="76" t="s">
        <v>613</v>
      </c>
      <c r="S74" s="76" t="s">
        <v>614</v>
      </c>
      <c r="T74" s="76" t="s">
        <v>615</v>
      </c>
      <c r="U74" s="76" t="s">
        <v>616</v>
      </c>
      <c r="V74" s="76" t="s">
        <v>617</v>
      </c>
      <c r="W74" s="76" t="s">
        <v>618</v>
      </c>
      <c r="X74" s="76" t="s">
        <v>619</v>
      </c>
    </row>
    <row r="75" ht="30">
      <c r="A75" s="145" t="str">
        <f>Translation!A95</f>
        <v>LINHA QUADRICICLOS</v>
      </c>
      <c r="B75" s="142" t="str">
        <f>Translation!$G$32</f>
        <v>CONTA</v>
      </c>
      <c r="C75" s="121" t="str">
        <f>Translation!$G$12</f>
        <v>UNIDADES</v>
      </c>
      <c r="D75" s="120" t="str">
        <f>Translation!$G$11</f>
        <v>RECEITA
(SEM IMPOSTOS)</v>
      </c>
      <c r="E75" s="120" t="str">
        <f>Translation!$G$33</f>
        <v>UNIDADES DEVOLVIDAS</v>
      </c>
      <c r="F75" s="120" t="str">
        <f>Translation!$G$14</f>
        <v>DEVOLUÇÃO
DE VENDAS</v>
      </c>
      <c r="G75" s="120" t="str">
        <f>Translation!$G$3</f>
        <v>ABAT. E DESCONTO</v>
      </c>
      <c r="H75" s="120" t="str">
        <f>Translation!$G$9</f>
        <v>RECEITA LÍQUIDA</v>
      </c>
      <c r="I75" s="121" t="str">
        <f>Translation!$G$2</f>
        <v>CUSTO</v>
      </c>
      <c r="J75" s="121" t="str">
        <f>Translation!$G$5</f>
        <v>LUCRO BRUTO</v>
      </c>
      <c r="O75" s="73" t="s">
        <v>620</v>
      </c>
      <c r="P75" s="38" t="str">
        <f>Translation!$G$32</f>
        <v>CONTA</v>
      </c>
      <c r="Q75" s="74" t="s">
        <v>2</v>
      </c>
      <c r="R75" s="74" t="s">
        <v>3</v>
      </c>
      <c r="S75" s="74" t="s">
        <v>4</v>
      </c>
      <c r="T75" s="74" t="s">
        <v>5</v>
      </c>
      <c r="U75" s="74" t="s">
        <v>6</v>
      </c>
      <c r="V75" s="74" t="s">
        <v>7</v>
      </c>
      <c r="W75" s="74" t="s">
        <v>8</v>
      </c>
      <c r="X75" s="74" t="s">
        <v>9</v>
      </c>
    </row>
    <row r="76">
      <c r="A76" s="77" t="str">
        <f>Translation!A96</f>
        <v>MODELO 1</v>
      </c>
      <c r="B76" s="142" t="s">
        <v>621</v>
      </c>
      <c r="C76" s="107" t="e">
        <f>VLOOKUP(Q76,Data!$B:$E,4,FALSE)</f>
        <v>#N/A</v>
      </c>
      <c r="D76" s="140" t="e">
        <f>VLOOKUP(R76,Data!$B:$E,4,FALSE)</f>
        <v>#N/A</v>
      </c>
      <c r="E76" s="140" t="e">
        <f>VLOOKUP(S76,Data!$B:$E,4,FALSE)</f>
        <v>#N/A</v>
      </c>
      <c r="F76" s="140" t="e">
        <f>VLOOKUP(T76,Data!$B:$E,4,FALSE)</f>
        <v>#N/A</v>
      </c>
      <c r="G76" s="140" t="e">
        <f>VLOOKUP(U76,Data!$B:$E,4,FALSE)</f>
        <v>#N/A</v>
      </c>
      <c r="H76" s="141" t="e">
        <f>VLOOKUP(V76,Data!$B:$E,4,FALSE)</f>
        <v>#N/A</v>
      </c>
      <c r="I76" s="140" t="e">
        <f>VLOOKUP(W76,Data!$B:$E,4,FALSE)</f>
        <v>#N/A</v>
      </c>
      <c r="J76" s="141" t="e">
        <f>VLOOKUP(X76,Data!$B:$E,4,FALSE)</f>
        <v>#N/A</v>
      </c>
      <c r="O76" s="77" t="s">
        <v>622</v>
      </c>
      <c r="P76" s="38" t="s">
        <v>621</v>
      </c>
      <c r="Q76" s="78" t="s">
        <v>623</v>
      </c>
      <c r="R76" s="78" t="s">
        <v>624</v>
      </c>
      <c r="S76" s="78" t="s">
        <v>625</v>
      </c>
      <c r="T76" s="78" t="s">
        <v>626</v>
      </c>
      <c r="U76" s="78" t="s">
        <v>627</v>
      </c>
      <c r="V76" s="76" t="s">
        <v>628</v>
      </c>
      <c r="W76" s="78" t="s">
        <v>629</v>
      </c>
      <c r="X76" s="76" t="s">
        <v>630</v>
      </c>
    </row>
    <row r="77">
      <c r="A77" s="77" t="str">
        <f>Translation!A97</f>
        <v>MODELO 2</v>
      </c>
      <c r="B77" s="142" t="s">
        <v>631</v>
      </c>
      <c r="C77" s="107" t="e">
        <f>VLOOKUP(Q77,Data!$B:$E,4,FALSE)</f>
        <v>#N/A</v>
      </c>
      <c r="D77" s="140" t="e">
        <f>VLOOKUP(R77,Data!$B:$E,4,FALSE)</f>
        <v>#N/A</v>
      </c>
      <c r="E77" s="140" t="e">
        <f>VLOOKUP(S77,Data!$B:$E,4,FALSE)</f>
        <v>#N/A</v>
      </c>
      <c r="F77" s="140" t="e">
        <f>VLOOKUP(T77,Data!$B:$E,4,FALSE)</f>
        <v>#N/A</v>
      </c>
      <c r="G77" s="140" t="e">
        <f>VLOOKUP(U77,Data!$B:$E,4,FALSE)</f>
        <v>#N/A</v>
      </c>
      <c r="H77" s="141" t="e">
        <f>VLOOKUP(V77,Data!$B:$E,4,FALSE)</f>
        <v>#N/A</v>
      </c>
      <c r="I77" s="140" t="e">
        <f>VLOOKUP(W77,Data!$B:$E,4,FALSE)</f>
        <v>#N/A</v>
      </c>
      <c r="J77" s="141" t="e">
        <f>VLOOKUP(X77,Data!$B:$E,4,FALSE)</f>
        <v>#N/A</v>
      </c>
      <c r="O77" s="77" t="s">
        <v>632</v>
      </c>
      <c r="P77" s="38" t="s">
        <v>631</v>
      </c>
      <c r="Q77" s="78" t="s">
        <v>633</v>
      </c>
      <c r="R77" s="78" t="s">
        <v>634</v>
      </c>
      <c r="S77" s="78" t="s">
        <v>635</v>
      </c>
      <c r="T77" s="78" t="s">
        <v>636</v>
      </c>
      <c r="U77" s="78" t="s">
        <v>637</v>
      </c>
      <c r="V77" s="76" t="s">
        <v>638</v>
      </c>
      <c r="W77" s="78" t="s">
        <v>639</v>
      </c>
      <c r="X77" s="76" t="s">
        <v>640</v>
      </c>
    </row>
    <row r="78">
      <c r="A78" s="77" t="str">
        <f>Translation!A98</f>
        <v>MODELO 3</v>
      </c>
      <c r="B78" s="142" t="s">
        <v>641</v>
      </c>
      <c r="C78" s="107" t="e">
        <f>VLOOKUP(Q78,Data!$B:$E,4,FALSE)</f>
        <v>#N/A</v>
      </c>
      <c r="D78" s="140" t="e">
        <f>VLOOKUP(R78,Data!$B:$E,4,FALSE)</f>
        <v>#N/A</v>
      </c>
      <c r="E78" s="140" t="e">
        <f>VLOOKUP(S78,Data!$B:$E,4,FALSE)</f>
        <v>#N/A</v>
      </c>
      <c r="F78" s="140" t="e">
        <f>VLOOKUP(T78,Data!$B:$E,4,FALSE)</f>
        <v>#N/A</v>
      </c>
      <c r="G78" s="140" t="e">
        <f>VLOOKUP(U78,Data!$B:$E,4,FALSE)</f>
        <v>#N/A</v>
      </c>
      <c r="H78" s="141" t="e">
        <f>VLOOKUP(V78,Data!$B:$E,4,FALSE)</f>
        <v>#N/A</v>
      </c>
      <c r="I78" s="140" t="e">
        <f>VLOOKUP(W78,Data!$B:$E,4,FALSE)</f>
        <v>#N/A</v>
      </c>
      <c r="J78" s="141" t="e">
        <f>VLOOKUP(X78,Data!$B:$E,4,FALSE)</f>
        <v>#N/A</v>
      </c>
      <c r="O78" s="77" t="s">
        <v>642</v>
      </c>
      <c r="P78" s="38" t="s">
        <v>641</v>
      </c>
      <c r="Q78" s="78" t="s">
        <v>643</v>
      </c>
      <c r="R78" s="78" t="s">
        <v>644</v>
      </c>
      <c r="S78" s="78" t="s">
        <v>645</v>
      </c>
      <c r="T78" s="78" t="s">
        <v>646</v>
      </c>
      <c r="U78" s="78" t="s">
        <v>647</v>
      </c>
      <c r="V78" s="76" t="s">
        <v>648</v>
      </c>
      <c r="W78" s="78" t="s">
        <v>649</v>
      </c>
      <c r="X78" s="76" t="s">
        <v>650</v>
      </c>
    </row>
    <row r="79">
      <c r="A79" s="147" t="str">
        <f>Translation!A99</f>
        <v>TOTAL DE VENDAS - LINHA QUADRICICLOS</v>
      </c>
      <c r="B79" s="142" t="s">
        <v>651</v>
      </c>
      <c r="C79" s="108" t="e">
        <f>VLOOKUP(Q79,Data!$B:$E,4,FALSE)</f>
        <v>#N/A</v>
      </c>
      <c r="D79" s="141" t="e">
        <f>VLOOKUP(R79,Data!$B:$E,4,FALSE)</f>
        <v>#N/A</v>
      </c>
      <c r="E79" s="141" t="e">
        <f>VLOOKUP(S79,Data!$B:$E,4,FALSE)</f>
        <v>#N/A</v>
      </c>
      <c r="F79" s="141" t="e">
        <f>VLOOKUP(T79,Data!$B:$E,4,FALSE)</f>
        <v>#N/A</v>
      </c>
      <c r="G79" s="141" t="e">
        <f>VLOOKUP(U79,Data!$B:$E,4,FALSE)</f>
        <v>#N/A</v>
      </c>
      <c r="H79" s="141" t="e">
        <f>VLOOKUP(V79,Data!$B:$E,4,FALSE)</f>
        <v>#N/A</v>
      </c>
      <c r="I79" s="141" t="e">
        <f>VLOOKUP(W79,Data!$B:$E,4,FALSE)</f>
        <v>#N/A</v>
      </c>
      <c r="J79" s="141" t="e">
        <f>VLOOKUP(X79,Data!$B:$E,4,FALSE)</f>
        <v>#N/A</v>
      </c>
      <c r="O79" s="48" t="s">
        <v>652</v>
      </c>
      <c r="P79" s="38" t="s">
        <v>651</v>
      </c>
      <c r="Q79" s="76" t="s">
        <v>653</v>
      </c>
      <c r="R79" s="76" t="s">
        <v>654</v>
      </c>
      <c r="S79" s="76" t="s">
        <v>655</v>
      </c>
      <c r="T79" s="76" t="s">
        <v>656</v>
      </c>
      <c r="U79" s="76" t="s">
        <v>657</v>
      </c>
      <c r="V79" s="76" t="s">
        <v>658</v>
      </c>
      <c r="W79" s="76" t="s">
        <v>659</v>
      </c>
      <c r="X79" s="76" t="s">
        <v>660</v>
      </c>
    </row>
    <row r="80">
      <c r="A80" s="147" t="str">
        <f>Translation!A100</f>
        <v>TOTAL DE VENDAS DE VEÍCULOS</v>
      </c>
      <c r="B80" s="142" t="s">
        <v>661</v>
      </c>
      <c r="C80" s="108" t="e">
        <f>VLOOKUP(Q80,Data!$B:$E,4,FALSE)</f>
        <v>#N/A</v>
      </c>
      <c r="D80" s="141" t="e">
        <f>VLOOKUP(R80,Data!$B:$E,4,FALSE)</f>
        <v>#N/A</v>
      </c>
      <c r="E80" s="141" t="e">
        <f>VLOOKUP(S80,Data!$B:$E,4,FALSE)</f>
        <v>#N/A</v>
      </c>
      <c r="F80" s="141" t="e">
        <f>VLOOKUP(T80,Data!$B:$E,4,FALSE)</f>
        <v>#N/A</v>
      </c>
      <c r="G80" s="141" t="e">
        <f>VLOOKUP(U80,Data!$B:$E,4,FALSE)</f>
        <v>#N/A</v>
      </c>
      <c r="H80" s="141" t="e">
        <f>VLOOKUP(V80,Data!$B:$E,4,FALSE)</f>
        <v>#N/A</v>
      </c>
      <c r="I80" s="141" t="e">
        <f>VLOOKUP(W80,Data!$B:$E,4,FALSE)</f>
        <v>#N/A</v>
      </c>
      <c r="J80" s="141" t="e">
        <f>VLOOKUP(X80,Data!$B:$E,4,FALSE)</f>
        <v>#N/A</v>
      </c>
      <c r="O80" s="48" t="s">
        <v>662</v>
      </c>
      <c r="P80" s="38" t="s">
        <v>661</v>
      </c>
      <c r="Q80" s="76" t="s">
        <v>663</v>
      </c>
      <c r="R80" s="76" t="s">
        <v>664</v>
      </c>
      <c r="S80" s="76" t="s">
        <v>665</v>
      </c>
      <c r="T80" s="76" t="s">
        <v>666</v>
      </c>
      <c r="U80" s="76" t="s">
        <v>667</v>
      </c>
      <c r="V80" s="76" t="s">
        <v>668</v>
      </c>
      <c r="W80" s="76" t="s">
        <v>669</v>
      </c>
      <c r="X80" s="76" t="s">
        <v>670</v>
      </c>
    </row>
    <row r="81">
      <c r="A81" s="145" t="str">
        <f>Translation!A101</f>
        <v>OUTRAS RECEITAS OPERACIONAIS</v>
      </c>
      <c r="B81" s="142" t="str">
        <f>Translation!$G$32</f>
        <v>CONTA</v>
      </c>
      <c r="C81" s="121" t="str">
        <f>Translation!$G$1</f>
        <v>VALOR</v>
      </c>
      <c r="D81" s="109"/>
      <c r="E81" s="109"/>
      <c r="F81" s="109"/>
      <c r="G81" s="109"/>
      <c r="H81" s="109"/>
      <c r="I81" s="109"/>
      <c r="O81" s="73" t="s">
        <v>671</v>
      </c>
      <c r="P81" s="38" t="str">
        <f>Translation!$G$32</f>
        <v>CONTA</v>
      </c>
      <c r="Q81" s="79" t="str">
        <f>Translation!$G$1</f>
        <v>VALOR</v>
      </c>
    </row>
    <row r="82">
      <c r="A82" s="77" t="str">
        <f>Translation!A102</f>
        <v>INCENTIVOS DE VAREJO</v>
      </c>
      <c r="B82" s="142" t="s">
        <v>672</v>
      </c>
      <c r="C82" s="140" t="e">
        <f>VLOOKUP(Q82,Data!$B:$E,4,FALSE)</f>
        <v>#N/A</v>
      </c>
      <c r="D82" s="109"/>
      <c r="E82" s="109"/>
      <c r="F82" s="109"/>
      <c r="G82" s="109"/>
      <c r="H82" s="109"/>
      <c r="I82" s="109"/>
      <c r="O82" s="77" t="s">
        <v>673</v>
      </c>
      <c r="P82" s="38" t="s">
        <v>672</v>
      </c>
      <c r="Q82" s="80" t="s">
        <v>674</v>
      </c>
    </row>
    <row r="83">
      <c r="A83" s="77" t="str">
        <f>Translation!A103</f>
        <v>BONIFICAÇÕES 1</v>
      </c>
      <c r="B83" s="142" t="s">
        <v>675</v>
      </c>
      <c r="C83" s="140" t="e">
        <f>VLOOKUP(Q83,Data!$B:$E,4,FALSE)</f>
        <v>#N/A</v>
      </c>
      <c r="D83" s="109"/>
      <c r="E83" s="109"/>
      <c r="F83" s="109"/>
      <c r="G83" s="109"/>
      <c r="H83" s="109"/>
      <c r="I83" s="109"/>
      <c r="O83" s="77" t="s">
        <v>676</v>
      </c>
      <c r="P83" s="38" t="s">
        <v>675</v>
      </c>
      <c r="Q83" s="80" t="s">
        <v>677</v>
      </c>
    </row>
    <row r="84">
      <c r="A84" s="77" t="str">
        <f>Translation!A104</f>
        <v>BONIFICAÇÕES 2</v>
      </c>
      <c r="B84" s="142" t="s">
        <v>678</v>
      </c>
      <c r="C84" s="140" t="e">
        <f>VLOOKUP(Q84,Data!$B:$E,4,FALSE)</f>
        <v>#N/A</v>
      </c>
      <c r="D84" s="109"/>
      <c r="E84" s="109"/>
      <c r="F84" s="109"/>
      <c r="G84" s="109"/>
      <c r="H84" s="109"/>
      <c r="I84" s="109"/>
      <c r="O84" s="77" t="s">
        <v>679</v>
      </c>
      <c r="P84" s="38" t="s">
        <v>678</v>
      </c>
      <c r="Q84" s="80" t="s">
        <v>680</v>
      </c>
    </row>
    <row r="85">
      <c r="A85" s="77" t="str">
        <f>Translation!A105</f>
        <v>COMISSÕES DIVERSAS</v>
      </c>
      <c r="B85" s="142" t="s">
        <v>681</v>
      </c>
      <c r="C85" s="140" t="e">
        <f>VLOOKUP(Q85,Data!$B:$E,4,FALSE)</f>
        <v>#N/A</v>
      </c>
      <c r="D85" s="109"/>
      <c r="E85" s="109"/>
      <c r="F85" s="109"/>
      <c r="G85" s="109"/>
      <c r="H85" s="109"/>
      <c r="I85" s="109"/>
      <c r="O85" s="77" t="s">
        <v>682</v>
      </c>
      <c r="P85" s="38" t="s">
        <v>681</v>
      </c>
      <c r="Q85" s="80" t="s">
        <v>683</v>
      </c>
    </row>
    <row r="86">
      <c r="A86" s="77" t="str">
        <f>Translation!A106</f>
        <v>OUTRAS RECEITAS</v>
      </c>
      <c r="B86" s="142" t="s">
        <v>684</v>
      </c>
      <c r="C86" s="140" t="e">
        <f>VLOOKUP(Q86,Data!$B:$E,4,FALSE)</f>
        <v>#N/A</v>
      </c>
      <c r="D86" s="109"/>
      <c r="E86" s="109"/>
      <c r="F86" s="109"/>
      <c r="G86" s="109"/>
      <c r="H86" s="109"/>
      <c r="I86" s="109"/>
      <c r="O86" s="77" t="s">
        <v>685</v>
      </c>
      <c r="P86" s="38" t="s">
        <v>684</v>
      </c>
      <c r="Q86" s="80" t="s">
        <v>686</v>
      </c>
    </row>
    <row r="87">
      <c r="A87" s="147" t="str">
        <f>Translation!A107</f>
        <v>TOTAL DE OUTRAS RECEITAS OPERACIONAIS</v>
      </c>
      <c r="B87" s="142" t="s">
        <v>687</v>
      </c>
      <c r="C87" s="141" t="e">
        <f>VLOOKUP(Q87,Data!$B:$E,4,FALSE)</f>
        <v>#N/A</v>
      </c>
      <c r="D87" s="109"/>
      <c r="E87" s="109"/>
      <c r="F87" s="109"/>
      <c r="G87" s="109"/>
      <c r="H87" s="109"/>
      <c r="I87" s="109"/>
      <c r="O87" s="48" t="s">
        <v>688</v>
      </c>
      <c r="P87" s="38" t="s">
        <v>687</v>
      </c>
      <c r="Q87" s="81" t="s">
        <v>689</v>
      </c>
    </row>
    <row r="88">
      <c r="A88" s="145" t="str">
        <f>Translation!A108</f>
        <v>DESPESAS VARIÁVEIS</v>
      </c>
      <c r="B88" s="142" t="str">
        <f>Translation!$G$32</f>
        <v>CONTA</v>
      </c>
      <c r="C88" s="121" t="str">
        <f>Translation!$G$1</f>
        <v>VALOR</v>
      </c>
      <c r="D88" s="109"/>
      <c r="E88" s="109"/>
      <c r="F88" s="109"/>
      <c r="G88" s="109"/>
      <c r="H88" s="109"/>
      <c r="I88" s="109"/>
      <c r="O88" s="73" t="s">
        <v>690</v>
      </c>
      <c r="P88" s="38" t="str">
        <f>Translation!$G$32</f>
        <v>CONTA</v>
      </c>
      <c r="Q88" s="79" t="str">
        <f>Translation!$G$1</f>
        <v>VALOR</v>
      </c>
    </row>
    <row r="89">
      <c r="A89" s="77" t="str">
        <f>Translation!A109</f>
        <v>COMISSÕES SOBRE VENDAS</v>
      </c>
      <c r="B89" s="142" t="s">
        <v>691</v>
      </c>
      <c r="C89" s="140" t="e">
        <f>VLOOKUP(Q89,Data!$B:$E,4,FALSE)</f>
        <v>#N/A</v>
      </c>
      <c r="D89" s="109"/>
      <c r="E89" s="109"/>
      <c r="F89" s="109"/>
      <c r="G89" s="109"/>
      <c r="H89" s="109"/>
      <c r="I89" s="109"/>
      <c r="O89" s="77" t="s">
        <v>692</v>
      </c>
      <c r="P89" s="38" t="s">
        <v>691</v>
      </c>
      <c r="Q89" s="80" t="s">
        <v>693</v>
      </c>
    </row>
    <row r="90">
      <c r="A90" s="77" t="str">
        <f>Translation!A110</f>
        <v>ENCARGOS SOBRE COMISSÕES (-)</v>
      </c>
      <c r="B90" s="142" t="s">
        <v>694</v>
      </c>
      <c r="C90" s="140" t="e">
        <f>VLOOKUP(Q90,Data!$B:$E,4,FALSE)</f>
        <v>#N/A</v>
      </c>
      <c r="D90" s="109"/>
      <c r="E90" s="109"/>
      <c r="F90" s="109"/>
      <c r="G90" s="109"/>
      <c r="H90" s="109"/>
      <c r="I90" s="109"/>
      <c r="O90" s="77" t="s">
        <v>695</v>
      </c>
      <c r="P90" s="38" t="s">
        <v>694</v>
      </c>
      <c r="Q90" s="80" t="s">
        <v>696</v>
      </c>
    </row>
    <row r="91">
      <c r="A91" s="77" t="str">
        <f>Translation!A111</f>
        <v>OUTRAS DESPESAS</v>
      </c>
      <c r="B91" s="142" t="s">
        <v>697</v>
      </c>
      <c r="C91" s="140" t="e">
        <f>VLOOKUP(Q91,Data!$B:$E,4,FALSE)</f>
        <v>#N/A</v>
      </c>
      <c r="D91" s="109"/>
      <c r="E91" s="109"/>
      <c r="F91" s="109"/>
      <c r="G91" s="109"/>
      <c r="H91" s="109"/>
      <c r="I91" s="109"/>
      <c r="O91" s="77" t="s">
        <v>698</v>
      </c>
      <c r="P91" s="38" t="s">
        <v>697</v>
      </c>
      <c r="Q91" s="80" t="s">
        <v>699</v>
      </c>
    </row>
    <row r="92">
      <c r="A92" s="147" t="str">
        <f>Translation!A112</f>
        <v>TOTAL DE DESPESAS VARIÁVEIS</v>
      </c>
      <c r="B92" s="142" t="s">
        <v>700</v>
      </c>
      <c r="C92" s="141" t="e">
        <f>VLOOKUP(Q92,Data!$B:$E,4,FALSE)</f>
        <v>#N/A</v>
      </c>
      <c r="D92" s="109"/>
      <c r="E92" s="109"/>
      <c r="F92" s="109"/>
      <c r="G92" s="109"/>
      <c r="H92" s="109"/>
      <c r="I92" s="109"/>
      <c r="O92" s="48" t="s">
        <v>701</v>
      </c>
      <c r="P92" s="38" t="s">
        <v>700</v>
      </c>
      <c r="Q92" s="81" t="s">
        <v>702</v>
      </c>
    </row>
    <row r="93">
      <c r="A93" s="149" t="str">
        <f>Translation!A113</f>
        <v>MARGEM DE CONTRIBUIÇÃO</v>
      </c>
      <c r="B93" s="142" t="str">
        <f>Translation!$G$32</f>
        <v>CONTA</v>
      </c>
      <c r="C93" s="121" t="str">
        <f>Translation!$G$1</f>
        <v>VALOR</v>
      </c>
      <c r="D93" s="109"/>
      <c r="E93" s="109"/>
      <c r="F93" s="109"/>
      <c r="G93" s="109"/>
      <c r="H93" s="109"/>
      <c r="I93" s="109"/>
      <c r="O93" s="27" t="s">
        <v>703</v>
      </c>
      <c r="P93" s="38" t="str">
        <f>Translation!$G$32</f>
        <v>CONTA</v>
      </c>
      <c r="Q93" s="79" t="str">
        <f>Translation!$G$1</f>
        <v>VALOR</v>
      </c>
    </row>
    <row r="94">
      <c r="A94" s="147" t="str">
        <f>Translation!A114</f>
        <v>MARGEM DE CONTRIBUIÇÃO</v>
      </c>
      <c r="B94" s="142" t="s">
        <v>704</v>
      </c>
      <c r="C94" s="141" t="e">
        <f>VLOOKUP(Q94,Data!$B:$E,4,FALSE)</f>
        <v>#N/A</v>
      </c>
      <c r="D94" s="109"/>
      <c r="E94" s="109"/>
      <c r="F94" s="109"/>
      <c r="G94" s="109"/>
      <c r="H94" s="109"/>
      <c r="I94" s="109"/>
      <c r="O94" s="48" t="s">
        <v>703</v>
      </c>
      <c r="P94" s="38" t="s">
        <v>704</v>
      </c>
      <c r="Q94" s="81" t="s">
        <v>705</v>
      </c>
    </row>
    <row r="95">
      <c r="A95" s="149" t="str">
        <f>Translation!A115</f>
        <v>DESPESAS</v>
      </c>
      <c r="B95" s="142" t="str">
        <f>Translation!$G$32</f>
        <v>CONTA</v>
      </c>
      <c r="C95" s="121" t="str">
        <f>Translation!$G$1</f>
        <v>VALOR</v>
      </c>
      <c r="D95" s="109"/>
      <c r="E95" s="109"/>
      <c r="F95" s="109"/>
      <c r="G95" s="109"/>
      <c r="H95" s="109"/>
      <c r="I95" s="109"/>
      <c r="O95" s="27" t="s">
        <v>706</v>
      </c>
      <c r="P95" s="38" t="str">
        <f>Translation!$G$32</f>
        <v>CONTA</v>
      </c>
      <c r="Q95" s="79" t="str">
        <f>Translation!$G$1</f>
        <v>VALOR</v>
      </c>
    </row>
    <row r="96">
      <c r="A96" s="147" t="str">
        <f>Translation!A116</f>
        <v>TOTAL DE DESPESAS COM PESSOAL (A)</v>
      </c>
      <c r="B96" s="143" t="s">
        <v>707</v>
      </c>
      <c r="C96" s="141" t="e">
        <f>VLOOKUP(Q96,Data!$B:$E,4,FALSE)</f>
        <v>#N/A</v>
      </c>
      <c r="D96" s="109"/>
      <c r="E96" s="109"/>
      <c r="F96" s="109"/>
      <c r="G96" s="109"/>
      <c r="H96" s="109"/>
      <c r="I96" s="109"/>
      <c r="O96" s="48" t="s">
        <v>708</v>
      </c>
      <c r="P96" s="39" t="s">
        <v>707</v>
      </c>
      <c r="Q96" s="81" t="s">
        <v>709</v>
      </c>
    </row>
    <row r="97">
      <c r="A97" s="147" t="str">
        <f>Translation!A117</f>
        <v>TOTAL DE DESPESAS COM ESTRUTURA - IMÓVEIS (B)</v>
      </c>
      <c r="B97" s="143" t="s">
        <v>710</v>
      </c>
      <c r="C97" s="141" t="e">
        <f>VLOOKUP(Q97,Data!$B:$E,4,FALSE)</f>
        <v>#N/A</v>
      </c>
      <c r="D97" s="109"/>
      <c r="E97" s="109"/>
      <c r="F97" s="109"/>
      <c r="G97" s="109"/>
      <c r="H97" s="109"/>
      <c r="I97" s="109"/>
      <c r="O97" s="48" t="s">
        <v>711</v>
      </c>
      <c r="P97" s="39" t="s">
        <v>710</v>
      </c>
      <c r="Q97" s="81" t="s">
        <v>712</v>
      </c>
    </row>
    <row r="98">
      <c r="A98" s="147" t="str">
        <f>Translation!A118</f>
        <v>TOTAL DE DESPESAS GERAIS (C)</v>
      </c>
      <c r="B98" s="143" t="s">
        <v>713</v>
      </c>
      <c r="C98" s="141" t="e">
        <f>VLOOKUP(Q98,Data!$B:$E,4,FALSE)</f>
        <v>#N/A</v>
      </c>
      <c r="D98" s="109"/>
      <c r="E98" s="109"/>
      <c r="F98" s="109"/>
      <c r="G98" s="109"/>
      <c r="H98" s="109"/>
      <c r="I98" s="109"/>
      <c r="O98" s="48" t="s">
        <v>714</v>
      </c>
      <c r="P98" s="39" t="s">
        <v>713</v>
      </c>
      <c r="Q98" s="81" t="s">
        <v>715</v>
      </c>
    </row>
    <row r="99">
      <c r="A99" s="147" t="str">
        <f>Translation!A119</f>
        <v>TOTAL DE DESPESAS FIXAS (A+B+C)</v>
      </c>
      <c r="B99" s="143" t="s">
        <v>716</v>
      </c>
      <c r="C99" s="141" t="e">
        <f>VLOOKUP(Q99,Data!$B:$E,4,FALSE)</f>
        <v>#N/A</v>
      </c>
      <c r="D99" s="109"/>
      <c r="E99" s="109"/>
      <c r="F99" s="109"/>
      <c r="G99" s="109"/>
      <c r="H99" s="109"/>
      <c r="I99" s="109"/>
      <c r="O99" s="48" t="s">
        <v>717</v>
      </c>
      <c r="P99" s="39" t="s">
        <v>716</v>
      </c>
      <c r="Q99" s="81" t="s">
        <v>718</v>
      </c>
    </row>
    <row r="100">
      <c r="A100" s="150" t="str">
        <f>Translation!A120</f>
        <v>LUCRO / PREJUÍZO OPERACIONAL</v>
      </c>
      <c r="B100" s="142" t="str">
        <f>Translation!$G$32</f>
        <v>CONTA</v>
      </c>
      <c r="C100" s="121" t="str">
        <f>Translation!$G$1</f>
        <v>VALOR</v>
      </c>
      <c r="D100" s="109"/>
      <c r="E100" s="109"/>
      <c r="F100" s="109"/>
      <c r="G100" s="109"/>
      <c r="H100" s="109"/>
      <c r="I100" s="109"/>
      <c r="O100" s="28" t="s">
        <v>719</v>
      </c>
      <c r="P100" s="38" t="str">
        <f>Translation!$G$32</f>
        <v>CONTA</v>
      </c>
      <c r="Q100" s="79" t="str">
        <f>Translation!$G$1</f>
        <v>VALOR</v>
      </c>
    </row>
    <row r="101">
      <c r="A101" s="147" t="str">
        <f>Translation!A121</f>
        <v>LUCRO / PREJUÍZO OPERACIONAL</v>
      </c>
      <c r="B101" s="142" t="s">
        <v>720</v>
      </c>
      <c r="C101" s="141" t="e">
        <f>VLOOKUP(Q101,Data!$B:$E,4,FALSE)</f>
        <v>#N/A</v>
      </c>
      <c r="D101" s="109"/>
      <c r="E101" s="109"/>
      <c r="F101" s="109"/>
      <c r="G101" s="109"/>
      <c r="H101" s="109"/>
      <c r="I101" s="109"/>
      <c r="O101" s="48" t="s">
        <v>719</v>
      </c>
      <c r="P101" s="38" t="s">
        <v>720</v>
      </c>
      <c r="Q101" s="81" t="s">
        <v>721</v>
      </c>
    </row>
    <row r="102">
      <c r="A102" s="150" t="str">
        <f>Translation!A122</f>
        <v>DESPESAS / RECEITAS NÃO-OPERACIONAIS E FINANCEIRAS </v>
      </c>
      <c r="B102" s="142" t="str">
        <f>Translation!$G$32</f>
        <v>CONTA</v>
      </c>
      <c r="C102" s="121" t="str">
        <f>Translation!$G$1</f>
        <v>VALOR</v>
      </c>
      <c r="D102" s="109"/>
      <c r="E102" s="109"/>
      <c r="F102" s="109"/>
      <c r="G102" s="109"/>
      <c r="H102" s="109"/>
      <c r="I102" s="109"/>
      <c r="O102" s="28" t="s">
        <v>722</v>
      </c>
      <c r="P102" s="38" t="str">
        <f>Translation!$G$32</f>
        <v>CONTA</v>
      </c>
      <c r="Q102" s="79" t="str">
        <f>Translation!$G$1</f>
        <v>VALOR</v>
      </c>
    </row>
    <row r="103">
      <c r="A103" s="151" t="str">
        <f>Translation!A123</f>
        <v>TOTAL DE DESPESAS NÃO-OPERACIONAIS</v>
      </c>
      <c r="B103" s="142" t="s">
        <v>723</v>
      </c>
      <c r="C103" s="141" t="e">
        <f>VLOOKUP(Q103,Data!$B:$E,4,FALSE)</f>
        <v>#N/A</v>
      </c>
      <c r="D103" s="109"/>
      <c r="E103" s="109"/>
      <c r="F103" s="109"/>
      <c r="G103" s="109"/>
      <c r="H103" s="109"/>
      <c r="I103" s="109"/>
      <c r="O103" s="48" t="s">
        <v>724</v>
      </c>
      <c r="P103" s="38" t="s">
        <v>723</v>
      </c>
      <c r="Q103" s="81" t="s">
        <v>725</v>
      </c>
    </row>
    <row r="104">
      <c r="A104" s="151" t="str">
        <f>Translation!A124</f>
        <v>TOTAL DE DESPESAS FINANCEIRAS</v>
      </c>
      <c r="B104" s="142" t="s">
        <v>726</v>
      </c>
      <c r="C104" s="141" t="e">
        <f>VLOOKUP(Q104,Data!$B:$E,4,FALSE)</f>
        <v>#N/A</v>
      </c>
      <c r="D104" s="109"/>
      <c r="E104" s="109"/>
      <c r="F104" s="109"/>
      <c r="G104" s="109"/>
      <c r="H104" s="109"/>
      <c r="I104" s="109"/>
      <c r="O104" s="48" t="s">
        <v>727</v>
      </c>
      <c r="P104" s="38" t="s">
        <v>726</v>
      </c>
      <c r="Q104" s="81" t="s">
        <v>728</v>
      </c>
    </row>
    <row r="105">
      <c r="A105" s="151" t="str">
        <f>Translation!A125</f>
        <v>TOTAL DE RECEITAS NÃO-OPERACIONAIS</v>
      </c>
      <c r="B105" s="142" t="s">
        <v>729</v>
      </c>
      <c r="C105" s="141" t="e">
        <f>VLOOKUP(Q105,Data!$B:$E,4,FALSE)</f>
        <v>#N/A</v>
      </c>
      <c r="D105" s="109"/>
      <c r="E105" s="109"/>
      <c r="F105" s="109"/>
      <c r="G105" s="109"/>
      <c r="H105" s="109"/>
      <c r="I105" s="109"/>
      <c r="O105" s="48" t="s">
        <v>730</v>
      </c>
      <c r="P105" s="38" t="s">
        <v>729</v>
      </c>
      <c r="Q105" s="81" t="s">
        <v>731</v>
      </c>
    </row>
    <row r="106">
      <c r="A106" s="151" t="str">
        <f>Translation!A126</f>
        <v>TOTAL DE RECEITAS FINANCEIRAS</v>
      </c>
      <c r="B106" s="142" t="s">
        <v>732</v>
      </c>
      <c r="C106" s="141" t="e">
        <f>VLOOKUP(Q106,Data!$B:$E,4,FALSE)</f>
        <v>#N/A</v>
      </c>
      <c r="D106" s="109"/>
      <c r="E106" s="109"/>
      <c r="F106" s="109"/>
      <c r="G106" s="109"/>
      <c r="H106" s="109"/>
      <c r="I106" s="109"/>
      <c r="O106" s="48" t="s">
        <v>733</v>
      </c>
      <c r="P106" s="38" t="s">
        <v>732</v>
      </c>
      <c r="Q106" s="81" t="s">
        <v>734</v>
      </c>
    </row>
    <row r="107">
      <c r="A107" s="149" t="str">
        <f>Translation!A127</f>
        <v>FLOOR PLAN</v>
      </c>
      <c r="B107" s="142" t="str">
        <f>Translation!$G$32</f>
        <v>CONTA</v>
      </c>
      <c r="C107" s="121" t="str">
        <f>Translation!$G$1</f>
        <v>VALOR</v>
      </c>
      <c r="D107" s="109"/>
      <c r="E107" s="109"/>
      <c r="F107" s="109"/>
      <c r="G107" s="109"/>
      <c r="H107" s="109"/>
      <c r="I107" s="109"/>
      <c r="O107" s="27" t="s">
        <v>735</v>
      </c>
      <c r="P107" s="38" t="str">
        <f>Translation!$G$32</f>
        <v>CONTA</v>
      </c>
      <c r="Q107" s="79" t="str">
        <f>Translation!$G$1</f>
        <v>VALOR</v>
      </c>
    </row>
    <row r="108">
      <c r="A108" s="146" t="str">
        <f>Translation!A128</f>
        <v>IOF </v>
      </c>
      <c r="B108" s="142" t="s">
        <v>736</v>
      </c>
      <c r="C108" s="140" t="e">
        <f>VLOOKUP(Q108,Data!$B:$E,4,FALSE)</f>
        <v>#N/A</v>
      </c>
      <c r="D108" s="109"/>
      <c r="E108" s="109"/>
      <c r="F108" s="109"/>
      <c r="G108" s="109"/>
      <c r="H108" s="109"/>
      <c r="I108" s="109"/>
      <c r="O108" s="29" t="s">
        <v>737</v>
      </c>
      <c r="P108" s="38" t="s">
        <v>736</v>
      </c>
      <c r="Q108" s="80" t="s">
        <v>738</v>
      </c>
    </row>
    <row r="109">
      <c r="A109" s="146" t="str">
        <f>Translation!A129</f>
        <v>JUROS CONTRATUAIS</v>
      </c>
      <c r="B109" s="142" t="s">
        <v>739</v>
      </c>
      <c r="C109" s="140" t="e">
        <f>VLOOKUP(Q109,Data!$B:$E,4,FALSE)</f>
        <v>#N/A</v>
      </c>
      <c r="D109" s="109"/>
      <c r="E109" s="109"/>
      <c r="F109" s="109"/>
      <c r="G109" s="109"/>
      <c r="H109" s="109"/>
      <c r="I109" s="109"/>
      <c r="O109" s="29" t="s">
        <v>740</v>
      </c>
      <c r="P109" s="38" t="s">
        <v>739</v>
      </c>
      <c r="Q109" s="80" t="s">
        <v>741</v>
      </c>
    </row>
    <row r="110">
      <c r="A110" s="146" t="str">
        <f>Translation!A130</f>
        <v>JUROS DE MORA</v>
      </c>
      <c r="B110" s="142" t="s">
        <v>742</v>
      </c>
      <c r="C110" s="140" t="e">
        <f>VLOOKUP(Q110,Data!$B:$E,4,FALSE)</f>
        <v>#N/A</v>
      </c>
      <c r="D110" s="109"/>
      <c r="E110" s="109"/>
      <c r="F110" s="109"/>
      <c r="G110" s="109"/>
      <c r="H110" s="109"/>
      <c r="I110" s="109"/>
      <c r="O110" s="29" t="s">
        <v>743</v>
      </c>
      <c r="P110" s="38" t="s">
        <v>742</v>
      </c>
      <c r="Q110" s="80" t="s">
        <v>744</v>
      </c>
    </row>
    <row r="111">
      <c r="A111" s="147" t="str">
        <f>Translation!A131</f>
        <v>TOTAL DE DESPESAS DE FLOOR PLAN</v>
      </c>
      <c r="B111" s="142" t="s">
        <v>745</v>
      </c>
      <c r="C111" s="141" t="e">
        <f>VLOOKUP(Q111,Data!$B:$E,4,FALSE)</f>
        <v>#N/A</v>
      </c>
      <c r="D111" s="109"/>
      <c r="E111" s="109"/>
      <c r="F111" s="109"/>
      <c r="G111" s="109"/>
      <c r="H111" s="109"/>
      <c r="I111" s="109"/>
      <c r="O111" s="48" t="s">
        <v>746</v>
      </c>
      <c r="P111" s="38" t="s">
        <v>745</v>
      </c>
      <c r="Q111" s="81" t="s">
        <v>747</v>
      </c>
    </row>
    <row r="112">
      <c r="A112" s="149" t="str">
        <f>Translation!A132</f>
        <v>RESULTADO DEPARTAMENTAL</v>
      </c>
      <c r="B112" s="142" t="str">
        <f>Translation!$G$32</f>
        <v>CONTA</v>
      </c>
      <c r="C112" s="121" t="str">
        <f>Translation!$G$1</f>
        <v>VALOR</v>
      </c>
      <c r="D112" s="109"/>
      <c r="E112" s="109"/>
      <c r="F112" s="109"/>
      <c r="G112" s="109"/>
      <c r="H112" s="109"/>
      <c r="I112" s="109"/>
      <c r="O112" s="27" t="s">
        <v>748</v>
      </c>
      <c r="P112" s="38" t="str">
        <f>Translation!$G$32</f>
        <v>CONTA</v>
      </c>
      <c r="Q112" s="79" t="str">
        <f>Translation!$G$1</f>
        <v>VALOR</v>
      </c>
    </row>
    <row r="113">
      <c r="A113" s="147" t="str">
        <f>Translation!A133</f>
        <v>RESULTADO DO DEPARTAMENTO DE NOVOS</v>
      </c>
      <c r="B113" s="142" t="s">
        <v>749</v>
      </c>
      <c r="C113" s="141" t="e">
        <f>VLOOKUP(Q113,Data!$B:$E,4,FALSE)</f>
        <v>#N/A</v>
      </c>
      <c r="D113" s="109"/>
      <c r="E113" s="109"/>
      <c r="F113" s="109"/>
      <c r="G113" s="109"/>
      <c r="H113" s="109"/>
      <c r="I113" s="109"/>
      <c r="O113" s="48" t="s">
        <v>750</v>
      </c>
      <c r="P113" s="38" t="s">
        <v>749</v>
      </c>
      <c r="Q113" s="81" t="s">
        <v>751</v>
      </c>
    </row>
    <row r="114">
      <c r="A114" s="149" t="str">
        <f>Translation!A134</f>
        <v>ESTOQUE - LINHA SCOOTER &lt;200 cc</v>
      </c>
      <c r="B114" s="142" t="str">
        <f>Translation!$G$32</f>
        <v>CONTA</v>
      </c>
      <c r="C114" s="121" t="str">
        <f>Translation!$G$30</f>
        <v>ESTOQUE FINAL</v>
      </c>
      <c r="D114" s="109"/>
      <c r="E114" s="109"/>
      <c r="F114" s="109"/>
      <c r="G114" s="109"/>
      <c r="H114" s="109"/>
      <c r="I114" s="109"/>
      <c r="O114" s="27" t="s">
        <v>752</v>
      </c>
      <c r="P114" s="38" t="str">
        <f>Translation!$G$32</f>
        <v>CONTA</v>
      </c>
      <c r="Q114" s="79" t="str">
        <f>Translation!$G$30</f>
        <v>ESTOQUE FINAL</v>
      </c>
    </row>
    <row r="115">
      <c r="A115" s="146" t="str">
        <f>Translation!A135</f>
        <v>NEO 125</v>
      </c>
      <c r="B115" s="142" t="s">
        <v>753</v>
      </c>
      <c r="C115" s="110" t="e">
        <f>VLOOKUP(Q115,Data!$B:$E,4,FALSE)</f>
        <v>#N/A</v>
      </c>
      <c r="D115" s="109"/>
      <c r="E115" s="109"/>
      <c r="F115" s="109"/>
      <c r="G115" s="109"/>
      <c r="H115" s="109"/>
      <c r="I115" s="109"/>
      <c r="O115" s="29" t="s">
        <v>11</v>
      </c>
      <c r="P115" s="38" t="s">
        <v>753</v>
      </c>
      <c r="Q115" s="80" t="s">
        <v>754</v>
      </c>
    </row>
    <row r="116">
      <c r="A116" s="146" t="str">
        <f>Translation!A136</f>
        <v>NMAX 160 ABS</v>
      </c>
      <c r="B116" s="142" t="s">
        <v>755</v>
      </c>
      <c r="C116" s="110" t="e">
        <f>VLOOKUP(Q116,Data!$B:$E,4,FALSE)</f>
        <v>#N/A</v>
      </c>
      <c r="D116" s="109"/>
      <c r="E116" s="109"/>
      <c r="F116" s="109"/>
      <c r="G116" s="109"/>
      <c r="H116" s="109"/>
      <c r="I116" s="109"/>
      <c r="O116" s="29" t="s">
        <v>21</v>
      </c>
      <c r="P116" s="38" t="s">
        <v>755</v>
      </c>
      <c r="Q116" s="80" t="s">
        <v>756</v>
      </c>
    </row>
    <row r="117">
      <c r="A117" s="149" t="str">
        <f>Translation!A137</f>
        <v>ESTOQUE - LINHA SCOOTER &gt;200 cc</v>
      </c>
      <c r="B117" s="142" t="str">
        <f>Translation!$G$32</f>
        <v>CONTA</v>
      </c>
      <c r="C117" s="121" t="str">
        <f>Translation!$G$30</f>
        <v>ESTOQUE FINAL</v>
      </c>
      <c r="D117" s="109"/>
      <c r="E117" s="109"/>
      <c r="F117" s="109"/>
      <c r="G117" s="109"/>
      <c r="H117" s="109"/>
      <c r="I117" s="109"/>
      <c r="O117" s="27" t="s">
        <v>757</v>
      </c>
      <c r="P117" s="38" t="str">
        <f>Translation!$G$32</f>
        <v>CONTA</v>
      </c>
      <c r="Q117" s="79" t="str">
        <f>Translation!$G$30</f>
        <v>ESTOQUE FINAL</v>
      </c>
    </row>
    <row r="118">
      <c r="A118" s="146" t="str">
        <f>Translation!A138</f>
        <v>TMAX 530</v>
      </c>
      <c r="B118" s="142" t="s">
        <v>758</v>
      </c>
      <c r="C118" s="110" t="e">
        <f>VLOOKUP(Q118,Data!$B:$E,4,FALSE)</f>
        <v>#N/A</v>
      </c>
      <c r="D118" s="109"/>
      <c r="E118" s="109"/>
      <c r="F118" s="109"/>
      <c r="G118" s="109"/>
      <c r="H118" s="109"/>
      <c r="I118" s="109"/>
      <c r="O118" s="29" t="s">
        <v>32</v>
      </c>
      <c r="P118" s="38" t="s">
        <v>758</v>
      </c>
      <c r="Q118" s="80" t="s">
        <v>759</v>
      </c>
    </row>
    <row r="119">
      <c r="A119" s="146" t="s">
        <v>41</v>
      </c>
      <c r="B119" s="142" t="s">
        <v>760</v>
      </c>
      <c r="C119" s="110" t="e">
        <f>VLOOKUP(Q119,Data!$B:$E,4,FALSE)</f>
        <v>#N/A</v>
      </c>
      <c r="D119" s="109"/>
      <c r="E119" s="109"/>
      <c r="F119" s="109"/>
      <c r="G119" s="109"/>
      <c r="H119" s="109"/>
      <c r="I119" s="109"/>
      <c r="O119" s="29" t="s">
        <v>41</v>
      </c>
      <c r="P119" s="38" t="s">
        <v>760</v>
      </c>
      <c r="Q119" s="80" t="s">
        <v>761</v>
      </c>
    </row>
    <row r="120">
      <c r="A120" s="146" t="s">
        <v>51</v>
      </c>
      <c r="B120" s="142" t="s">
        <v>762</v>
      </c>
      <c r="C120" s="110" t="e">
        <f>VLOOKUP(Q120,Data!$B:$E,4,FALSE)</f>
        <v>#N/A</v>
      </c>
      <c r="D120" s="109"/>
      <c r="E120" s="109"/>
      <c r="F120" s="109"/>
      <c r="G120" s="109"/>
      <c r="H120" s="109"/>
      <c r="I120" s="109"/>
      <c r="O120" s="29" t="s">
        <v>51</v>
      </c>
      <c r="P120" s="38" t="s">
        <v>762</v>
      </c>
      <c r="Q120" s="80" t="s">
        <v>763</v>
      </c>
    </row>
    <row r="121">
      <c r="A121" s="149" t="str">
        <f>Translation!A139</f>
        <v>ESTOQUE - LINHA OFF ROAD</v>
      </c>
      <c r="B121" s="142" t="str">
        <f>Translation!$G$32</f>
        <v>CONTA</v>
      </c>
      <c r="C121" s="121" t="str">
        <f>Translation!$G$30</f>
        <v>ESTOQUE FINAL</v>
      </c>
      <c r="D121" s="109"/>
      <c r="E121" s="109"/>
      <c r="F121" s="109"/>
      <c r="G121" s="109"/>
      <c r="H121" s="109"/>
      <c r="I121" s="109"/>
      <c r="O121" s="27" t="s">
        <v>764</v>
      </c>
      <c r="P121" s="38" t="str">
        <f>Translation!$G$32</f>
        <v>CONTA</v>
      </c>
      <c r="Q121" s="79" t="str">
        <f>Translation!$G$30</f>
        <v>ESTOQUE FINAL</v>
      </c>
    </row>
    <row r="122">
      <c r="A122" s="146" t="str">
        <f>Translation!A140</f>
        <v>TTR 230 </v>
      </c>
      <c r="B122" s="142" t="s">
        <v>765</v>
      </c>
      <c r="C122" s="110" t="e">
        <f>VLOOKUP(Q122,Data!$B:$E,4,FALSE)</f>
        <v>#N/A</v>
      </c>
      <c r="D122" s="109"/>
      <c r="E122" s="109"/>
      <c r="F122" s="109"/>
      <c r="G122" s="109"/>
      <c r="H122" s="109"/>
      <c r="I122" s="109"/>
      <c r="O122" s="29" t="s">
        <v>73</v>
      </c>
      <c r="P122" s="142" t="s">
        <v>765</v>
      </c>
      <c r="Q122" s="80" t="s">
        <v>766</v>
      </c>
    </row>
    <row r="123">
      <c r="A123" s="146" t="str">
        <f>Translation!A141</f>
        <v>YZ 85LW</v>
      </c>
      <c r="B123" s="142" t="s">
        <v>767</v>
      </c>
      <c r="C123" s="110" t="e">
        <f>VLOOKUP(Q123,Data!$B:$E,4,FALSE)</f>
        <v>#N/A</v>
      </c>
      <c r="D123" s="109"/>
      <c r="E123" s="109"/>
      <c r="F123" s="109"/>
      <c r="G123" s="109"/>
      <c r="H123" s="109"/>
      <c r="I123" s="109"/>
      <c r="O123" s="29" t="s">
        <v>82</v>
      </c>
      <c r="P123" s="142" t="s">
        <v>767</v>
      </c>
      <c r="Q123" s="80" t="s">
        <v>768</v>
      </c>
    </row>
    <row r="124">
      <c r="A124" s="146" t="str">
        <f>Translation!A142</f>
        <v>YZ 250</v>
      </c>
      <c r="B124" s="142" t="s">
        <v>769</v>
      </c>
      <c r="C124" s="110" t="e">
        <f>VLOOKUP(Q124,Data!$B:$E,4,FALSE)</f>
        <v>#N/A</v>
      </c>
      <c r="D124" s="109"/>
      <c r="E124" s="109"/>
      <c r="F124" s="109"/>
      <c r="G124" s="109"/>
      <c r="H124" s="109"/>
      <c r="I124" s="109"/>
      <c r="O124" s="29" t="s">
        <v>93</v>
      </c>
      <c r="P124" s="142" t="s">
        <v>769</v>
      </c>
      <c r="Q124" s="80" t="s">
        <v>770</v>
      </c>
    </row>
    <row r="125">
      <c r="A125" s="146" t="str">
        <f>Translation!A143</f>
        <v>YZ 250F</v>
      </c>
      <c r="B125" s="142" t="s">
        <v>771</v>
      </c>
      <c r="C125" s="110" t="e">
        <f>VLOOKUP(Q125,Data!$B:$E,4,FALSE)</f>
        <v>#N/A</v>
      </c>
      <c r="D125" s="109"/>
      <c r="E125" s="109"/>
      <c r="F125" s="109"/>
      <c r="G125" s="109"/>
      <c r="H125" s="109"/>
      <c r="I125" s="109"/>
      <c r="O125" s="29" t="s">
        <v>103</v>
      </c>
      <c r="P125" s="142" t="s">
        <v>771</v>
      </c>
      <c r="Q125" s="80" t="s">
        <v>772</v>
      </c>
    </row>
    <row r="126">
      <c r="A126" s="146" t="str">
        <f>Translation!A144</f>
        <v>YZ 250FX</v>
      </c>
      <c r="B126" s="142" t="s">
        <v>773</v>
      </c>
      <c r="C126" s="110" t="e">
        <f>VLOOKUP(Q126,Data!$B:$E,4,FALSE)</f>
        <v>#N/A</v>
      </c>
      <c r="D126" s="109"/>
      <c r="E126" s="109"/>
      <c r="F126" s="109"/>
      <c r="G126" s="109"/>
      <c r="H126" s="109"/>
      <c r="I126" s="109"/>
      <c r="O126" s="29" t="s">
        <v>113</v>
      </c>
      <c r="P126" s="142" t="s">
        <v>773</v>
      </c>
      <c r="Q126" s="80" t="s">
        <v>774</v>
      </c>
    </row>
    <row r="127">
      <c r="A127" s="146" t="str">
        <f>Translation!A145</f>
        <v>YZ 250X </v>
      </c>
      <c r="B127" s="142" t="s">
        <v>775</v>
      </c>
      <c r="C127" s="110" t="e">
        <f>VLOOKUP(Q127,Data!$B:$E,4,FALSE)</f>
        <v>#N/A</v>
      </c>
      <c r="D127" s="109"/>
      <c r="E127" s="109"/>
      <c r="F127" s="109"/>
      <c r="G127" s="109"/>
      <c r="H127" s="109"/>
      <c r="I127" s="109"/>
      <c r="O127" s="29" t="s">
        <v>776</v>
      </c>
      <c r="P127" s="142" t="s">
        <v>775</v>
      </c>
      <c r="Q127" s="80" t="s">
        <v>777</v>
      </c>
    </row>
    <row r="128">
      <c r="A128" s="146" t="str">
        <f>Translation!A146</f>
        <v>YZ 450F</v>
      </c>
      <c r="B128" s="142" t="s">
        <v>778</v>
      </c>
      <c r="C128" s="110" t="e">
        <f>VLOOKUP(Q128,Data!$B:$E,4,FALSE)</f>
        <v>#N/A</v>
      </c>
      <c r="D128" s="109"/>
      <c r="E128" s="109"/>
      <c r="F128" s="109"/>
      <c r="G128" s="109"/>
      <c r="H128" s="109"/>
      <c r="I128" s="109"/>
      <c r="O128" s="29" t="s">
        <v>133</v>
      </c>
      <c r="P128" s="142" t="s">
        <v>778</v>
      </c>
      <c r="Q128" s="80" t="s">
        <v>779</v>
      </c>
    </row>
    <row r="129">
      <c r="A129" s="146" t="str">
        <f>Translation!A147</f>
        <v>YZ 450FX</v>
      </c>
      <c r="B129" s="142" t="s">
        <v>780</v>
      </c>
      <c r="C129" s="110" t="e">
        <f>VLOOKUP(Q129,Data!$B:$E,4,FALSE)</f>
        <v>#N/A</v>
      </c>
      <c r="D129" s="109"/>
      <c r="E129" s="109"/>
      <c r="F129" s="109"/>
      <c r="G129" s="109"/>
      <c r="H129" s="109"/>
      <c r="I129" s="109"/>
      <c r="O129" s="29" t="s">
        <v>781</v>
      </c>
      <c r="P129" s="142" t="s">
        <v>780</v>
      </c>
      <c r="Q129" s="80" t="s">
        <v>782</v>
      </c>
    </row>
    <row r="130">
      <c r="A130" s="146" t="str">
        <f>Translation!A148</f>
        <v>WR 250F</v>
      </c>
      <c r="B130" s="142" t="s">
        <v>783</v>
      </c>
      <c r="C130" s="110" t="e">
        <f>VLOOKUP(Q130,Data!$B:$E,4,FALSE)</f>
        <v>#N/A</v>
      </c>
      <c r="D130" s="109"/>
      <c r="E130" s="109"/>
      <c r="F130" s="109"/>
      <c r="G130" s="109"/>
      <c r="H130" s="109"/>
      <c r="I130" s="109"/>
      <c r="O130" s="29" t="s">
        <v>153</v>
      </c>
      <c r="P130" s="142" t="s">
        <v>783</v>
      </c>
      <c r="Q130" s="80" t="s">
        <v>784</v>
      </c>
    </row>
    <row r="131">
      <c r="A131" s="146" t="str">
        <f>Translation!A149</f>
        <v>WR 450F</v>
      </c>
      <c r="B131" s="142" t="s">
        <v>785</v>
      </c>
      <c r="C131" s="110" t="e">
        <f>VLOOKUP(Q131,Data!$B:$E,4,FALSE)</f>
        <v>#N/A</v>
      </c>
      <c r="D131" s="109"/>
      <c r="E131" s="109"/>
      <c r="F131" s="109"/>
      <c r="G131" s="109"/>
      <c r="H131" s="109"/>
      <c r="I131" s="109"/>
      <c r="O131" s="29" t="s">
        <v>162</v>
      </c>
      <c r="P131" s="142" t="s">
        <v>785</v>
      </c>
      <c r="Q131" s="80" t="s">
        <v>786</v>
      </c>
    </row>
    <row r="132">
      <c r="A132" s="149" t="str">
        <f>Translation!A150</f>
        <v>ESTOQUE - LINHA 125 cc</v>
      </c>
      <c r="B132" s="142" t="str">
        <f>Translation!$G$32</f>
        <v>CONTA</v>
      </c>
      <c r="C132" s="121" t="str">
        <f>Translation!$G$30</f>
        <v>ESTOQUE FINAL</v>
      </c>
      <c r="D132" s="109"/>
      <c r="E132" s="109"/>
      <c r="F132" s="109"/>
      <c r="G132" s="109"/>
      <c r="H132" s="109"/>
      <c r="I132" s="109"/>
      <c r="O132" s="27" t="s">
        <v>787</v>
      </c>
      <c r="P132" s="38" t="str">
        <f>Translation!$G$32</f>
        <v>CONTA</v>
      </c>
      <c r="Q132" s="79" t="str">
        <f>Translation!$G$30</f>
        <v>ESTOQUE FINAL</v>
      </c>
    </row>
    <row r="133">
      <c r="A133" s="146" t="str">
        <f>Translation!A151</f>
        <v>FACTOR YBR 125i ED</v>
      </c>
      <c r="B133" s="142" t="s">
        <v>788</v>
      </c>
      <c r="C133" s="110" t="e">
        <f>VLOOKUP(Q133,Data!$B:$E,4,FALSE)</f>
        <v>#N/A</v>
      </c>
      <c r="D133" s="109"/>
      <c r="E133" s="109"/>
      <c r="F133" s="109"/>
      <c r="G133" s="109"/>
      <c r="H133" s="109"/>
      <c r="I133" s="109"/>
      <c r="O133" s="29" t="s">
        <v>184</v>
      </c>
      <c r="P133" s="38" t="s">
        <v>788</v>
      </c>
      <c r="Q133" s="80" t="s">
        <v>789</v>
      </c>
    </row>
    <row r="134">
      <c r="A134" s="146" t="s">
        <v>193</v>
      </c>
      <c r="B134" s="142" t="s">
        <v>790</v>
      </c>
      <c r="C134" s="110" t="e">
        <f>VLOOKUP(Q134,Data!$B:$E,4,FALSE)</f>
        <v>#N/A</v>
      </c>
      <c r="D134" s="109"/>
      <c r="E134" s="109"/>
      <c r="F134" s="109"/>
      <c r="G134" s="109"/>
      <c r="H134" s="109"/>
      <c r="I134" s="109"/>
      <c r="O134" s="29" t="s">
        <v>193</v>
      </c>
      <c r="P134" s="38" t="s">
        <v>790</v>
      </c>
      <c r="Q134" s="80" t="s">
        <v>791</v>
      </c>
    </row>
    <row r="135">
      <c r="A135" s="149" t="str">
        <f>Translation!A152</f>
        <v>ESTOQUE - LINHA 150 cc - Street</v>
      </c>
      <c r="B135" s="142" t="str">
        <f>Translation!$G$32</f>
        <v>CONTA</v>
      </c>
      <c r="C135" s="121" t="str">
        <f>Translation!$G$30</f>
        <v>ESTOQUE FINAL</v>
      </c>
      <c r="D135" s="109"/>
      <c r="E135" s="109"/>
      <c r="F135" s="109"/>
      <c r="G135" s="109"/>
      <c r="H135" s="109"/>
      <c r="I135" s="109"/>
      <c r="O135" s="27" t="s">
        <v>792</v>
      </c>
      <c r="P135" s="38" t="str">
        <f>Translation!$G$32</f>
        <v>CONTA</v>
      </c>
      <c r="Q135" s="79" t="str">
        <f>Translation!$G$30</f>
        <v>ESTOQUE FINAL</v>
      </c>
    </row>
    <row r="136">
      <c r="A136" s="146" t="str">
        <f>Translation!A153</f>
        <v>FACTOR 150E</v>
      </c>
      <c r="B136" s="142" t="s">
        <v>793</v>
      </c>
      <c r="C136" s="110" t="e">
        <f>VLOOKUP(Q136,Data!$B:$E,4,FALSE)</f>
        <v>#N/A</v>
      </c>
      <c r="D136" s="109"/>
      <c r="E136" s="109"/>
      <c r="F136" s="109"/>
      <c r="G136" s="109"/>
      <c r="H136" s="109"/>
      <c r="I136" s="109"/>
      <c r="O136" s="29" t="s">
        <v>215</v>
      </c>
      <c r="P136" s="38" t="s">
        <v>793</v>
      </c>
      <c r="Q136" s="80" t="s">
        <v>794</v>
      </c>
    </row>
    <row r="137">
      <c r="A137" s="146" t="str">
        <f>Translation!A154</f>
        <v>FACTOR 150ED</v>
      </c>
      <c r="B137" s="142" t="s">
        <v>795</v>
      </c>
      <c r="C137" s="110" t="e">
        <f>VLOOKUP(Q137,Data!$B:$E,4,FALSE)</f>
        <v>#N/A</v>
      </c>
      <c r="D137" s="109"/>
      <c r="E137" s="109"/>
      <c r="F137" s="109"/>
      <c r="G137" s="109"/>
      <c r="H137" s="109"/>
      <c r="I137" s="109"/>
      <c r="O137" s="29" t="s">
        <v>225</v>
      </c>
      <c r="P137" s="38" t="s">
        <v>795</v>
      </c>
      <c r="Q137" s="80" t="s">
        <v>796</v>
      </c>
    </row>
    <row r="138">
      <c r="A138" s="146" t="str">
        <f>Translation!A155</f>
        <v>YS 150 FAZER SED</v>
      </c>
      <c r="B138" s="142" t="s">
        <v>797</v>
      </c>
      <c r="C138" s="110" t="e">
        <f>VLOOKUP(Q138,Data!$B:$E,4,FALSE)</f>
        <v>#N/A</v>
      </c>
      <c r="D138" s="109"/>
      <c r="E138" s="109"/>
      <c r="F138" s="109"/>
      <c r="G138" s="109"/>
      <c r="H138" s="109"/>
      <c r="I138" s="109"/>
      <c r="O138" s="29" t="s">
        <v>235</v>
      </c>
      <c r="P138" s="38" t="s">
        <v>797</v>
      </c>
      <c r="Q138" s="80" t="s">
        <v>798</v>
      </c>
    </row>
    <row r="139">
      <c r="A139" s="146" t="s">
        <v>244</v>
      </c>
      <c r="B139" s="142" t="s">
        <v>799</v>
      </c>
      <c r="C139" s="110" t="e">
        <f>VLOOKUP(Q139,Data!$B:$E,4,FALSE)</f>
        <v>#N/A</v>
      </c>
      <c r="D139" s="109"/>
      <c r="E139" s="109"/>
      <c r="F139" s="109"/>
      <c r="G139" s="109"/>
      <c r="H139" s="109"/>
      <c r="I139" s="109"/>
      <c r="O139" s="29" t="s">
        <v>244</v>
      </c>
      <c r="P139" s="38" t="s">
        <v>799</v>
      </c>
      <c r="Q139" s="80" t="s">
        <v>800</v>
      </c>
    </row>
    <row r="140">
      <c r="A140" s="146" t="s">
        <v>254</v>
      </c>
      <c r="B140" s="142" t="s">
        <v>801</v>
      </c>
      <c r="C140" s="110" t="e">
        <f>VLOOKUP(Q140,Data!$B:$E,4,FALSE)</f>
        <v>#N/A</v>
      </c>
      <c r="D140" s="109"/>
      <c r="E140" s="109"/>
      <c r="F140" s="109"/>
      <c r="G140" s="109"/>
      <c r="H140" s="109"/>
      <c r="I140" s="109"/>
      <c r="O140" s="29" t="s">
        <v>254</v>
      </c>
      <c r="P140" s="38" t="s">
        <v>801</v>
      </c>
      <c r="Q140" s="80" t="s">
        <v>802</v>
      </c>
    </row>
    <row r="141">
      <c r="A141" s="149" t="str">
        <f>Translation!A156</f>
        <v>ESTOQUE - LINHA 150 cc - On/Off</v>
      </c>
      <c r="B141" s="142" t="str">
        <f>Translation!$G$32</f>
        <v>CONTA</v>
      </c>
      <c r="C141" s="121" t="str">
        <f>Translation!$G$30</f>
        <v>ESTOQUE FINAL</v>
      </c>
      <c r="D141" s="109"/>
      <c r="E141" s="109"/>
      <c r="F141" s="109"/>
      <c r="G141" s="109"/>
      <c r="H141" s="109"/>
      <c r="I141" s="109"/>
      <c r="O141" s="27" t="s">
        <v>803</v>
      </c>
      <c r="P141" s="38" t="str">
        <f>Translation!$G$32</f>
        <v>CONTA</v>
      </c>
      <c r="Q141" s="79" t="str">
        <f>Translation!$G$30</f>
        <v>ESTOQUE FINAL</v>
      </c>
    </row>
    <row r="142">
      <c r="A142" s="146" t="str">
        <f>Translation!A157</f>
        <v>XTZ 150 CROSSER E</v>
      </c>
      <c r="B142" s="142" t="s">
        <v>804</v>
      </c>
      <c r="C142" s="110" t="e">
        <f>VLOOKUP(Q142,Data!$B:$E,4,FALSE)</f>
        <v>#N/A</v>
      </c>
      <c r="D142" s="109"/>
      <c r="E142" s="109"/>
      <c r="F142" s="109"/>
      <c r="G142" s="109"/>
      <c r="H142" s="109"/>
      <c r="I142" s="109"/>
      <c r="O142" s="29" t="s">
        <v>266</v>
      </c>
      <c r="P142" s="38" t="s">
        <v>804</v>
      </c>
      <c r="Q142" s="80" t="s">
        <v>805</v>
      </c>
    </row>
    <row r="143">
      <c r="A143" s="146" t="str">
        <f>Translation!A158</f>
        <v>XTZ 150 CROSSER ED</v>
      </c>
      <c r="B143" s="142" t="s">
        <v>806</v>
      </c>
      <c r="C143" s="110" t="e">
        <f>VLOOKUP(Q143,Data!$B:$E,4,FALSE)</f>
        <v>#N/A</v>
      </c>
      <c r="D143" s="109"/>
      <c r="E143" s="109"/>
      <c r="F143" s="109"/>
      <c r="G143" s="109"/>
      <c r="H143" s="109"/>
      <c r="I143" s="109"/>
      <c r="O143" s="29" t="s">
        <v>276</v>
      </c>
      <c r="P143" s="38" t="s">
        <v>806</v>
      </c>
      <c r="Q143" s="80" t="s">
        <v>807</v>
      </c>
    </row>
    <row r="144">
      <c r="A144" s="146" t="s">
        <v>285</v>
      </c>
      <c r="B144" s="142" t="s">
        <v>808</v>
      </c>
      <c r="C144" s="110" t="e">
        <f>VLOOKUP(Q144,Data!$B:$E,4,FALSE)</f>
        <v>#N/A</v>
      </c>
      <c r="D144" s="109"/>
      <c r="E144" s="109"/>
      <c r="F144" s="109"/>
      <c r="G144" s="109"/>
      <c r="H144" s="109"/>
      <c r="I144" s="109"/>
      <c r="O144" s="29" t="s">
        <v>285</v>
      </c>
      <c r="P144" s="38" t="s">
        <v>808</v>
      </c>
      <c r="Q144" s="80" t="s">
        <v>809</v>
      </c>
    </row>
    <row r="145">
      <c r="A145" s="146" t="s">
        <v>295</v>
      </c>
      <c r="B145" s="142" t="s">
        <v>810</v>
      </c>
      <c r="C145" s="110" t="e">
        <f>VLOOKUP(Q145,Data!$B:$E,4,FALSE)</f>
        <v>#N/A</v>
      </c>
      <c r="D145" s="109"/>
      <c r="E145" s="109"/>
      <c r="F145" s="109"/>
      <c r="G145" s="109"/>
      <c r="H145" s="109"/>
      <c r="I145" s="109"/>
      <c r="O145" s="29" t="s">
        <v>295</v>
      </c>
      <c r="P145" s="38" t="s">
        <v>810</v>
      </c>
      <c r="Q145" s="80" t="s">
        <v>811</v>
      </c>
    </row>
    <row r="146">
      <c r="A146" s="149" t="str">
        <f>Translation!A159</f>
        <v>ESTOQUE - LINHA 250 cc - Street</v>
      </c>
      <c r="B146" s="142" t="str">
        <f>Translation!$G$32</f>
        <v>CONTA</v>
      </c>
      <c r="C146" s="121" t="str">
        <f>Translation!$G$30</f>
        <v>ESTOQUE FINAL</v>
      </c>
      <c r="D146" s="109"/>
      <c r="E146" s="109"/>
      <c r="F146" s="109"/>
      <c r="G146" s="109"/>
      <c r="H146" s="109"/>
      <c r="I146" s="109"/>
      <c r="O146" s="27" t="s">
        <v>812</v>
      </c>
      <c r="P146" s="38" t="str">
        <f>Translation!$G$32</f>
        <v>CONTA</v>
      </c>
      <c r="Q146" s="79" t="str">
        <f>Translation!$G$30</f>
        <v>ESTOQUE FINAL</v>
      </c>
    </row>
    <row r="147">
      <c r="A147" s="146" t="str">
        <f>Translation!A160</f>
        <v>YS 250 FAZER BLUEFLEX</v>
      </c>
      <c r="B147" s="142" t="s">
        <v>813</v>
      </c>
      <c r="C147" s="110" t="e">
        <f>VLOOKUP(Q147,Data!$B:$E,4,FALSE)</f>
        <v>#N/A</v>
      </c>
      <c r="D147" s="109"/>
      <c r="E147" s="109"/>
      <c r="F147" s="109"/>
      <c r="G147" s="109"/>
      <c r="H147" s="109"/>
      <c r="I147" s="109"/>
      <c r="O147" s="29" t="s">
        <v>317</v>
      </c>
      <c r="P147" s="38" t="s">
        <v>813</v>
      </c>
      <c r="Q147" s="80" t="s">
        <v>814</v>
      </c>
    </row>
    <row r="148">
      <c r="A148" s="146" t="s">
        <v>326</v>
      </c>
      <c r="B148" s="142" t="s">
        <v>815</v>
      </c>
      <c r="C148" s="110" t="e">
        <f>VLOOKUP(Q148,Data!$B:$E,4,FALSE)</f>
        <v>#N/A</v>
      </c>
      <c r="D148" s="109"/>
      <c r="E148" s="109"/>
      <c r="F148" s="109"/>
      <c r="G148" s="109"/>
      <c r="H148" s="109"/>
      <c r="I148" s="109"/>
      <c r="O148" s="29" t="s">
        <v>326</v>
      </c>
      <c r="P148" s="38" t="s">
        <v>815</v>
      </c>
      <c r="Q148" s="80" t="s">
        <v>816</v>
      </c>
    </row>
    <row r="149">
      <c r="A149" s="149" t="str">
        <f>Translation!A161</f>
        <v>ESTOQUE - LINHA 250 cc - On/Off</v>
      </c>
      <c r="B149" s="142" t="str">
        <f>Translation!$G$32</f>
        <v>CONTA</v>
      </c>
      <c r="C149" s="121" t="str">
        <f>Translation!$G$30</f>
        <v>ESTOQUE FINAL</v>
      </c>
      <c r="D149" s="109"/>
      <c r="E149" s="109"/>
      <c r="F149" s="109"/>
      <c r="G149" s="109"/>
      <c r="H149" s="109"/>
      <c r="I149" s="109"/>
      <c r="O149" s="27" t="s">
        <v>817</v>
      </c>
      <c r="P149" s="38" t="str">
        <f>Translation!$G$32</f>
        <v>CONTA</v>
      </c>
      <c r="Q149" s="79" t="str">
        <f>Translation!$G$30</f>
        <v>ESTOQUE FINAL</v>
      </c>
    </row>
    <row r="150">
      <c r="A150" s="146" t="str">
        <f>Translation!A162</f>
        <v>XTZ 250 LANDER</v>
      </c>
      <c r="B150" s="142" t="s">
        <v>818</v>
      </c>
      <c r="C150" s="110" t="e">
        <f>VLOOKUP(Q150,Data!$B:$E,4,FALSE)</f>
        <v>#N/A</v>
      </c>
      <c r="D150" s="109"/>
      <c r="E150" s="109"/>
      <c r="F150" s="109"/>
      <c r="G150" s="109"/>
      <c r="H150" s="109"/>
      <c r="I150" s="109"/>
      <c r="O150" s="29" t="s">
        <v>338</v>
      </c>
      <c r="P150" s="38" t="s">
        <v>818</v>
      </c>
      <c r="Q150" s="80" t="s">
        <v>819</v>
      </c>
    </row>
    <row r="151">
      <c r="A151" s="146" t="str">
        <f>Translation!A163</f>
        <v>XTZ 250 TENERE</v>
      </c>
      <c r="B151" s="142" t="s">
        <v>820</v>
      </c>
      <c r="C151" s="110" t="e">
        <f>VLOOKUP(Q151,Data!$B:$E,4,FALSE)</f>
        <v>#N/A</v>
      </c>
      <c r="D151" s="109"/>
      <c r="E151" s="109"/>
      <c r="F151" s="109"/>
      <c r="G151" s="109"/>
      <c r="H151" s="109"/>
      <c r="I151" s="109"/>
      <c r="O151" s="29" t="s">
        <v>348</v>
      </c>
      <c r="P151" s="38" t="s">
        <v>820</v>
      </c>
      <c r="Q151" s="80" t="s">
        <v>821</v>
      </c>
    </row>
    <row r="152">
      <c r="A152" s="149" t="str">
        <f>Translation!A164</f>
        <v>ESTOQUE - LINHA 320 cc</v>
      </c>
      <c r="B152" s="142" t="str">
        <f>Translation!$G$32</f>
        <v>CONTA</v>
      </c>
      <c r="C152" s="121" t="str">
        <f>Translation!$G$30</f>
        <v>ESTOQUE FINAL</v>
      </c>
      <c r="D152" s="109"/>
      <c r="E152" s="109"/>
      <c r="F152" s="109"/>
      <c r="G152" s="109"/>
      <c r="H152" s="109"/>
      <c r="I152" s="109"/>
      <c r="O152" s="27" t="s">
        <v>822</v>
      </c>
      <c r="P152" s="38" t="str">
        <f>Translation!$G$32</f>
        <v>CONTA</v>
      </c>
      <c r="Q152" s="79" t="str">
        <f>Translation!$G$30</f>
        <v>ESTOQUE FINAL</v>
      </c>
    </row>
    <row r="153">
      <c r="A153" s="146" t="str">
        <f>Translation!A165</f>
        <v>YZF R3 </v>
      </c>
      <c r="B153" s="142" t="s">
        <v>823</v>
      </c>
      <c r="C153" s="110" t="e">
        <f>VLOOKUP(Q153,Data!$B:$E,4,FALSE)</f>
        <v>#N/A</v>
      </c>
      <c r="D153" s="109"/>
      <c r="E153" s="109"/>
      <c r="F153" s="109"/>
      <c r="G153" s="109"/>
      <c r="H153" s="109"/>
      <c r="I153" s="109"/>
      <c r="O153" s="29" t="s">
        <v>369</v>
      </c>
      <c r="P153" s="38" t="s">
        <v>823</v>
      </c>
      <c r="Q153" s="80" t="s">
        <v>824</v>
      </c>
    </row>
    <row r="154">
      <c r="A154" s="146" t="str">
        <f>Translation!A166</f>
        <v>YZF R3 ABS</v>
      </c>
      <c r="B154" s="142" t="s">
        <v>825</v>
      </c>
      <c r="C154" s="110" t="e">
        <f>VLOOKUP(Q154,Data!$B:$E,4,FALSE)</f>
        <v>#N/A</v>
      </c>
      <c r="D154" s="109"/>
      <c r="E154" s="109"/>
      <c r="F154" s="109"/>
      <c r="G154" s="109"/>
      <c r="H154" s="109"/>
      <c r="I154" s="109"/>
      <c r="O154" s="29" t="s">
        <v>379</v>
      </c>
      <c r="P154" s="38" t="s">
        <v>825</v>
      </c>
      <c r="Q154" s="80" t="s">
        <v>826</v>
      </c>
    </row>
    <row r="155">
      <c r="A155" s="146" t="str">
        <f>Translation!A167</f>
        <v>MT03</v>
      </c>
      <c r="B155" s="142" t="s">
        <v>827</v>
      </c>
      <c r="C155" s="110" t="e">
        <f>VLOOKUP(Q155,Data!$B:$E,4,FALSE)</f>
        <v>#N/A</v>
      </c>
      <c r="D155" s="109"/>
      <c r="E155" s="109"/>
      <c r="F155" s="109"/>
      <c r="G155" s="109"/>
      <c r="H155" s="109"/>
      <c r="I155" s="109"/>
      <c r="O155" s="29" t="s">
        <v>389</v>
      </c>
      <c r="P155" s="38" t="s">
        <v>827</v>
      </c>
      <c r="Q155" s="80" t="s">
        <v>828</v>
      </c>
    </row>
    <row r="156">
      <c r="A156" s="146" t="str">
        <f>Translation!A168</f>
        <v>MT03 ABS</v>
      </c>
      <c r="B156" s="142" t="s">
        <v>829</v>
      </c>
      <c r="C156" s="110" t="e">
        <f>VLOOKUP(Q156,Data!$B:$E,4,FALSE)</f>
        <v>#N/A</v>
      </c>
      <c r="D156" s="109"/>
      <c r="E156" s="109"/>
      <c r="F156" s="109"/>
      <c r="G156" s="109"/>
      <c r="H156" s="109"/>
      <c r="I156" s="109"/>
      <c r="O156" s="29" t="s">
        <v>399</v>
      </c>
      <c r="P156" s="38" t="s">
        <v>829</v>
      </c>
      <c r="Q156" s="80" t="s">
        <v>830</v>
      </c>
    </row>
    <row r="157">
      <c r="A157" s="149" t="str">
        <f>Translation!A169</f>
        <v>ESTOQUE - LINHA &gt; 500 cc</v>
      </c>
      <c r="B157" s="142" t="str">
        <f>Translation!$G$32</f>
        <v>CONTA</v>
      </c>
      <c r="C157" s="121" t="str">
        <f>Translation!$G$30</f>
        <v>ESTOQUE FINAL</v>
      </c>
      <c r="D157" s="109"/>
      <c r="E157" s="109"/>
      <c r="F157" s="109"/>
      <c r="G157" s="109"/>
      <c r="H157" s="109"/>
      <c r="I157" s="109"/>
      <c r="O157" s="27" t="s">
        <v>831</v>
      </c>
      <c r="P157" s="38" t="str">
        <f>Translation!$G$32</f>
        <v>CONTA</v>
      </c>
      <c r="Q157" s="79" t="str">
        <f>Translation!$G$30</f>
        <v>ESTOQUE FINAL</v>
      </c>
    </row>
    <row r="158">
      <c r="A158" s="146" t="str">
        <f>Translation!A170</f>
        <v>XJ6 N ABS</v>
      </c>
      <c r="B158" s="142" t="s">
        <v>832</v>
      </c>
      <c r="C158" s="110" t="e">
        <f>VLOOKUP(Q158,Data!$B:$E,4,FALSE)</f>
        <v>#N/A</v>
      </c>
      <c r="D158" s="109"/>
      <c r="E158" s="109"/>
      <c r="F158" s="109"/>
      <c r="G158" s="109"/>
      <c r="H158" s="109"/>
      <c r="I158" s="109"/>
      <c r="O158" s="29" t="s">
        <v>420</v>
      </c>
      <c r="P158" s="38" t="s">
        <v>832</v>
      </c>
      <c r="Q158" s="80" t="s">
        <v>833</v>
      </c>
    </row>
    <row r="159">
      <c r="A159" s="146" t="str">
        <f>Translation!A171</f>
        <v>XJ6 F ABS</v>
      </c>
      <c r="B159" s="142" t="s">
        <v>834</v>
      </c>
      <c r="C159" s="110" t="e">
        <f>VLOOKUP(Q159,Data!$B:$E,4,FALSE)</f>
        <v>#N/A</v>
      </c>
      <c r="D159" s="109"/>
      <c r="E159" s="109"/>
      <c r="F159" s="109"/>
      <c r="G159" s="109"/>
      <c r="H159" s="109"/>
      <c r="I159" s="109"/>
      <c r="O159" s="29" t="s">
        <v>430</v>
      </c>
      <c r="P159" s="38" t="s">
        <v>834</v>
      </c>
      <c r="Q159" s="80" t="s">
        <v>835</v>
      </c>
    </row>
    <row r="160">
      <c r="A160" s="146" t="str">
        <f>Translation!A172</f>
        <v>XT 660R</v>
      </c>
      <c r="B160" s="142" t="s">
        <v>836</v>
      </c>
      <c r="C160" s="110" t="e">
        <f>VLOOKUP(Q160,Data!$B:$E,4,FALSE)</f>
        <v>#N/A</v>
      </c>
      <c r="D160" s="109"/>
      <c r="E160" s="109"/>
      <c r="F160" s="109"/>
      <c r="G160" s="109"/>
      <c r="H160" s="109"/>
      <c r="I160" s="109"/>
      <c r="O160" s="29" t="s">
        <v>440</v>
      </c>
      <c r="P160" s="38" t="s">
        <v>836</v>
      </c>
      <c r="Q160" s="80" t="s">
        <v>837</v>
      </c>
    </row>
    <row r="161">
      <c r="A161" s="146" t="str">
        <f>Translation!A173</f>
        <v>XT 660Z TENERE ABS</v>
      </c>
      <c r="B161" s="142" t="s">
        <v>838</v>
      </c>
      <c r="C161" s="110" t="e">
        <f>VLOOKUP(Q161,Data!$B:$E,4,FALSE)</f>
        <v>#N/A</v>
      </c>
      <c r="D161" s="109"/>
      <c r="E161" s="109"/>
      <c r="F161" s="109"/>
      <c r="G161" s="109"/>
      <c r="H161" s="109"/>
      <c r="I161" s="109"/>
      <c r="O161" s="29" t="s">
        <v>450</v>
      </c>
      <c r="P161" s="38" t="s">
        <v>838</v>
      </c>
      <c r="Q161" s="80" t="s">
        <v>839</v>
      </c>
    </row>
    <row r="162">
      <c r="A162" s="146" t="str">
        <f>Translation!A174</f>
        <v>MT07</v>
      </c>
      <c r="B162" s="142" t="s">
        <v>840</v>
      </c>
      <c r="C162" s="110" t="e">
        <f>VLOOKUP(Q162,Data!$B:$E,4,FALSE)</f>
        <v>#N/A</v>
      </c>
      <c r="D162" s="109"/>
      <c r="E162" s="109"/>
      <c r="F162" s="109"/>
      <c r="G162" s="109"/>
      <c r="H162" s="109"/>
      <c r="I162" s="109"/>
      <c r="O162" s="29" t="s">
        <v>460</v>
      </c>
      <c r="P162" s="38" t="s">
        <v>840</v>
      </c>
      <c r="Q162" s="80" t="s">
        <v>841</v>
      </c>
    </row>
    <row r="163">
      <c r="A163" s="146" t="str">
        <f>Translation!A175</f>
        <v>MT07 ABS</v>
      </c>
      <c r="B163" s="142" t="s">
        <v>842</v>
      </c>
      <c r="C163" s="110" t="e">
        <f>VLOOKUP(Q163,Data!$B:$E,4,FALSE)</f>
        <v>#N/A</v>
      </c>
      <c r="D163" s="109"/>
      <c r="E163" s="109"/>
      <c r="F163" s="109"/>
      <c r="G163" s="109"/>
      <c r="H163" s="109"/>
      <c r="I163" s="109"/>
      <c r="O163" s="29" t="s">
        <v>470</v>
      </c>
      <c r="P163" s="38" t="s">
        <v>842</v>
      </c>
      <c r="Q163" s="80" t="s">
        <v>843</v>
      </c>
    </row>
    <row r="164">
      <c r="A164" s="146" t="str">
        <f>Translation!A176</f>
        <v>MT09</v>
      </c>
      <c r="B164" s="142" t="s">
        <v>844</v>
      </c>
      <c r="C164" s="110" t="e">
        <f>VLOOKUP(Q164,Data!$B:$E,4,FALSE)</f>
        <v>#N/A</v>
      </c>
      <c r="D164" s="109"/>
      <c r="E164" s="109"/>
      <c r="F164" s="109"/>
      <c r="G164" s="109"/>
      <c r="H164" s="109"/>
      <c r="I164" s="109"/>
      <c r="O164" s="29" t="s">
        <v>480</v>
      </c>
      <c r="P164" s="38" t="s">
        <v>844</v>
      </c>
      <c r="Q164" s="80" t="s">
        <v>845</v>
      </c>
    </row>
    <row r="165">
      <c r="A165" s="146" t="str">
        <f>Translation!A177</f>
        <v>MT09 SP</v>
      </c>
      <c r="B165" s="142" t="s">
        <v>846</v>
      </c>
      <c r="C165" s="110" t="e">
        <f>VLOOKUP(Q165,Data!$B:$E,4,FALSE)</f>
        <v>#N/A</v>
      </c>
      <c r="D165" s="109"/>
      <c r="E165" s="109"/>
      <c r="F165" s="109"/>
      <c r="G165" s="109"/>
      <c r="H165" s="109"/>
      <c r="I165" s="109"/>
      <c r="O165" s="29" t="s">
        <v>490</v>
      </c>
      <c r="P165" s="38" t="s">
        <v>846</v>
      </c>
      <c r="Q165" s="80" t="s">
        <v>847</v>
      </c>
    </row>
    <row r="166">
      <c r="A166" s="146" t="str">
        <f>Translation!A178</f>
        <v>MT09 TRACER</v>
      </c>
      <c r="B166" s="142" t="s">
        <v>848</v>
      </c>
      <c r="C166" s="110" t="e">
        <f>VLOOKUP(Q166,Data!$B:$E,4,FALSE)</f>
        <v>#N/A</v>
      </c>
      <c r="D166" s="109"/>
      <c r="E166" s="109"/>
      <c r="F166" s="109"/>
      <c r="G166" s="109"/>
      <c r="H166" s="109"/>
      <c r="I166" s="109"/>
      <c r="O166" s="29" t="s">
        <v>500</v>
      </c>
      <c r="P166" s="38" t="s">
        <v>848</v>
      </c>
      <c r="Q166" s="80" t="s">
        <v>849</v>
      </c>
    </row>
    <row r="167">
      <c r="A167" s="146" t="str">
        <f>Translation!A179</f>
        <v>YZF R1</v>
      </c>
      <c r="B167" s="142" t="s">
        <v>850</v>
      </c>
      <c r="C167" s="110" t="e">
        <f>VLOOKUP(Q167,Data!$B:$E,4,FALSE)</f>
        <v>#N/A</v>
      </c>
      <c r="D167" s="109"/>
      <c r="E167" s="109"/>
      <c r="F167" s="109"/>
      <c r="G167" s="109"/>
      <c r="H167" s="109"/>
      <c r="I167" s="109"/>
      <c r="O167" s="29" t="s">
        <v>510</v>
      </c>
      <c r="P167" s="38" t="s">
        <v>850</v>
      </c>
      <c r="Q167" s="80" t="s">
        <v>851</v>
      </c>
    </row>
    <row r="168">
      <c r="A168" s="146" t="str">
        <f>Translation!A180</f>
        <v>YZF R1M</v>
      </c>
      <c r="B168" s="142" t="s">
        <v>852</v>
      </c>
      <c r="C168" s="110" t="e">
        <f>VLOOKUP(Q168,Data!$B:$E,4,FALSE)</f>
        <v>#N/A</v>
      </c>
      <c r="D168" s="109"/>
      <c r="E168" s="109"/>
      <c r="F168" s="109"/>
      <c r="G168" s="109"/>
      <c r="H168" s="109"/>
      <c r="I168" s="109"/>
      <c r="O168" s="29" t="s">
        <v>520</v>
      </c>
      <c r="P168" s="38" t="s">
        <v>852</v>
      </c>
      <c r="Q168" s="80" t="s">
        <v>853</v>
      </c>
    </row>
    <row r="169">
      <c r="A169" s="146" t="s">
        <v>539</v>
      </c>
      <c r="B169" s="142" t="s">
        <v>854</v>
      </c>
      <c r="C169" s="110" t="e">
        <f>VLOOKUP(Q169,Data!$B:$E,4,FALSE)</f>
        <v>#N/A</v>
      </c>
      <c r="D169" s="109"/>
      <c r="E169" s="109"/>
      <c r="F169" s="109"/>
      <c r="G169" s="109"/>
      <c r="H169" s="109"/>
      <c r="I169" s="109"/>
      <c r="O169" s="29" t="s">
        <v>539</v>
      </c>
      <c r="P169" s="38" t="s">
        <v>854</v>
      </c>
      <c r="Q169" s="80" t="s">
        <v>855</v>
      </c>
    </row>
    <row r="170">
      <c r="A170" s="146" t="s">
        <v>529</v>
      </c>
      <c r="B170" s="142" t="s">
        <v>856</v>
      </c>
      <c r="C170" s="110" t="e">
        <f>VLOOKUP(Q170,Data!$B:$E,4,FALSE)</f>
        <v>#N/A</v>
      </c>
      <c r="D170" s="109"/>
      <c r="E170" s="109"/>
      <c r="F170" s="109"/>
      <c r="G170" s="109"/>
      <c r="H170" s="109"/>
      <c r="I170" s="109"/>
      <c r="O170" s="29" t="s">
        <v>529</v>
      </c>
      <c r="P170" s="38" t="s">
        <v>856</v>
      </c>
      <c r="Q170" s="80" t="s">
        <v>857</v>
      </c>
    </row>
    <row r="171">
      <c r="A171" s="146" t="s">
        <v>549</v>
      </c>
      <c r="B171" s="142" t="s">
        <v>858</v>
      </c>
      <c r="C171" s="110" t="e">
        <f>VLOOKUP(Q171,Data!$B:$E,4,FALSE)</f>
        <v>#N/A</v>
      </c>
      <c r="D171" s="109"/>
      <c r="E171" s="109"/>
      <c r="F171" s="109"/>
      <c r="G171" s="109"/>
      <c r="H171" s="109"/>
      <c r="I171" s="109"/>
      <c r="O171" s="146" t="s">
        <v>549</v>
      </c>
      <c r="P171" s="142" t="s">
        <v>858</v>
      </c>
      <c r="Q171" s="80" t="s">
        <v>859</v>
      </c>
    </row>
    <row r="172">
      <c r="A172" s="147" t="str">
        <f>Translation!A181</f>
        <v>TOTAL DE MOTOCICLETAS</v>
      </c>
      <c r="B172" s="142" t="s">
        <v>860</v>
      </c>
      <c r="C172" s="108" t="e">
        <f>VLOOKUP(Q172,Data!$B:$E,4,FALSE)</f>
        <v>#N/A</v>
      </c>
      <c r="D172" s="109"/>
      <c r="E172" s="109"/>
      <c r="F172" s="109"/>
      <c r="G172" s="109"/>
      <c r="H172" s="109"/>
      <c r="I172" s="109"/>
      <c r="O172" s="48" t="s">
        <v>861</v>
      </c>
      <c r="P172" s="38" t="s">
        <v>860</v>
      </c>
      <c r="Q172" s="81" t="s">
        <v>862</v>
      </c>
    </row>
    <row r="173">
      <c r="A173" s="149" t="str">
        <f>Translation!A182</f>
        <v>ESTOQUE - LINHA NÁUTICA</v>
      </c>
      <c r="B173" s="142" t="str">
        <f>Translation!$G$32</f>
        <v>CONTA</v>
      </c>
      <c r="C173" s="121" t="str">
        <f>Translation!$G$30</f>
        <v>ESTOQUE FINAL</v>
      </c>
      <c r="D173" s="109"/>
      <c r="E173" s="109"/>
      <c r="F173" s="109"/>
      <c r="G173" s="109"/>
      <c r="H173" s="109"/>
      <c r="I173" s="109"/>
      <c r="O173" s="27" t="s">
        <v>863</v>
      </c>
      <c r="P173" s="38" t="str">
        <f>Translation!$G$32</f>
        <v>CONTA</v>
      </c>
      <c r="Q173" s="79" t="str">
        <f>Translation!$G$30</f>
        <v>ESTOQUE FINAL</v>
      </c>
    </row>
    <row r="174">
      <c r="A174" s="146" t="str">
        <f>Translation!A183</f>
        <v>MOTORES</v>
      </c>
      <c r="B174" s="142" t="s">
        <v>864</v>
      </c>
      <c r="C174" s="110" t="e">
        <f>VLOOKUP(Q174,Data!$B:$E,4,FALSE)</f>
        <v>#N/A</v>
      </c>
      <c r="D174" s="109"/>
      <c r="E174" s="109"/>
      <c r="F174" s="109"/>
      <c r="G174" s="109"/>
      <c r="H174" s="109"/>
      <c r="I174" s="109"/>
      <c r="O174" s="29" t="s">
        <v>591</v>
      </c>
      <c r="P174" s="38" t="s">
        <v>864</v>
      </c>
      <c r="Q174" s="80" t="s">
        <v>865</v>
      </c>
    </row>
    <row r="175">
      <c r="A175" s="146" t="str">
        <f>Translation!A184</f>
        <v>WAVERUNNER</v>
      </c>
      <c r="B175" s="142" t="s">
        <v>866</v>
      </c>
      <c r="C175" s="110" t="e">
        <f>VLOOKUP(Q175,Data!$B:$E,4,FALSE)</f>
        <v>#N/A</v>
      </c>
      <c r="D175" s="109"/>
      <c r="E175" s="109"/>
      <c r="F175" s="109"/>
      <c r="G175" s="109"/>
      <c r="H175" s="109"/>
      <c r="I175" s="109"/>
      <c r="O175" s="29" t="s">
        <v>601</v>
      </c>
      <c r="P175" s="38" t="s">
        <v>866</v>
      </c>
      <c r="Q175" s="80" t="s">
        <v>867</v>
      </c>
    </row>
    <row r="176">
      <c r="A176" s="147" t="str">
        <f>Translation!A185</f>
        <v>TOTAL DE LINHA NÁUTICA</v>
      </c>
      <c r="B176" s="142" t="s">
        <v>868</v>
      </c>
      <c r="C176" s="108" t="e">
        <f>VLOOKUP(Q176,Data!$B:$E,4,FALSE)</f>
        <v>#N/A</v>
      </c>
      <c r="D176" s="109"/>
      <c r="E176" s="109"/>
      <c r="F176" s="109"/>
      <c r="G176" s="109"/>
      <c r="H176" s="109"/>
      <c r="I176" s="109"/>
      <c r="O176" s="48" t="s">
        <v>869</v>
      </c>
      <c r="P176" s="38" t="s">
        <v>868</v>
      </c>
      <c r="Q176" s="81" t="s">
        <v>870</v>
      </c>
    </row>
    <row r="177">
      <c r="A177" s="149" t="str">
        <f>Translation!A186</f>
        <v>ESTOQUE - LINHA QUADRICICLOS</v>
      </c>
      <c r="B177" s="142" t="str">
        <f>Translation!$G$32</f>
        <v>CONTA</v>
      </c>
      <c r="C177" s="121" t="str">
        <f>Translation!$G$30</f>
        <v>ESTOQUE FINAL</v>
      </c>
      <c r="D177" s="109"/>
      <c r="E177" s="109"/>
      <c r="F177" s="109"/>
      <c r="G177" s="109"/>
      <c r="H177" s="109"/>
      <c r="I177" s="109"/>
      <c r="O177" s="27" t="s">
        <v>871</v>
      </c>
      <c r="P177" s="38" t="str">
        <f>Translation!$G$32</f>
        <v>CONTA</v>
      </c>
      <c r="Q177" s="79" t="str">
        <f>Translation!$G$30</f>
        <v>ESTOQUE FINAL</v>
      </c>
    </row>
    <row r="178">
      <c r="A178" s="146" t="str">
        <f>Translation!A187</f>
        <v>MODELO 1</v>
      </c>
      <c r="B178" s="142" t="s">
        <v>872</v>
      </c>
      <c r="C178" s="110" t="e">
        <f>VLOOKUP(Q178,Data!$B:$E,4,FALSE)</f>
        <v>#N/A</v>
      </c>
      <c r="D178" s="109"/>
      <c r="E178" s="109"/>
      <c r="F178" s="109"/>
      <c r="G178" s="109"/>
      <c r="H178" s="109"/>
      <c r="I178" s="109"/>
      <c r="O178" s="29" t="s">
        <v>622</v>
      </c>
      <c r="P178" s="38" t="s">
        <v>872</v>
      </c>
      <c r="Q178" s="80" t="s">
        <v>873</v>
      </c>
    </row>
    <row r="179">
      <c r="A179" s="146" t="str">
        <f>Translation!A188</f>
        <v>MODELO 2</v>
      </c>
      <c r="B179" s="142" t="s">
        <v>874</v>
      </c>
      <c r="C179" s="110" t="e">
        <f>VLOOKUP(Q179,Data!$B:$E,4,FALSE)</f>
        <v>#N/A</v>
      </c>
      <c r="D179" s="109"/>
      <c r="E179" s="109"/>
      <c r="F179" s="109"/>
      <c r="G179" s="109"/>
      <c r="H179" s="109"/>
      <c r="I179" s="109"/>
      <c r="O179" s="29" t="s">
        <v>632</v>
      </c>
      <c r="P179" s="38" t="s">
        <v>874</v>
      </c>
      <c r="Q179" s="80" t="s">
        <v>875</v>
      </c>
    </row>
    <row r="180">
      <c r="A180" s="146" t="str">
        <f>Translation!A189</f>
        <v>MODELO 3</v>
      </c>
      <c r="B180" s="142" t="s">
        <v>876</v>
      </c>
      <c r="C180" s="110" t="e">
        <f>VLOOKUP(Q180,Data!$B:$E,4,FALSE)</f>
        <v>#N/A</v>
      </c>
      <c r="D180" s="109"/>
      <c r="E180" s="109"/>
      <c r="F180" s="109"/>
      <c r="G180" s="109"/>
      <c r="H180" s="109"/>
      <c r="I180" s="109"/>
      <c r="O180" s="29" t="s">
        <v>642</v>
      </c>
      <c r="P180" s="38" t="s">
        <v>876</v>
      </c>
      <c r="Q180" s="80" t="s">
        <v>877</v>
      </c>
    </row>
    <row r="181">
      <c r="A181" s="147" t="str">
        <f>Translation!A190</f>
        <v>TOTAL DE LINHA QUADRICICLOS</v>
      </c>
      <c r="B181" s="142" t="s">
        <v>878</v>
      </c>
      <c r="C181" s="108" t="e">
        <f>VLOOKUP(Q181,Data!$B:$E,4,FALSE)</f>
        <v>#N/A</v>
      </c>
      <c r="D181" s="109"/>
      <c r="E181" s="109"/>
      <c r="F181" s="109"/>
      <c r="G181" s="109"/>
      <c r="H181" s="109"/>
      <c r="I181" s="109"/>
      <c r="O181" s="48" t="s">
        <v>879</v>
      </c>
      <c r="P181" s="38" t="s">
        <v>878</v>
      </c>
      <c r="Q181" s="81" t="s">
        <v>880</v>
      </c>
    </row>
    <row r="182">
      <c r="A182" s="147" t="str">
        <f>Translation!A191</f>
        <v>TOTAL DE ESTOQUE DE NOVOS</v>
      </c>
      <c r="B182" s="142" t="s">
        <v>881</v>
      </c>
      <c r="C182" s="108" t="e">
        <f>VLOOKUP(Q182,Data!$B:$E,4,FALSE)</f>
        <v>#N/A</v>
      </c>
      <c r="D182" s="109"/>
      <c r="E182" s="109"/>
      <c r="F182" s="109"/>
      <c r="G182" s="109"/>
      <c r="H182" s="109"/>
      <c r="I182" s="109"/>
      <c r="O182" s="48" t="s">
        <v>882</v>
      </c>
      <c r="P182" s="38" t="s">
        <v>881</v>
      </c>
      <c r="Q182" s="81" t="s">
        <v>883</v>
      </c>
    </row>
    <row r="183">
      <c r="A183" s="71" t="str">
        <f>Translation!A2</f>
        <v>VENDAS DE USADOS</v>
      </c>
      <c r="B183" s="82"/>
      <c r="C183" s="102"/>
      <c r="D183" s="102"/>
      <c r="E183" s="102"/>
      <c r="F183" s="102"/>
      <c r="G183" s="102"/>
      <c r="H183" s="103"/>
      <c r="I183" s="104"/>
      <c r="J183" s="104"/>
      <c r="O183" s="71" t="s">
        <v>884</v>
      </c>
      <c r="P183" s="82"/>
    </row>
    <row r="184" ht="30">
      <c r="A184" s="145" t="str">
        <f>Translation!A193</f>
        <v>VENDAS DE USADOS</v>
      </c>
      <c r="B184" s="142" t="str">
        <f>Translation!$G$32</f>
        <v>CONTA</v>
      </c>
      <c r="C184" s="121" t="str">
        <f>Translation!$G$12</f>
        <v>UNIDADES</v>
      </c>
      <c r="D184" s="120" t="str">
        <f>Translation!$G$11</f>
        <v>RECEITA
(SEM IMPOSTOS)</v>
      </c>
      <c r="E184" s="120" t="str">
        <f>Translation!$G$33</f>
        <v>UNIDADES DEVOLVIDAS</v>
      </c>
      <c r="F184" s="120" t="str">
        <f>Translation!$G$14</f>
        <v>DEVOLUÇÃO
DE VENDAS</v>
      </c>
      <c r="G184" s="120" t="str">
        <f>Translation!$G$3</f>
        <v>ABAT. E DESCONTO</v>
      </c>
      <c r="H184" s="120" t="str">
        <f>Translation!$G$9</f>
        <v>RECEITA LÍQUIDA</v>
      </c>
      <c r="I184" s="121" t="str">
        <f>Translation!$G$2</f>
        <v>CUSTO</v>
      </c>
      <c r="J184" s="121" t="str">
        <f>Translation!$G$5</f>
        <v>LUCRO BRUTO</v>
      </c>
      <c r="O184" s="73" t="s">
        <v>885</v>
      </c>
      <c r="P184" s="38" t="str">
        <f>Translation!$G$32</f>
        <v>CONTA</v>
      </c>
      <c r="Q184" s="79" t="s">
        <v>2</v>
      </c>
      <c r="R184" s="79" t="s">
        <v>3</v>
      </c>
      <c r="S184" s="74" t="s">
        <v>4</v>
      </c>
      <c r="T184" s="79" t="s">
        <v>5</v>
      </c>
      <c r="U184" s="79" t="s">
        <v>6</v>
      </c>
      <c r="V184" s="79" t="s">
        <v>7</v>
      </c>
      <c r="W184" s="79" t="s">
        <v>8</v>
      </c>
      <c r="X184" s="79" t="s">
        <v>9</v>
      </c>
    </row>
    <row r="185">
      <c r="A185" s="148" t="str">
        <f>Translation!A194</f>
        <v>MOTOCICLETAS YAMAHA</v>
      </c>
      <c r="B185" s="142" t="s">
        <v>886</v>
      </c>
      <c r="C185" s="111" t="e">
        <f>VLOOKUP(Q185,Data!$B:$E,4,FALSE)</f>
        <v>#N/A</v>
      </c>
      <c r="D185" s="140" t="e">
        <f>VLOOKUP(R185,Data!$B:$E,4,FALSE)</f>
        <v>#N/A</v>
      </c>
      <c r="E185" s="140" t="e">
        <f>VLOOKUP(S185,Data!$B:$E,4,FALSE)</f>
        <v>#N/A</v>
      </c>
      <c r="F185" s="140" t="e">
        <f>VLOOKUP(T185,Data!$B:$E,4,FALSE)</f>
        <v>#N/A</v>
      </c>
      <c r="G185" s="140" t="e">
        <f>VLOOKUP(U185,Data!$B:$E,4,FALSE)</f>
        <v>#N/A</v>
      </c>
      <c r="H185" s="141" t="e">
        <f>VLOOKUP(V185,Data!$B:$E,4,FALSE)</f>
        <v>#N/A</v>
      </c>
      <c r="I185" s="140" t="e">
        <f>VLOOKUP(W185,Data!$B:$E,4,FALSE)</f>
        <v>#N/A</v>
      </c>
      <c r="J185" s="141" t="e">
        <f>VLOOKUP(X185,Data!$B:$E,4,FALSE)</f>
        <v>#N/A</v>
      </c>
      <c r="O185" s="29" t="s">
        <v>887</v>
      </c>
      <c r="P185" s="38" t="s">
        <v>886</v>
      </c>
      <c r="Q185" s="83" t="s">
        <v>888</v>
      </c>
      <c r="R185" s="83" t="s">
        <v>889</v>
      </c>
      <c r="S185" s="83" t="s">
        <v>890</v>
      </c>
      <c r="T185" s="83" t="s">
        <v>891</v>
      </c>
      <c r="U185" s="83" t="s">
        <v>892</v>
      </c>
      <c r="V185" s="81" t="s">
        <v>893</v>
      </c>
      <c r="W185" s="83" t="s">
        <v>894</v>
      </c>
      <c r="X185" s="81" t="s">
        <v>895</v>
      </c>
    </row>
    <row r="186">
      <c r="A186" s="148" t="str">
        <f>Translation!A195</f>
        <v>MOTOCICLETAS OUTRAS MARCAS</v>
      </c>
      <c r="B186" s="142" t="s">
        <v>896</v>
      </c>
      <c r="C186" s="111" t="e">
        <f>VLOOKUP(Q186,Data!$B:$E,4,FALSE)</f>
        <v>#N/A</v>
      </c>
      <c r="D186" s="140" t="e">
        <f>VLOOKUP(R186,Data!$B:$E,4,FALSE)</f>
        <v>#N/A</v>
      </c>
      <c r="E186" s="140" t="e">
        <f>VLOOKUP(S186,Data!$B:$E,4,FALSE)</f>
        <v>#N/A</v>
      </c>
      <c r="F186" s="140" t="e">
        <f>VLOOKUP(T186,Data!$B:$E,4,FALSE)</f>
        <v>#N/A</v>
      </c>
      <c r="G186" s="140" t="e">
        <f>VLOOKUP(U186,Data!$B:$E,4,FALSE)</f>
        <v>#N/A</v>
      </c>
      <c r="H186" s="141" t="e">
        <f>VLOOKUP(V186,Data!$B:$E,4,FALSE)</f>
        <v>#N/A</v>
      </c>
      <c r="I186" s="140" t="e">
        <f>VLOOKUP(W186,Data!$B:$E,4,FALSE)</f>
        <v>#N/A</v>
      </c>
      <c r="J186" s="141" t="e">
        <f>VLOOKUP(X186,Data!$B:$E,4,FALSE)</f>
        <v>#N/A</v>
      </c>
      <c r="O186" s="29" t="s">
        <v>897</v>
      </c>
      <c r="P186" s="38" t="s">
        <v>896</v>
      </c>
      <c r="Q186" s="83" t="s">
        <v>898</v>
      </c>
      <c r="R186" s="83" t="s">
        <v>899</v>
      </c>
      <c r="S186" s="83" t="s">
        <v>900</v>
      </c>
      <c r="T186" s="83" t="s">
        <v>901</v>
      </c>
      <c r="U186" s="83" t="s">
        <v>902</v>
      </c>
      <c r="V186" s="81" t="s">
        <v>903</v>
      </c>
      <c r="W186" s="83" t="s">
        <v>904</v>
      </c>
      <c r="X186" s="81" t="s">
        <v>905</v>
      </c>
    </row>
    <row r="187">
      <c r="A187" s="151" t="str">
        <f>Translation!A196</f>
        <v>VENDAS DE USADOS - MOTOCICLETAS</v>
      </c>
      <c r="B187" s="142" t="s">
        <v>906</v>
      </c>
      <c r="C187" s="112" t="e">
        <f>VLOOKUP(Q187,Data!$B:$E,4,FALSE)</f>
        <v>#N/A</v>
      </c>
      <c r="D187" s="141" t="e">
        <f>VLOOKUP(R187,Data!$B:$E,4,FALSE)</f>
        <v>#N/A</v>
      </c>
      <c r="E187" s="141" t="e">
        <f>VLOOKUP(S187,Data!$B:$E,4,FALSE)</f>
        <v>#N/A</v>
      </c>
      <c r="F187" s="141" t="e">
        <f>VLOOKUP(T187,Data!$B:$E,4,FALSE)</f>
        <v>#N/A</v>
      </c>
      <c r="G187" s="141" t="e">
        <f>VLOOKUP(U187,Data!$B:$E,4,FALSE)</f>
        <v>#N/A</v>
      </c>
      <c r="H187" s="141" t="e">
        <f>VLOOKUP(V187,Data!$B:$E,4,FALSE)</f>
        <v>#N/A</v>
      </c>
      <c r="I187" s="141" t="e">
        <f>VLOOKUP(W187,Data!$B:$E,4,FALSE)</f>
        <v>#N/A</v>
      </c>
      <c r="J187" s="141" t="e">
        <f>VLOOKUP(X187,Data!$B:$E,4,FALSE)</f>
        <v>#N/A</v>
      </c>
      <c r="O187" s="48" t="s">
        <v>907</v>
      </c>
      <c r="P187" s="38" t="s">
        <v>906</v>
      </c>
      <c r="Q187" s="81" t="s">
        <v>908</v>
      </c>
      <c r="R187" s="81" t="s">
        <v>909</v>
      </c>
      <c r="S187" s="81" t="s">
        <v>910</v>
      </c>
      <c r="T187" s="81" t="s">
        <v>911</v>
      </c>
      <c r="U187" s="81" t="s">
        <v>912</v>
      </c>
      <c r="V187" s="81" t="s">
        <v>913</v>
      </c>
      <c r="W187" s="81" t="s">
        <v>914</v>
      </c>
      <c r="X187" s="81" t="s">
        <v>915</v>
      </c>
    </row>
    <row r="188" ht="30">
      <c r="A188" s="152" t="str">
        <f>Translation!A197</f>
        <v>VENDAS DE USADOS - OUTROS PRODUTOS</v>
      </c>
      <c r="B188" s="142" t="str">
        <f>Translation!$G$32</f>
        <v>CONTA</v>
      </c>
      <c r="C188" s="121" t="str">
        <f>Translation!$G$12</f>
        <v>UNIDADES</v>
      </c>
      <c r="D188" s="120" t="str">
        <f>Translation!$G$11</f>
        <v>RECEITA
(SEM IMPOSTOS)</v>
      </c>
      <c r="E188" s="120" t="str">
        <f>Translation!$G$33</f>
        <v>UNIDADES DEVOLVIDAS</v>
      </c>
      <c r="F188" s="120" t="str">
        <f>Translation!$G$14</f>
        <v>DEVOLUÇÃO
DE VENDAS</v>
      </c>
      <c r="G188" s="120" t="str">
        <f>Translation!$G$3</f>
        <v>ABAT. E DESCONTO</v>
      </c>
      <c r="H188" s="120" t="str">
        <f>Translation!$G$9</f>
        <v>RECEITA LÍQUIDA</v>
      </c>
      <c r="I188" s="121" t="str">
        <f>Translation!$G$2</f>
        <v>CUSTO</v>
      </c>
      <c r="J188" s="121" t="str">
        <f>Translation!$G$5</f>
        <v>LUCRO BRUTO</v>
      </c>
      <c r="O188" s="27" t="s">
        <v>916</v>
      </c>
      <c r="P188" s="38" t="str">
        <f>Translation!$G$32</f>
        <v>CONTA</v>
      </c>
      <c r="Q188" s="79" t="s">
        <v>2</v>
      </c>
      <c r="R188" s="79" t="s">
        <v>3</v>
      </c>
      <c r="S188" s="74" t="s">
        <v>4</v>
      </c>
      <c r="T188" s="79" t="s">
        <v>5</v>
      </c>
      <c r="U188" s="79" t="s">
        <v>6</v>
      </c>
      <c r="V188" s="79" t="s">
        <v>7</v>
      </c>
      <c r="W188" s="79" t="s">
        <v>8</v>
      </c>
      <c r="X188" s="79" t="s">
        <v>9</v>
      </c>
    </row>
    <row r="189">
      <c r="A189" s="148" t="str">
        <f>Translation!A198</f>
        <v>OUTROS PRODUTOS YAMAHA</v>
      </c>
      <c r="B189" s="142" t="s">
        <v>917</v>
      </c>
      <c r="C189" s="111" t="e">
        <f>VLOOKUP(Q189,Data!$B:$E,4,FALSE)</f>
        <v>#N/A</v>
      </c>
      <c r="D189" s="140" t="e">
        <f>VLOOKUP(R189,Data!$B:$E,4,FALSE)</f>
        <v>#N/A</v>
      </c>
      <c r="E189" s="140" t="e">
        <f>VLOOKUP(S189,Data!$B:$E,4,FALSE)</f>
        <v>#N/A</v>
      </c>
      <c r="F189" s="140" t="e">
        <f>VLOOKUP(T189,Data!$B:$E,4,FALSE)</f>
        <v>#N/A</v>
      </c>
      <c r="G189" s="140" t="e">
        <f>VLOOKUP(U189,Data!$B:$E,4,FALSE)</f>
        <v>#N/A</v>
      </c>
      <c r="H189" s="141" t="e">
        <f>VLOOKUP(V189,Data!$B:$E,4,FALSE)</f>
        <v>#N/A</v>
      </c>
      <c r="I189" s="140" t="e">
        <f>VLOOKUP(W189,Data!$B:$E,4,FALSE)</f>
        <v>#N/A</v>
      </c>
      <c r="J189" s="141" t="e">
        <f>VLOOKUP(X189,Data!$B:$E,4,FALSE)</f>
        <v>#N/A</v>
      </c>
      <c r="O189" s="29" t="s">
        <v>918</v>
      </c>
      <c r="P189" s="38" t="s">
        <v>917</v>
      </c>
      <c r="Q189" s="83" t="s">
        <v>919</v>
      </c>
      <c r="R189" s="83" t="s">
        <v>920</v>
      </c>
      <c r="S189" s="83" t="s">
        <v>921</v>
      </c>
      <c r="T189" s="83" t="s">
        <v>922</v>
      </c>
      <c r="U189" s="83" t="s">
        <v>923</v>
      </c>
      <c r="V189" s="81" t="s">
        <v>924</v>
      </c>
      <c r="W189" s="83" t="s">
        <v>925</v>
      </c>
      <c r="X189" s="81" t="s">
        <v>926</v>
      </c>
    </row>
    <row r="190">
      <c r="A190" s="151" t="str">
        <f>Translation!A199</f>
        <v>TOTAL DE VENDAS DE USADOS</v>
      </c>
      <c r="B190" s="142" t="s">
        <v>927</v>
      </c>
      <c r="C190" s="112" t="e">
        <f>VLOOKUP(Q190,Data!$B:$E,4,FALSE)</f>
        <v>#N/A</v>
      </c>
      <c r="D190" s="141" t="e">
        <f>VLOOKUP(R190,Data!$B:$E,4,FALSE)</f>
        <v>#N/A</v>
      </c>
      <c r="E190" s="141" t="e">
        <f>VLOOKUP(S190,Data!$B:$E,4,FALSE)</f>
        <v>#N/A</v>
      </c>
      <c r="F190" s="141" t="e">
        <f>VLOOKUP(T190,Data!$B:$E,4,FALSE)</f>
        <v>#N/A</v>
      </c>
      <c r="G190" s="141" t="e">
        <f>VLOOKUP(U190,Data!$B:$E,4,FALSE)</f>
        <v>#N/A</v>
      </c>
      <c r="H190" s="141" t="e">
        <f>VLOOKUP(V190,Data!$B:$E,4,FALSE)</f>
        <v>#N/A</v>
      </c>
      <c r="I190" s="141" t="e">
        <f>VLOOKUP(W190,Data!$B:$E,4,FALSE)</f>
        <v>#N/A</v>
      </c>
      <c r="J190" s="141" t="e">
        <f>VLOOKUP(X190,Data!$B:$E,4,FALSE)</f>
        <v>#N/A</v>
      </c>
      <c r="O190" s="48" t="s">
        <v>928</v>
      </c>
      <c r="P190" s="38" t="s">
        <v>927</v>
      </c>
      <c r="Q190" s="81" t="s">
        <v>929</v>
      </c>
      <c r="R190" s="81" t="s">
        <v>930</v>
      </c>
      <c r="S190" s="81" t="s">
        <v>931</v>
      </c>
      <c r="T190" s="81" t="s">
        <v>932</v>
      </c>
      <c r="U190" s="81" t="s">
        <v>933</v>
      </c>
      <c r="V190" s="81" t="s">
        <v>934</v>
      </c>
      <c r="W190" s="81" t="s">
        <v>935</v>
      </c>
      <c r="X190" s="81" t="s">
        <v>936</v>
      </c>
    </row>
    <row r="191">
      <c r="A191" s="152" t="str">
        <f>Translation!A200</f>
        <v>OUTRAS RECEITAS OPERACIONAIS</v>
      </c>
      <c r="B191" s="144" t="str">
        <f>Translation!$G$32</f>
        <v>CONTA</v>
      </c>
      <c r="C191" s="121" t="str">
        <f>Translation!$G$1</f>
        <v>VALOR</v>
      </c>
      <c r="D191" s="113"/>
      <c r="E191" s="113"/>
      <c r="F191" s="113"/>
      <c r="G191" s="113"/>
      <c r="H191" s="113"/>
      <c r="I191" s="113"/>
      <c r="O191" s="27" t="s">
        <v>671</v>
      </c>
      <c r="P191" s="40" t="str">
        <f>Translation!$G$32</f>
        <v>CONTA</v>
      </c>
      <c r="Q191" s="79" t="str">
        <f>Translation!$G$1</f>
        <v>VALOR</v>
      </c>
      <c r="R191" s="84"/>
      <c r="S191" s="84"/>
      <c r="T191" s="84"/>
      <c r="U191" s="84"/>
      <c r="V191" s="84"/>
      <c r="W191" s="84"/>
    </row>
    <row r="192">
      <c r="A192" s="148" t="str">
        <f>Translation!A201</f>
        <v>INCENTIVOS DE VAREJO</v>
      </c>
      <c r="B192" s="144" t="s">
        <v>937</v>
      </c>
      <c r="C192" s="140" t="e">
        <f>VLOOKUP(Q192,Data!$B:$E,4,FALSE)</f>
        <v>#N/A</v>
      </c>
      <c r="D192" s="114"/>
      <c r="E192" s="114"/>
      <c r="F192" s="113"/>
      <c r="G192" s="113"/>
      <c r="H192" s="113"/>
      <c r="I192" s="113"/>
      <c r="O192" s="29" t="s">
        <v>673</v>
      </c>
      <c r="P192" s="40" t="s">
        <v>937</v>
      </c>
      <c r="Q192" s="83" t="s">
        <v>938</v>
      </c>
      <c r="R192" s="83"/>
      <c r="S192" s="83"/>
      <c r="T192" s="84"/>
      <c r="U192" s="84"/>
      <c r="V192" s="84"/>
      <c r="W192" s="84"/>
    </row>
    <row r="193">
      <c r="A193" s="148" t="str">
        <f>Translation!A202</f>
        <v>BONIFICAÇÕES 1</v>
      </c>
      <c r="B193" s="144" t="s">
        <v>939</v>
      </c>
      <c r="C193" s="140" t="e">
        <f>VLOOKUP(Q193,Data!$B:$E,4,FALSE)</f>
        <v>#N/A</v>
      </c>
      <c r="D193" s="115"/>
      <c r="E193" s="115"/>
      <c r="F193" s="115"/>
      <c r="G193" s="116"/>
      <c r="H193" s="115"/>
      <c r="I193" s="115"/>
      <c r="O193" s="29" t="s">
        <v>676</v>
      </c>
      <c r="P193" s="40" t="s">
        <v>939</v>
      </c>
      <c r="Q193" s="85" t="s">
        <v>940</v>
      </c>
      <c r="R193" s="85"/>
      <c r="S193" s="85"/>
      <c r="T193" s="85"/>
      <c r="U193" s="86"/>
      <c r="V193" s="85"/>
      <c r="W193" s="85"/>
    </row>
    <row r="194">
      <c r="A194" s="148" t="str">
        <f>Translation!A203</f>
        <v>BONIFICAÇÕES 2</v>
      </c>
      <c r="B194" s="144" t="s">
        <v>941</v>
      </c>
      <c r="C194" s="140" t="e">
        <f>VLOOKUP(Q194,Data!$B:$E,4,FALSE)</f>
        <v>#N/A</v>
      </c>
      <c r="D194" s="113"/>
      <c r="E194" s="113"/>
      <c r="F194" s="113"/>
      <c r="G194" s="113"/>
      <c r="H194" s="113"/>
      <c r="I194" s="113"/>
      <c r="O194" s="29" t="s">
        <v>679</v>
      </c>
      <c r="P194" s="40" t="s">
        <v>941</v>
      </c>
      <c r="Q194" s="84" t="s">
        <v>942</v>
      </c>
      <c r="R194" s="84"/>
      <c r="S194" s="84"/>
      <c r="T194" s="84"/>
      <c r="U194" s="84"/>
      <c r="V194" s="84"/>
      <c r="W194" s="84"/>
    </row>
    <row r="195">
      <c r="A195" s="148" t="str">
        <f>Translation!A204</f>
        <v>COMISSÕES DIVERSAS</v>
      </c>
      <c r="B195" s="144" t="s">
        <v>943</v>
      </c>
      <c r="C195" s="140" t="e">
        <f>VLOOKUP(Q195,Data!$B:$E,4,FALSE)</f>
        <v>#N/A</v>
      </c>
      <c r="D195" s="113"/>
      <c r="E195" s="113"/>
      <c r="F195" s="113"/>
      <c r="G195" s="113"/>
      <c r="H195" s="113"/>
      <c r="I195" s="113"/>
      <c r="O195" s="29" t="s">
        <v>682</v>
      </c>
      <c r="P195" s="40" t="s">
        <v>943</v>
      </c>
      <c r="Q195" s="84" t="s">
        <v>944</v>
      </c>
      <c r="R195" s="84"/>
      <c r="S195" s="84"/>
      <c r="T195" s="84"/>
      <c r="U195" s="84"/>
      <c r="V195" s="84"/>
      <c r="W195" s="84"/>
    </row>
    <row r="196">
      <c r="A196" s="148" t="str">
        <f>Translation!A205</f>
        <v>OUTRAS RECEITAS</v>
      </c>
      <c r="B196" s="144" t="s">
        <v>945</v>
      </c>
      <c r="C196" s="140" t="e">
        <f>VLOOKUP(Q196,Data!$B:$E,4,FALSE)</f>
        <v>#N/A</v>
      </c>
      <c r="D196" s="113"/>
      <c r="E196" s="113"/>
      <c r="F196" s="113"/>
      <c r="G196" s="113"/>
      <c r="H196" s="113"/>
      <c r="I196" s="113"/>
      <c r="O196" s="29" t="s">
        <v>685</v>
      </c>
      <c r="P196" s="40" t="s">
        <v>945</v>
      </c>
      <c r="Q196" s="84" t="s">
        <v>946</v>
      </c>
      <c r="R196" s="84"/>
      <c r="S196" s="84"/>
      <c r="T196" s="84"/>
      <c r="U196" s="84"/>
      <c r="V196" s="84"/>
      <c r="W196" s="84"/>
    </row>
    <row r="197">
      <c r="A197" s="151" t="str">
        <f>Translation!A206</f>
        <v>TOTAL DE OUTRAS RECEITAS OPERACIONAIS</v>
      </c>
      <c r="B197" s="142" t="s">
        <v>947</v>
      </c>
      <c r="C197" s="141" t="e">
        <f>VLOOKUP(Q197,Data!$B:$E,4,FALSE)</f>
        <v>#N/A</v>
      </c>
      <c r="D197" s="117"/>
      <c r="E197" s="117"/>
      <c r="F197" s="117"/>
      <c r="G197" s="117"/>
      <c r="H197" s="117"/>
      <c r="I197" s="117"/>
      <c r="O197" s="48" t="s">
        <v>688</v>
      </c>
      <c r="P197" s="38" t="s">
        <v>947</v>
      </c>
      <c r="Q197" s="81" t="s">
        <v>948</v>
      </c>
      <c r="R197" s="87"/>
      <c r="S197" s="87"/>
      <c r="T197" s="87"/>
      <c r="U197" s="87"/>
      <c r="V197" s="87"/>
      <c r="W197" s="87"/>
    </row>
    <row r="198">
      <c r="A198" s="152" t="str">
        <f>Translation!A207</f>
        <v>DESPESAS VARIÁVEIS</v>
      </c>
      <c r="B198" s="144" t="str">
        <f>Translation!$G$32</f>
        <v>CONTA</v>
      </c>
      <c r="C198" s="121" t="str">
        <f>Translation!$G$1</f>
        <v>VALOR</v>
      </c>
      <c r="D198" s="113"/>
      <c r="E198" s="113"/>
      <c r="F198" s="113"/>
      <c r="G198" s="113"/>
      <c r="H198" s="113"/>
      <c r="I198" s="113"/>
      <c r="O198" s="27" t="s">
        <v>690</v>
      </c>
      <c r="P198" s="40" t="str">
        <f>Translation!$G$32</f>
        <v>CONTA</v>
      </c>
      <c r="Q198" s="79" t="str">
        <f>Translation!$G$1</f>
        <v>VALOR</v>
      </c>
      <c r="R198" s="84"/>
      <c r="S198" s="84"/>
      <c r="T198" s="84"/>
      <c r="U198" s="84"/>
      <c r="V198" s="84"/>
      <c r="W198" s="84"/>
    </row>
    <row r="199">
      <c r="A199" s="148" t="str">
        <f>Translation!A208</f>
        <v>COMISSÕES SOBRE VENDAS</v>
      </c>
      <c r="B199" s="144" t="s">
        <v>949</v>
      </c>
      <c r="C199" s="140" t="e">
        <f>VLOOKUP(Q199,Data!$B:$E,4,FALSE)</f>
        <v>#N/A</v>
      </c>
      <c r="D199" s="114"/>
      <c r="E199" s="114"/>
      <c r="F199" s="113"/>
      <c r="G199" s="113"/>
      <c r="H199" s="113"/>
      <c r="I199" s="113"/>
      <c r="O199" s="29" t="s">
        <v>692</v>
      </c>
      <c r="P199" s="40" t="s">
        <v>949</v>
      </c>
      <c r="Q199" s="83" t="s">
        <v>950</v>
      </c>
      <c r="R199" s="83"/>
      <c r="S199" s="83"/>
      <c r="T199" s="84"/>
      <c r="U199" s="84"/>
      <c r="V199" s="84"/>
      <c r="W199" s="84"/>
    </row>
    <row r="200">
      <c r="A200" s="148" t="str">
        <f>Translation!A209</f>
        <v>ENCARGOS SOBRE COMISSÕES (-)</v>
      </c>
      <c r="B200" s="144" t="s">
        <v>951</v>
      </c>
      <c r="C200" s="140" t="e">
        <f>VLOOKUP(Q200,Data!$B:$E,4,FALSE)</f>
        <v>#N/A</v>
      </c>
      <c r="D200" s="115"/>
      <c r="E200" s="115"/>
      <c r="F200" s="115"/>
      <c r="G200" s="116"/>
      <c r="H200" s="115"/>
      <c r="I200" s="115"/>
      <c r="O200" s="29" t="s">
        <v>695</v>
      </c>
      <c r="P200" s="40" t="s">
        <v>951</v>
      </c>
      <c r="Q200" s="86" t="s">
        <v>952</v>
      </c>
      <c r="R200" s="85"/>
      <c r="S200" s="85"/>
      <c r="T200" s="85"/>
      <c r="U200" s="86"/>
      <c r="V200" s="85"/>
      <c r="W200" s="85"/>
    </row>
    <row r="201">
      <c r="A201" s="148" t="str">
        <f>Translation!A210</f>
        <v>OUTRAS DESPESAS</v>
      </c>
      <c r="B201" s="144" t="s">
        <v>953</v>
      </c>
      <c r="C201" s="140" t="e">
        <f>VLOOKUP(Q201,Data!$B:$E,4,FALSE)</f>
        <v>#N/A</v>
      </c>
      <c r="D201" s="113"/>
      <c r="E201" s="113"/>
      <c r="F201" s="113"/>
      <c r="G201" s="113"/>
      <c r="H201" s="113"/>
      <c r="I201" s="113"/>
      <c r="O201" s="29" t="s">
        <v>698</v>
      </c>
      <c r="P201" s="40" t="s">
        <v>953</v>
      </c>
      <c r="Q201" s="84" t="s">
        <v>954</v>
      </c>
      <c r="R201" s="84"/>
      <c r="S201" s="84"/>
      <c r="T201" s="84"/>
      <c r="U201" s="84"/>
      <c r="V201" s="84"/>
      <c r="W201" s="84"/>
    </row>
    <row r="202">
      <c r="A202" s="151" t="str">
        <f>Translation!A211</f>
        <v>TOTAL DE DESPESAS VARIÁVEIS</v>
      </c>
      <c r="B202" s="142" t="s">
        <v>955</v>
      </c>
      <c r="C202" s="141" t="e">
        <f>VLOOKUP(Q202,Data!$B:$E,4,FALSE)</f>
        <v>#N/A</v>
      </c>
      <c r="D202" s="113"/>
      <c r="E202" s="113"/>
      <c r="F202" s="113"/>
      <c r="G202" s="113"/>
      <c r="H202" s="113"/>
      <c r="I202" s="113"/>
      <c r="O202" s="48" t="s">
        <v>701</v>
      </c>
      <c r="P202" s="38" t="s">
        <v>955</v>
      </c>
      <c r="Q202" s="81" t="s">
        <v>956</v>
      </c>
      <c r="R202" s="84"/>
      <c r="S202" s="84"/>
      <c r="T202" s="84"/>
      <c r="U202" s="84"/>
      <c r="V202" s="84"/>
      <c r="W202" s="84"/>
    </row>
    <row r="203">
      <c r="A203" s="153" t="str">
        <f>Translation!A212</f>
        <v>MARGEM DE CONTRIBUIÇÃO</v>
      </c>
      <c r="B203" s="144" t="str">
        <f>Translation!$G$32</f>
        <v>CONTA</v>
      </c>
      <c r="C203" s="121" t="str">
        <f>Translation!$G$1</f>
        <v>VALOR</v>
      </c>
      <c r="D203" s="113"/>
      <c r="E203" s="113"/>
      <c r="F203" s="113"/>
      <c r="G203" s="113"/>
      <c r="H203" s="113"/>
      <c r="I203" s="113"/>
      <c r="O203" s="28" t="s">
        <v>703</v>
      </c>
      <c r="P203" s="40" t="str">
        <f>Translation!$G$32</f>
        <v>CONTA</v>
      </c>
      <c r="Q203" s="79" t="str">
        <f>Translation!$G$1</f>
        <v>VALOR</v>
      </c>
      <c r="R203" s="84"/>
      <c r="S203" s="84"/>
      <c r="T203" s="84"/>
      <c r="U203" s="84"/>
      <c r="V203" s="84"/>
      <c r="W203" s="84"/>
    </row>
    <row r="204">
      <c r="A204" s="151" t="str">
        <f>Translation!A213</f>
        <v>MARGEM DE CONTRIBUIÇÃO</v>
      </c>
      <c r="B204" s="142" t="s">
        <v>957</v>
      </c>
      <c r="C204" s="141" t="e">
        <f>VLOOKUP(Q204,Data!$B:$E,4,FALSE)</f>
        <v>#N/A</v>
      </c>
      <c r="D204" s="113"/>
      <c r="E204" s="113"/>
      <c r="F204" s="113"/>
      <c r="G204" s="113"/>
      <c r="H204" s="113"/>
      <c r="I204" s="113"/>
      <c r="O204" s="48" t="s">
        <v>703</v>
      </c>
      <c r="P204" s="38" t="s">
        <v>957</v>
      </c>
      <c r="Q204" s="81" t="s">
        <v>958</v>
      </c>
      <c r="R204" s="84"/>
      <c r="S204" s="84"/>
      <c r="T204" s="84"/>
      <c r="U204" s="84"/>
      <c r="V204" s="84"/>
      <c r="W204" s="84"/>
    </row>
    <row r="205">
      <c r="A205" s="152" t="str">
        <f>Translation!A214</f>
        <v>DESPESAS</v>
      </c>
      <c r="B205" s="144" t="str">
        <f>Translation!$G$32</f>
        <v>CONTA</v>
      </c>
      <c r="C205" s="121" t="str">
        <f>Translation!$G$1</f>
        <v>VALOR</v>
      </c>
      <c r="D205" s="113"/>
      <c r="E205" s="113"/>
      <c r="F205" s="113"/>
      <c r="G205" s="113"/>
      <c r="H205" s="113"/>
      <c r="I205" s="113"/>
      <c r="O205" s="27" t="s">
        <v>706</v>
      </c>
      <c r="P205" s="40" t="str">
        <f>Translation!$G$32</f>
        <v>CONTA</v>
      </c>
      <c r="Q205" s="79" t="str">
        <f>Translation!$G$1</f>
        <v>VALOR</v>
      </c>
      <c r="R205" s="84"/>
      <c r="S205" s="84"/>
      <c r="T205" s="84"/>
      <c r="U205" s="84"/>
      <c r="V205" s="84"/>
      <c r="W205" s="84"/>
    </row>
    <row r="206">
      <c r="A206" s="151" t="str">
        <f>Translation!A215</f>
        <v>TOTAL DE DESPESAS COM PESSOAL (A)</v>
      </c>
      <c r="B206" s="142" t="s">
        <v>959</v>
      </c>
      <c r="C206" s="141" t="e">
        <f>VLOOKUP(Q206,Data!$B:$E,4,FALSE)</f>
        <v>#N/A</v>
      </c>
      <c r="D206" s="113"/>
      <c r="E206" s="113"/>
      <c r="F206" s="113"/>
      <c r="G206" s="113"/>
      <c r="H206" s="113"/>
      <c r="I206" s="113"/>
      <c r="O206" s="48" t="s">
        <v>708</v>
      </c>
      <c r="P206" s="38" t="s">
        <v>959</v>
      </c>
      <c r="Q206" s="81" t="s">
        <v>960</v>
      </c>
      <c r="R206" s="84"/>
      <c r="S206" s="84"/>
      <c r="T206" s="84"/>
      <c r="U206" s="84"/>
      <c r="V206" s="84"/>
      <c r="W206" s="84"/>
    </row>
    <row r="207">
      <c r="A207" s="151" t="str">
        <f>Translation!A216</f>
        <v>TOTAL DE DESPESAS COM ESTRUTURA - IMÓVEIS (B)</v>
      </c>
      <c r="B207" s="142" t="s">
        <v>961</v>
      </c>
      <c r="C207" s="141" t="e">
        <f>VLOOKUP(Q207,Data!$B:$E,4,FALSE)</f>
        <v>#N/A</v>
      </c>
      <c r="D207" s="113"/>
      <c r="E207" s="113"/>
      <c r="F207" s="113"/>
      <c r="G207" s="113"/>
      <c r="H207" s="113"/>
      <c r="I207" s="113"/>
      <c r="O207" s="48" t="s">
        <v>711</v>
      </c>
      <c r="P207" s="38" t="s">
        <v>961</v>
      </c>
      <c r="Q207" s="81" t="s">
        <v>962</v>
      </c>
      <c r="R207" s="84"/>
      <c r="S207" s="84"/>
      <c r="T207" s="84"/>
      <c r="U207" s="84"/>
      <c r="V207" s="84"/>
      <c r="W207" s="84"/>
    </row>
    <row r="208">
      <c r="A208" s="151" t="str">
        <f>Translation!A217</f>
        <v>TOTAL DE DESPESAS GERAIS (C)</v>
      </c>
      <c r="B208" s="142" t="s">
        <v>963</v>
      </c>
      <c r="C208" s="141" t="e">
        <f>VLOOKUP(Q208,Data!$B:$E,4,FALSE)</f>
        <v>#N/A</v>
      </c>
      <c r="D208" s="113"/>
      <c r="E208" s="113"/>
      <c r="F208" s="113"/>
      <c r="G208" s="113"/>
      <c r="H208" s="113"/>
      <c r="I208" s="113"/>
      <c r="O208" s="48" t="s">
        <v>714</v>
      </c>
      <c r="P208" s="38" t="s">
        <v>963</v>
      </c>
      <c r="Q208" s="81" t="s">
        <v>964</v>
      </c>
      <c r="R208" s="84"/>
      <c r="S208" s="84"/>
      <c r="T208" s="84"/>
      <c r="U208" s="84"/>
      <c r="V208" s="84"/>
      <c r="W208" s="84"/>
    </row>
    <row r="209">
      <c r="A209" s="151" t="str">
        <f>Translation!A218</f>
        <v>TOTAL DE DESPESAS FIXAS (A+B+C)</v>
      </c>
      <c r="B209" s="142" t="s">
        <v>965</v>
      </c>
      <c r="C209" s="141" t="e">
        <f>VLOOKUP(Q209,Data!$B:$E,4,FALSE)</f>
        <v>#N/A</v>
      </c>
      <c r="D209" s="113"/>
      <c r="E209" s="113"/>
      <c r="F209" s="113"/>
      <c r="G209" s="113"/>
      <c r="H209" s="113"/>
      <c r="I209" s="113"/>
      <c r="O209" s="48" t="s">
        <v>717</v>
      </c>
      <c r="P209" s="38" t="s">
        <v>965</v>
      </c>
      <c r="Q209" s="81" t="s">
        <v>966</v>
      </c>
      <c r="R209" s="84"/>
      <c r="S209" s="84"/>
      <c r="T209" s="84"/>
      <c r="U209" s="84"/>
      <c r="V209" s="84"/>
      <c r="W209" s="84"/>
    </row>
    <row r="210">
      <c r="A210" s="153" t="str">
        <f>Translation!A219</f>
        <v>LUCRO / PREJUÍZO OPERACIONAL</v>
      </c>
      <c r="B210" s="144" t="str">
        <f>Translation!$G$32</f>
        <v>CONTA</v>
      </c>
      <c r="C210" s="121" t="str">
        <f>Translation!$G$1</f>
        <v>VALOR</v>
      </c>
      <c r="D210" s="113"/>
      <c r="E210" s="113"/>
      <c r="F210" s="113"/>
      <c r="G210" s="113"/>
      <c r="H210" s="113"/>
      <c r="I210" s="113"/>
      <c r="O210" s="28" t="s">
        <v>719</v>
      </c>
      <c r="P210" s="40" t="str">
        <f>Translation!$G$32</f>
        <v>CONTA</v>
      </c>
      <c r="Q210" s="79" t="str">
        <f>Translation!$G$1</f>
        <v>VALOR</v>
      </c>
      <c r="R210" s="84"/>
      <c r="S210" s="84"/>
      <c r="T210" s="84"/>
      <c r="U210" s="84"/>
      <c r="V210" s="84"/>
      <c r="W210" s="84"/>
    </row>
    <row r="211">
      <c r="A211" s="151" t="str">
        <f>Translation!A220</f>
        <v>LUCRO / PREJUÍZO OPERACIONAL</v>
      </c>
      <c r="B211" s="142" t="s">
        <v>967</v>
      </c>
      <c r="C211" s="141" t="e">
        <f>VLOOKUP(Q211,Data!$B:$E,4,FALSE)</f>
        <v>#N/A</v>
      </c>
      <c r="D211" s="114"/>
      <c r="E211" s="114"/>
      <c r="F211" s="114"/>
      <c r="G211" s="114"/>
      <c r="H211" s="114"/>
      <c r="I211" s="114"/>
      <c r="O211" s="48" t="s">
        <v>719</v>
      </c>
      <c r="P211" s="38" t="s">
        <v>967</v>
      </c>
      <c r="Q211" s="81" t="s">
        <v>968</v>
      </c>
      <c r="R211" s="83"/>
      <c r="S211" s="83"/>
      <c r="T211" s="83"/>
      <c r="U211" s="83"/>
      <c r="V211" s="83"/>
      <c r="W211" s="83"/>
    </row>
    <row r="212">
      <c r="A212" s="153" t="str">
        <f>Translation!A221</f>
        <v>DESPESAS / RECEITAS NÃO-OPERACIONAIS E FINANCEIRAS </v>
      </c>
      <c r="B212" s="144" t="str">
        <f>Translation!$G$32</f>
        <v>CONTA</v>
      </c>
      <c r="C212" s="121" t="str">
        <f>Translation!$G$1</f>
        <v>VALOR</v>
      </c>
      <c r="D212" s="114"/>
      <c r="E212" s="114"/>
      <c r="F212" s="114"/>
      <c r="G212" s="114"/>
      <c r="H212" s="114"/>
      <c r="I212" s="114"/>
      <c r="O212" s="28" t="s">
        <v>722</v>
      </c>
      <c r="P212" s="40" t="str">
        <f>Translation!$G$32</f>
        <v>CONTA</v>
      </c>
      <c r="Q212" s="79" t="str">
        <f>Translation!$G$1</f>
        <v>VALOR</v>
      </c>
      <c r="R212" s="83"/>
      <c r="S212" s="83"/>
      <c r="T212" s="83"/>
      <c r="U212" s="83"/>
      <c r="V212" s="83"/>
      <c r="W212" s="83"/>
    </row>
    <row r="213">
      <c r="A213" s="151" t="str">
        <f>Translation!A222</f>
        <v>TOTAL DE DESPESAS NÃO-OPERACIONAIS</v>
      </c>
      <c r="B213" s="142" t="s">
        <v>969</v>
      </c>
      <c r="C213" s="141" t="e">
        <f>VLOOKUP(Q213,Data!$B:$E,4,FALSE)</f>
        <v>#N/A</v>
      </c>
      <c r="D213" s="115"/>
      <c r="E213" s="115"/>
      <c r="F213" s="115"/>
      <c r="G213" s="115"/>
      <c r="H213" s="115"/>
      <c r="I213" s="115"/>
      <c r="O213" s="48" t="s">
        <v>724</v>
      </c>
      <c r="P213" s="38" t="s">
        <v>969</v>
      </c>
      <c r="Q213" s="81" t="s">
        <v>970</v>
      </c>
      <c r="R213" s="85"/>
      <c r="S213" s="85"/>
      <c r="T213" s="85"/>
      <c r="U213" s="85"/>
      <c r="V213" s="85"/>
      <c r="W213" s="85"/>
    </row>
    <row r="214">
      <c r="A214" s="151" t="str">
        <f>Translation!A223</f>
        <v>TOTAL DE DESPESAS FINANCEIRAS</v>
      </c>
      <c r="B214" s="142" t="s">
        <v>971</v>
      </c>
      <c r="C214" s="141" t="e">
        <f>VLOOKUP(Q214,Data!$B:$E,4,FALSE)</f>
        <v>#N/A</v>
      </c>
      <c r="D214" s="113"/>
      <c r="E214" s="113"/>
      <c r="F214" s="113"/>
      <c r="G214" s="113"/>
      <c r="H214" s="113"/>
      <c r="I214" s="113"/>
      <c r="O214" s="48" t="s">
        <v>727</v>
      </c>
      <c r="P214" s="38" t="s">
        <v>971</v>
      </c>
      <c r="Q214" s="81" t="s">
        <v>972</v>
      </c>
      <c r="R214" s="84"/>
      <c r="S214" s="84"/>
      <c r="T214" s="84"/>
      <c r="U214" s="84"/>
      <c r="V214" s="84"/>
      <c r="W214" s="84"/>
    </row>
    <row r="215">
      <c r="A215" s="151" t="str">
        <f>Translation!A224</f>
        <v>TOTAL DE RECEITAS NÃO-OPERACIONAIS</v>
      </c>
      <c r="B215" s="142" t="s">
        <v>973</v>
      </c>
      <c r="C215" s="141" t="e">
        <f>VLOOKUP(Q215,Data!$B:$E,4,FALSE)</f>
        <v>#N/A</v>
      </c>
      <c r="D215" s="113"/>
      <c r="E215" s="113"/>
      <c r="F215" s="113"/>
      <c r="G215" s="113"/>
      <c r="H215" s="113"/>
      <c r="I215" s="113"/>
      <c r="O215" s="48" t="s">
        <v>730</v>
      </c>
      <c r="P215" s="38" t="s">
        <v>973</v>
      </c>
      <c r="Q215" s="81" t="s">
        <v>974</v>
      </c>
      <c r="R215" s="84"/>
      <c r="S215" s="84"/>
      <c r="T215" s="84"/>
      <c r="U215" s="84"/>
      <c r="V215" s="84"/>
      <c r="W215" s="84"/>
    </row>
    <row r="216">
      <c r="A216" s="151" t="str">
        <f>Translation!A225</f>
        <v>TOTAL DE RECEITAS FINANCEIRAS</v>
      </c>
      <c r="B216" s="142" t="s">
        <v>975</v>
      </c>
      <c r="C216" s="141" t="e">
        <f>VLOOKUP(Q216,Data!$B:$E,4,FALSE)</f>
        <v>#N/A</v>
      </c>
      <c r="D216" s="113"/>
      <c r="E216" s="113"/>
      <c r="F216" s="113"/>
      <c r="G216" s="113"/>
      <c r="H216" s="113"/>
      <c r="I216" s="113"/>
      <c r="O216" s="48" t="s">
        <v>733</v>
      </c>
      <c r="P216" s="38" t="s">
        <v>975</v>
      </c>
      <c r="Q216" s="81" t="s">
        <v>976</v>
      </c>
      <c r="R216" s="84"/>
      <c r="S216" s="84"/>
      <c r="T216" s="84"/>
      <c r="U216" s="84"/>
      <c r="V216" s="84"/>
      <c r="W216" s="84"/>
    </row>
    <row r="217">
      <c r="A217" s="153" t="str">
        <f>Translation!A226</f>
        <v>FLOOR PLAN</v>
      </c>
      <c r="B217" s="144" t="str">
        <f>Translation!$G$32</f>
        <v>CONTA</v>
      </c>
      <c r="C217" s="121" t="str">
        <f>Translation!$G$1</f>
        <v>VALOR</v>
      </c>
      <c r="D217" s="113"/>
      <c r="E217" s="118"/>
      <c r="F217" s="117"/>
      <c r="G217" s="113"/>
      <c r="H217" s="113"/>
      <c r="I217" s="113"/>
      <c r="O217" s="28" t="s">
        <v>735</v>
      </c>
      <c r="P217" s="40" t="str">
        <f>Translation!$G$32</f>
        <v>CONTA</v>
      </c>
      <c r="Q217" s="79" t="str">
        <f>Translation!$G$1</f>
        <v>VALOR</v>
      </c>
      <c r="R217" s="84"/>
      <c r="S217" s="88"/>
      <c r="T217" s="87"/>
      <c r="U217" s="84"/>
      <c r="V217" s="84"/>
      <c r="W217" s="84"/>
    </row>
    <row r="218">
      <c r="A218" s="148" t="str">
        <f>Translation!A227</f>
        <v>IOF </v>
      </c>
      <c r="B218" s="144" t="s">
        <v>977</v>
      </c>
      <c r="C218" s="140" t="e">
        <f>VLOOKUP(Q218,Data!$B:$E,4,FALSE)</f>
        <v>#N/A</v>
      </c>
      <c r="D218" s="114"/>
      <c r="E218" s="114"/>
      <c r="F218" s="114"/>
      <c r="G218" s="114"/>
      <c r="H218" s="114"/>
      <c r="I218" s="114"/>
      <c r="O218" s="29" t="s">
        <v>737</v>
      </c>
      <c r="P218" s="40" t="s">
        <v>977</v>
      </c>
      <c r="Q218" s="83" t="s">
        <v>978</v>
      </c>
      <c r="R218" s="83"/>
      <c r="S218" s="83"/>
      <c r="T218" s="83"/>
      <c r="U218" s="83"/>
      <c r="V218" s="83"/>
      <c r="W218" s="83"/>
    </row>
    <row r="219">
      <c r="A219" s="148" t="str">
        <f>Translation!A228</f>
        <v>JUROS CONTRATUAIS</v>
      </c>
      <c r="B219" s="144" t="s">
        <v>979</v>
      </c>
      <c r="C219" s="140" t="e">
        <f>VLOOKUP(Q219,Data!$B:$E,4,FALSE)</f>
        <v>#N/A</v>
      </c>
      <c r="D219" s="113"/>
      <c r="E219" s="113"/>
      <c r="F219" s="113"/>
      <c r="G219" s="113"/>
      <c r="H219" s="113"/>
      <c r="I219" s="113"/>
      <c r="O219" s="29" t="s">
        <v>740</v>
      </c>
      <c r="P219" s="40" t="s">
        <v>979</v>
      </c>
      <c r="Q219" s="84" t="s">
        <v>980</v>
      </c>
      <c r="R219" s="84"/>
      <c r="S219" s="84"/>
      <c r="T219" s="84"/>
      <c r="U219" s="84"/>
      <c r="V219" s="84"/>
      <c r="W219" s="84"/>
    </row>
    <row r="220">
      <c r="A220" s="148" t="str">
        <f>Translation!A229</f>
        <v>JUROS DE MORA</v>
      </c>
      <c r="B220" s="144" t="s">
        <v>981</v>
      </c>
      <c r="C220" s="140" t="e">
        <f>VLOOKUP(Q220,Data!$B:$E,4,FALSE)</f>
        <v>#N/A</v>
      </c>
      <c r="D220" s="113"/>
      <c r="E220" s="113"/>
      <c r="F220" s="113"/>
      <c r="G220" s="113"/>
      <c r="H220" s="113"/>
      <c r="I220" s="113"/>
      <c r="O220" s="29" t="s">
        <v>743</v>
      </c>
      <c r="P220" s="40" t="s">
        <v>981</v>
      </c>
      <c r="Q220" s="84" t="s">
        <v>982</v>
      </c>
      <c r="R220" s="84"/>
      <c r="S220" s="84"/>
      <c r="T220" s="84"/>
      <c r="U220" s="84"/>
      <c r="V220" s="84"/>
      <c r="W220" s="84"/>
    </row>
    <row r="221">
      <c r="A221" s="151" t="str">
        <f>Translation!A230</f>
        <v>TOTAL DE DESPESAS DE FLOOR PLAN</v>
      </c>
      <c r="B221" s="142" t="s">
        <v>983</v>
      </c>
      <c r="C221" s="141" t="e">
        <f>VLOOKUP(Q221,Data!$B:$E,4,FALSE)</f>
        <v>#N/A</v>
      </c>
      <c r="D221" s="113"/>
      <c r="E221" s="118"/>
      <c r="F221" s="117"/>
      <c r="G221" s="113"/>
      <c r="H221" s="113"/>
      <c r="I221" s="113"/>
      <c r="O221" s="48" t="s">
        <v>746</v>
      </c>
      <c r="P221" s="38" t="s">
        <v>983</v>
      </c>
      <c r="Q221" s="81" t="s">
        <v>984</v>
      </c>
      <c r="R221" s="84"/>
      <c r="S221" s="88"/>
      <c r="T221" s="87"/>
      <c r="U221" s="84"/>
      <c r="V221" s="84"/>
      <c r="W221" s="84"/>
    </row>
    <row r="222">
      <c r="A222" s="153" t="str">
        <f>Translation!A231</f>
        <v>RESULTADO DEPARTAMENTAL</v>
      </c>
      <c r="B222" s="144" t="str">
        <f>Translation!$G$32</f>
        <v>CONTA</v>
      </c>
      <c r="C222" s="121" t="str">
        <f>Translation!$G$1</f>
        <v>VALOR</v>
      </c>
      <c r="D222" s="113"/>
      <c r="E222" s="113"/>
      <c r="F222" s="113"/>
      <c r="G222" s="113"/>
      <c r="H222" s="113"/>
      <c r="I222" s="113"/>
      <c r="O222" s="28" t="s">
        <v>748</v>
      </c>
      <c r="P222" s="40" t="str">
        <f>Translation!$G$32</f>
        <v>CONTA</v>
      </c>
      <c r="Q222" s="79" t="str">
        <f>Translation!$G$1</f>
        <v>VALOR</v>
      </c>
      <c r="R222" s="84"/>
      <c r="S222" s="84"/>
      <c r="T222" s="84"/>
      <c r="U222" s="84"/>
      <c r="V222" s="84"/>
      <c r="W222" s="84"/>
    </row>
    <row r="223">
      <c r="A223" s="151" t="str">
        <f>Translation!A232</f>
        <v>RESULTADO DO DEPARTAMENTO DE USADOS</v>
      </c>
      <c r="B223" s="142" t="s">
        <v>985</v>
      </c>
      <c r="C223" s="141" t="e">
        <f>VLOOKUP(Q223,Data!$B:$E,4,FALSE)</f>
        <v>#N/A</v>
      </c>
      <c r="D223" s="114"/>
      <c r="E223" s="114"/>
      <c r="F223" s="114"/>
      <c r="G223" s="114"/>
      <c r="H223" s="114"/>
      <c r="I223" s="114"/>
      <c r="O223" s="48" t="s">
        <v>986</v>
      </c>
      <c r="P223" s="38" t="s">
        <v>985</v>
      </c>
      <c r="Q223" s="81" t="s">
        <v>987</v>
      </c>
      <c r="R223" s="83"/>
      <c r="S223" s="83"/>
      <c r="T223" s="83"/>
      <c r="U223" s="83"/>
      <c r="V223" s="83"/>
      <c r="W223" s="83"/>
    </row>
    <row r="224">
      <c r="A224" s="152" t="str">
        <f>Translation!A233</f>
        <v>ESTOQUE (UNIDADES)</v>
      </c>
      <c r="B224" s="144" t="str">
        <f>Translation!$G$32</f>
        <v>CONTA</v>
      </c>
      <c r="C224" s="121" t="str">
        <f>Translation!$G$30</f>
        <v>ESTOQUE FINAL</v>
      </c>
      <c r="D224" s="113"/>
      <c r="E224" s="113"/>
      <c r="F224" s="113"/>
      <c r="G224" s="113"/>
      <c r="H224" s="113"/>
      <c r="I224" s="113"/>
      <c r="O224" s="27" t="s">
        <v>988</v>
      </c>
      <c r="P224" s="40" t="str">
        <f>Translation!$G$32</f>
        <v>CONTA</v>
      </c>
      <c r="Q224" s="79" t="str">
        <f>Translation!$G$30</f>
        <v>ESTOQUE FINAL</v>
      </c>
      <c r="R224" s="84"/>
      <c r="S224" s="84"/>
      <c r="T224" s="84"/>
      <c r="U224" s="84"/>
      <c r="V224" s="84"/>
      <c r="W224" s="84"/>
    </row>
    <row r="225">
      <c r="A225" s="148" t="str">
        <f>Translation!A234</f>
        <v>MOTOCICLETAS YAMAHA</v>
      </c>
      <c r="B225" s="144" t="s">
        <v>989</v>
      </c>
      <c r="C225" s="107" t="e">
        <f>VLOOKUP(Q225,Data!$B:$E,4,FALSE)</f>
        <v>#N/A</v>
      </c>
      <c r="D225" s="115"/>
      <c r="E225" s="115"/>
      <c r="F225" s="115"/>
      <c r="G225" s="115"/>
      <c r="H225" s="115"/>
      <c r="I225" s="115"/>
      <c r="O225" s="29" t="s">
        <v>887</v>
      </c>
      <c r="P225" s="40" t="s">
        <v>989</v>
      </c>
      <c r="Q225" s="83" t="s">
        <v>990</v>
      </c>
      <c r="R225" s="85"/>
      <c r="S225" s="85"/>
      <c r="T225" s="85"/>
      <c r="U225" s="85"/>
      <c r="V225" s="85"/>
      <c r="W225" s="85"/>
    </row>
    <row r="226">
      <c r="A226" s="148" t="str">
        <f>Translation!A235</f>
        <v>MOTOCICLETAS OUTRAS MARCAS</v>
      </c>
      <c r="B226" s="144" t="s">
        <v>991</v>
      </c>
      <c r="C226" s="107" t="e">
        <f>VLOOKUP(Q226,Data!$B:$E,4,FALSE)</f>
        <v>#N/A</v>
      </c>
      <c r="D226" s="113"/>
      <c r="E226" s="113"/>
      <c r="F226" s="113"/>
      <c r="G226" s="113"/>
      <c r="H226" s="113"/>
      <c r="I226" s="113"/>
      <c r="O226" s="29" t="s">
        <v>897</v>
      </c>
      <c r="P226" s="40" t="s">
        <v>991</v>
      </c>
      <c r="Q226" s="83" t="s">
        <v>992</v>
      </c>
      <c r="R226" s="84"/>
      <c r="S226" s="84"/>
      <c r="T226" s="84"/>
      <c r="U226" s="84"/>
      <c r="V226" s="84"/>
      <c r="W226" s="84"/>
    </row>
    <row r="227">
      <c r="A227" s="151" t="str">
        <f>Translation!A236</f>
        <v>TOTAL DE MOTOCICLETAS</v>
      </c>
      <c r="B227" s="142" t="s">
        <v>993</v>
      </c>
      <c r="C227" s="108" t="e">
        <f>VLOOKUP(Q227,Data!$B:$E,4,FALSE)</f>
        <v>#N/A</v>
      </c>
      <c r="D227" s="113"/>
      <c r="E227" s="113"/>
      <c r="F227" s="113"/>
      <c r="G227" s="113"/>
      <c r="H227" s="113"/>
      <c r="I227" s="113"/>
      <c r="O227" s="48" t="s">
        <v>861</v>
      </c>
      <c r="P227" s="38" t="s">
        <v>993</v>
      </c>
      <c r="Q227" s="81" t="s">
        <v>994</v>
      </c>
      <c r="R227" s="84"/>
      <c r="S227" s="84"/>
      <c r="T227" s="84"/>
      <c r="U227" s="84"/>
      <c r="V227" s="84"/>
      <c r="W227" s="84"/>
    </row>
    <row r="228">
      <c r="A228" s="148" t="str">
        <f>Translation!A237</f>
        <v>OUTROS PRODUTOS YAMAHA</v>
      </c>
      <c r="B228" s="144" t="s">
        <v>995</v>
      </c>
      <c r="C228" s="107" t="e">
        <f>VLOOKUP(Q228,Data!$B:$E,4,FALSE)</f>
        <v>#N/A</v>
      </c>
      <c r="D228" s="117"/>
      <c r="E228" s="118"/>
      <c r="F228" s="117"/>
      <c r="G228" s="117"/>
      <c r="H228" s="117"/>
      <c r="I228" s="117"/>
      <c r="O228" s="29" t="s">
        <v>918</v>
      </c>
      <c r="P228" s="40" t="s">
        <v>995</v>
      </c>
      <c r="Q228" s="83" t="s">
        <v>996</v>
      </c>
      <c r="R228" s="87"/>
      <c r="S228" s="88"/>
      <c r="T228" s="87"/>
      <c r="U228" s="87"/>
      <c r="V228" s="87"/>
      <c r="W228" s="87"/>
    </row>
    <row r="229">
      <c r="A229" s="151" t="str">
        <f>Translation!A238</f>
        <v>TOTAL DE ESTOQUE DE USADOS</v>
      </c>
      <c r="B229" s="142" t="s">
        <v>997</v>
      </c>
      <c r="C229" s="108" t="e">
        <f>VLOOKUP(Q229,Data!$B:$E,4,FALSE)</f>
        <v>#N/A</v>
      </c>
      <c r="D229" s="113"/>
      <c r="E229" s="113"/>
      <c r="F229" s="113"/>
      <c r="G229" s="113"/>
      <c r="H229" s="113"/>
      <c r="I229" s="113"/>
      <c r="O229" s="48" t="s">
        <v>998</v>
      </c>
      <c r="P229" s="38" t="s">
        <v>997</v>
      </c>
      <c r="Q229" s="81" t="s">
        <v>999</v>
      </c>
      <c r="R229" s="84"/>
      <c r="S229" s="84"/>
      <c r="T229" s="84"/>
      <c r="U229" s="84"/>
      <c r="V229" s="84"/>
      <c r="W229" s="84"/>
    </row>
    <row r="230">
      <c r="A230" s="71" t="str">
        <f>Translation!A3</f>
        <v>PEÇAS E ACESSÓRIOS</v>
      </c>
      <c r="B230" s="82"/>
      <c r="C230" s="102"/>
      <c r="D230" s="102"/>
      <c r="E230" s="102"/>
      <c r="F230" s="102"/>
      <c r="G230" s="103"/>
      <c r="H230" s="104"/>
      <c r="I230" s="104"/>
      <c r="O230" s="71" t="s">
        <v>1000</v>
      </c>
      <c r="P230" s="82"/>
      <c r="Q230" s="89"/>
      <c r="R230" s="89"/>
      <c r="S230" s="89"/>
      <c r="T230" s="89"/>
      <c r="U230" s="90"/>
      <c r="V230" s="91"/>
      <c r="W230" s="91"/>
    </row>
    <row r="231" ht="30">
      <c r="A231" s="152" t="str">
        <f>Translation!A240</f>
        <v>PEÇAS &amp; ACESSÓRIOS</v>
      </c>
      <c r="B231" s="144" t="str">
        <f>Translation!$G$32</f>
        <v>CONTA</v>
      </c>
      <c r="C231" s="120" t="str">
        <f>Translation!$G$11</f>
        <v>RECEITA
(SEM IMPOSTOS)</v>
      </c>
      <c r="D231" s="120" t="str">
        <f>Translation!$G$14</f>
        <v>DEVOLUÇÃO
DE VENDAS</v>
      </c>
      <c r="E231" s="120" t="str">
        <f>Translation!$G$3</f>
        <v>ABAT. E DESCONTO</v>
      </c>
      <c r="F231" s="120" t="str">
        <f>Translation!$G$9</f>
        <v>RECEITA LÍQUIDA</v>
      </c>
      <c r="G231" s="121" t="str">
        <f>Translation!$G$2</f>
        <v>CUSTO</v>
      </c>
      <c r="H231" s="121" t="str">
        <f>Translation!$G$5</f>
        <v>LUCRO BRUTO</v>
      </c>
      <c r="I231" s="109"/>
      <c r="O231" s="27" t="s">
        <v>1000</v>
      </c>
      <c r="P231" s="40" t="str">
        <f>Translation!$G$32</f>
        <v>CONTA</v>
      </c>
      <c r="Q231" s="79" t="s">
        <v>3</v>
      </c>
      <c r="R231" s="79" t="s">
        <v>5</v>
      </c>
      <c r="S231" s="79" t="s">
        <v>1001</v>
      </c>
      <c r="T231" s="79" t="s">
        <v>7</v>
      </c>
      <c r="U231" s="79" t="s">
        <v>8</v>
      </c>
      <c r="V231" s="79" t="s">
        <v>9</v>
      </c>
      <c r="W231" s="92"/>
    </row>
    <row r="232">
      <c r="A232" s="148" t="str">
        <f>Translation!A241</f>
        <v>PEÇAS GENUÍNAS</v>
      </c>
      <c r="B232" s="144" t="s">
        <v>1002</v>
      </c>
      <c r="C232" s="140" t="e">
        <f>VLOOKUP(Q232,Data!$B:$E,4,FALSE)</f>
        <v>#N/A</v>
      </c>
      <c r="D232" s="140" t="e">
        <f>VLOOKUP(R232,Data!$B:$E,4,FALSE)</f>
        <v>#N/A</v>
      </c>
      <c r="E232" s="140" t="e">
        <f>VLOOKUP(S232,Data!$B:$E,4,FALSE)</f>
        <v>#N/A</v>
      </c>
      <c r="F232" s="141" t="e">
        <f>VLOOKUP(T232,Data!$B:$E,4,FALSE)</f>
        <v>#N/A</v>
      </c>
      <c r="G232" s="140" t="e">
        <f>VLOOKUP(U232,Data!$B:$E,4,FALSE)</f>
        <v>#N/A</v>
      </c>
      <c r="H232" s="141" t="e">
        <f>VLOOKUP(V232,Data!$B:$E,4,FALSE)</f>
        <v>#N/A</v>
      </c>
      <c r="I232" s="109"/>
      <c r="O232" s="29" t="s">
        <v>1003</v>
      </c>
      <c r="P232" s="40" t="s">
        <v>1002</v>
      </c>
      <c r="Q232" s="84" t="s">
        <v>1004</v>
      </c>
      <c r="R232" s="84" t="s">
        <v>1005</v>
      </c>
      <c r="S232" s="84" t="s">
        <v>1006</v>
      </c>
      <c r="T232" s="81" t="s">
        <v>1007</v>
      </c>
      <c r="U232" s="56" t="s">
        <v>1008</v>
      </c>
      <c r="V232" s="81" t="s">
        <v>1009</v>
      </c>
      <c r="W232" s="92"/>
    </row>
    <row r="233">
      <c r="A233" s="148" t="str">
        <f>Translation!A242</f>
        <v>PEÇAS YTEC</v>
      </c>
      <c r="B233" s="144" t="s">
        <v>1010</v>
      </c>
      <c r="C233" s="140" t="e">
        <f>VLOOKUP(Q233,Data!$B:$E,4,FALSE)</f>
        <v>#N/A</v>
      </c>
      <c r="D233" s="140" t="e">
        <f>VLOOKUP(R233,Data!$B:$E,4,FALSE)</f>
        <v>#N/A</v>
      </c>
      <c r="E233" s="140" t="e">
        <f>VLOOKUP(S233,Data!$B:$E,4,FALSE)</f>
        <v>#N/A</v>
      </c>
      <c r="F233" s="141" t="e">
        <f>VLOOKUP(T233,Data!$B:$E,4,FALSE)</f>
        <v>#N/A</v>
      </c>
      <c r="G233" s="140" t="e">
        <f>VLOOKUP(U233,Data!$B:$E,4,FALSE)</f>
        <v>#N/A</v>
      </c>
      <c r="H233" s="141" t="e">
        <f>VLOOKUP(V233,Data!$B:$E,4,FALSE)</f>
        <v>#N/A</v>
      </c>
      <c r="I233" s="109"/>
      <c r="O233" s="29" t="s">
        <v>1011</v>
      </c>
      <c r="P233" s="40" t="s">
        <v>1010</v>
      </c>
      <c r="Q233" s="84" t="s">
        <v>1012</v>
      </c>
      <c r="R233" s="84" t="s">
        <v>1013</v>
      </c>
      <c r="S233" s="84" t="s">
        <v>1014</v>
      </c>
      <c r="T233" s="81" t="s">
        <v>1015</v>
      </c>
      <c r="U233" s="56" t="s">
        <v>1016</v>
      </c>
      <c r="V233" s="81" t="s">
        <v>1017</v>
      </c>
      <c r="W233" s="92"/>
    </row>
    <row r="234">
      <c r="A234" s="148" t="str">
        <f>Translation!A243</f>
        <v>PEÇAS NÃO GENUÍNAS</v>
      </c>
      <c r="B234" s="144" t="s">
        <v>1018</v>
      </c>
      <c r="C234" s="140" t="e">
        <f>VLOOKUP(Q234,Data!$B:$E,4,FALSE)</f>
        <v>#N/A</v>
      </c>
      <c r="D234" s="140" t="e">
        <f>VLOOKUP(R234,Data!$B:$E,4,FALSE)</f>
        <v>#N/A</v>
      </c>
      <c r="E234" s="140" t="e">
        <f>VLOOKUP(S234,Data!$B:$E,4,FALSE)</f>
        <v>#N/A</v>
      </c>
      <c r="F234" s="141" t="e">
        <f>VLOOKUP(T234,Data!$B:$E,4,FALSE)</f>
        <v>#N/A</v>
      </c>
      <c r="G234" s="140" t="e">
        <f>VLOOKUP(U234,Data!$B:$E,4,FALSE)</f>
        <v>#N/A</v>
      </c>
      <c r="H234" s="141" t="e">
        <f>VLOOKUP(V234,Data!$B:$E,4,FALSE)</f>
        <v>#N/A</v>
      </c>
      <c r="I234" s="109"/>
      <c r="O234" s="29" t="s">
        <v>1019</v>
      </c>
      <c r="P234" s="40" t="s">
        <v>1018</v>
      </c>
      <c r="Q234" s="84" t="s">
        <v>1020</v>
      </c>
      <c r="R234" s="84" t="s">
        <v>1021</v>
      </c>
      <c r="S234" s="84" t="s">
        <v>1022</v>
      </c>
      <c r="T234" s="81" t="s">
        <v>1023</v>
      </c>
      <c r="U234" s="56" t="s">
        <v>1024</v>
      </c>
      <c r="V234" s="81" t="s">
        <v>1025</v>
      </c>
      <c r="W234" s="92"/>
    </row>
    <row r="235">
      <c r="A235" s="148" t="str">
        <f>Translation!A244</f>
        <v>ACESSÓRIOS</v>
      </c>
      <c r="B235" s="144" t="s">
        <v>1026</v>
      </c>
      <c r="C235" s="140" t="e">
        <f>VLOOKUP(Q235,Data!$B:$E,4,FALSE)</f>
        <v>#N/A</v>
      </c>
      <c r="D235" s="140" t="e">
        <f>VLOOKUP(R235,Data!$B:$E,4,FALSE)</f>
        <v>#N/A</v>
      </c>
      <c r="E235" s="140" t="e">
        <f>VLOOKUP(S235,Data!$B:$E,4,FALSE)</f>
        <v>#N/A</v>
      </c>
      <c r="F235" s="141" t="e">
        <f>VLOOKUP(T235,Data!$B:$E,4,FALSE)</f>
        <v>#N/A</v>
      </c>
      <c r="G235" s="140" t="e">
        <f>VLOOKUP(U235,Data!$B:$E,4,FALSE)</f>
        <v>#N/A</v>
      </c>
      <c r="H235" s="141" t="e">
        <f>VLOOKUP(V235,Data!$B:$E,4,FALSE)</f>
        <v>#N/A</v>
      </c>
      <c r="I235" s="109"/>
      <c r="O235" s="29" t="s">
        <v>1027</v>
      </c>
      <c r="P235" s="40" t="s">
        <v>1026</v>
      </c>
      <c r="Q235" s="84" t="s">
        <v>1028</v>
      </c>
      <c r="R235" s="84" t="s">
        <v>1029</v>
      </c>
      <c r="S235" s="84" t="s">
        <v>1030</v>
      </c>
      <c r="T235" s="81" t="s">
        <v>1031</v>
      </c>
      <c r="U235" s="56" t="s">
        <v>1032</v>
      </c>
      <c r="V235" s="81" t="s">
        <v>1033</v>
      </c>
      <c r="W235" s="92"/>
    </row>
    <row r="236">
      <c r="A236" s="151" t="str">
        <f>Translation!A245</f>
        <v>RECEITA DE VENDA BALCÃO</v>
      </c>
      <c r="B236" s="144" t="s">
        <v>1034</v>
      </c>
      <c r="C236" s="141" t="e">
        <f>VLOOKUP(Q236,Data!$B:$E,4,FALSE)</f>
        <v>#N/A</v>
      </c>
      <c r="D236" s="141" t="e">
        <f>VLOOKUP(R236,Data!$B:$E,4,FALSE)</f>
        <v>#N/A</v>
      </c>
      <c r="E236" s="141" t="e">
        <f>VLOOKUP(S236,Data!$B:$E,4,FALSE)</f>
        <v>#N/A</v>
      </c>
      <c r="F236" s="141" t="e">
        <f>VLOOKUP(T236,Data!$B:$E,4,FALSE)</f>
        <v>#N/A</v>
      </c>
      <c r="G236" s="141" t="e">
        <f>VLOOKUP(U236,Data!$B:$E,4,FALSE)</f>
        <v>#N/A</v>
      </c>
      <c r="H236" s="141" t="e">
        <f>VLOOKUP(V236,Data!$B:$E,4,FALSE)</f>
        <v>#N/A</v>
      </c>
      <c r="I236" s="109"/>
      <c r="O236" s="48" t="s">
        <v>1035</v>
      </c>
      <c r="P236" s="40" t="s">
        <v>1034</v>
      </c>
      <c r="Q236" s="57" t="s">
        <v>1036</v>
      </c>
      <c r="R236" s="57" t="s">
        <v>1037</v>
      </c>
      <c r="S236" s="57" t="s">
        <v>1038</v>
      </c>
      <c r="T236" s="81" t="s">
        <v>1039</v>
      </c>
      <c r="U236" s="57" t="s">
        <v>1040</v>
      </c>
      <c r="V236" s="81" t="s">
        <v>1041</v>
      </c>
      <c r="W236" s="92"/>
    </row>
    <row r="237">
      <c r="A237" s="148" t="str">
        <f>Translation!A246</f>
        <v>PEÇAS GENUÍNAS</v>
      </c>
      <c r="B237" s="144" t="s">
        <v>1042</v>
      </c>
      <c r="C237" s="140" t="e">
        <f>VLOOKUP(Q237,Data!$B:$E,4,FALSE)</f>
        <v>#N/A</v>
      </c>
      <c r="D237" s="140" t="e">
        <f>VLOOKUP(R237,Data!$B:$E,4,FALSE)</f>
        <v>#N/A</v>
      </c>
      <c r="E237" s="140" t="e">
        <f>VLOOKUP(S237,Data!$B:$E,4,FALSE)</f>
        <v>#N/A</v>
      </c>
      <c r="F237" s="141" t="e">
        <f>VLOOKUP(T237,Data!$B:$E,4,FALSE)</f>
        <v>#N/A</v>
      </c>
      <c r="G237" s="140" t="e">
        <f>VLOOKUP(U237,Data!$B:$E,4,FALSE)</f>
        <v>#N/A</v>
      </c>
      <c r="H237" s="141" t="e">
        <f>VLOOKUP(V237,Data!$B:$E,4,FALSE)</f>
        <v>#N/A</v>
      </c>
      <c r="I237" s="109"/>
      <c r="O237" s="29" t="s">
        <v>1003</v>
      </c>
      <c r="P237" s="40" t="s">
        <v>1042</v>
      </c>
      <c r="Q237" s="84" t="s">
        <v>1043</v>
      </c>
      <c r="R237" s="84" t="s">
        <v>1044</v>
      </c>
      <c r="S237" s="84" t="s">
        <v>1045</v>
      </c>
      <c r="T237" s="81" t="s">
        <v>1046</v>
      </c>
      <c r="U237" s="56" t="s">
        <v>1047</v>
      </c>
      <c r="V237" s="81" t="s">
        <v>1048</v>
      </c>
      <c r="W237" s="92"/>
    </row>
    <row r="238">
      <c r="A238" s="148" t="str">
        <f>Translation!A247</f>
        <v>PEÇAS YTEC</v>
      </c>
      <c r="B238" s="144" t="s">
        <v>1049</v>
      </c>
      <c r="C238" s="140" t="e">
        <f>VLOOKUP(Q238,Data!$B:$E,4,FALSE)</f>
        <v>#N/A</v>
      </c>
      <c r="D238" s="140" t="e">
        <f>VLOOKUP(R238,Data!$B:$E,4,FALSE)</f>
        <v>#N/A</v>
      </c>
      <c r="E238" s="140" t="e">
        <f>VLOOKUP(S238,Data!$B:$E,4,FALSE)</f>
        <v>#N/A</v>
      </c>
      <c r="F238" s="141" t="e">
        <f>VLOOKUP(T238,Data!$B:$E,4,FALSE)</f>
        <v>#N/A</v>
      </c>
      <c r="G238" s="140" t="e">
        <f>VLOOKUP(U238,Data!$B:$E,4,FALSE)</f>
        <v>#N/A</v>
      </c>
      <c r="H238" s="141" t="e">
        <f>VLOOKUP(V238,Data!$B:$E,4,FALSE)</f>
        <v>#N/A</v>
      </c>
      <c r="I238" s="109"/>
      <c r="O238" s="29" t="s">
        <v>1011</v>
      </c>
      <c r="P238" s="40" t="s">
        <v>1049</v>
      </c>
      <c r="Q238" s="84" t="s">
        <v>1050</v>
      </c>
      <c r="R238" s="84" t="s">
        <v>1051</v>
      </c>
      <c r="S238" s="84" t="s">
        <v>1052</v>
      </c>
      <c r="T238" s="81" t="s">
        <v>1053</v>
      </c>
      <c r="U238" s="56" t="s">
        <v>1054</v>
      </c>
      <c r="V238" s="81" t="s">
        <v>1055</v>
      </c>
      <c r="W238" s="92"/>
    </row>
    <row r="239">
      <c r="A239" s="148" t="str">
        <f>Translation!A248</f>
        <v>PEÇAS NÃO GENUÍNAS</v>
      </c>
      <c r="B239" s="144" t="s">
        <v>1056</v>
      </c>
      <c r="C239" s="140" t="e">
        <f>VLOOKUP(Q239,Data!$B:$E,4,FALSE)</f>
        <v>#N/A</v>
      </c>
      <c r="D239" s="140" t="e">
        <f>VLOOKUP(R239,Data!$B:$E,4,FALSE)</f>
        <v>#N/A</v>
      </c>
      <c r="E239" s="140" t="e">
        <f>VLOOKUP(S239,Data!$B:$E,4,FALSE)</f>
        <v>#N/A</v>
      </c>
      <c r="F239" s="141" t="e">
        <f>VLOOKUP(T239,Data!$B:$E,4,FALSE)</f>
        <v>#N/A</v>
      </c>
      <c r="G239" s="140" t="e">
        <f>VLOOKUP(U239,Data!$B:$E,4,FALSE)</f>
        <v>#N/A</v>
      </c>
      <c r="H239" s="141" t="e">
        <f>VLOOKUP(V239,Data!$B:$E,4,FALSE)</f>
        <v>#N/A</v>
      </c>
      <c r="I239" s="109"/>
      <c r="O239" s="29" t="s">
        <v>1019</v>
      </c>
      <c r="P239" s="40" t="s">
        <v>1056</v>
      </c>
      <c r="Q239" s="84" t="s">
        <v>1057</v>
      </c>
      <c r="R239" s="84" t="s">
        <v>1058</v>
      </c>
      <c r="S239" s="84" t="s">
        <v>1059</v>
      </c>
      <c r="T239" s="81" t="s">
        <v>1060</v>
      </c>
      <c r="U239" s="56" t="s">
        <v>1061</v>
      </c>
      <c r="V239" s="81" t="s">
        <v>1062</v>
      </c>
      <c r="W239" s="80"/>
    </row>
    <row r="240">
      <c r="A240" s="148" t="str">
        <f>Translation!A249</f>
        <v>ACESSÓRIOS</v>
      </c>
      <c r="B240" s="144" t="s">
        <v>1063</v>
      </c>
      <c r="C240" s="140" t="e">
        <f>VLOOKUP(Q240,Data!$B:$E,4,FALSE)</f>
        <v>#N/A</v>
      </c>
      <c r="D240" s="140" t="e">
        <f>VLOOKUP(R240,Data!$B:$E,4,FALSE)</f>
        <v>#N/A</v>
      </c>
      <c r="E240" s="140" t="e">
        <f>VLOOKUP(S240,Data!$B:$E,4,FALSE)</f>
        <v>#N/A</v>
      </c>
      <c r="F240" s="141" t="e">
        <f>VLOOKUP(T240,Data!$B:$E,4,FALSE)</f>
        <v>#N/A</v>
      </c>
      <c r="G240" s="140" t="e">
        <f>VLOOKUP(U240,Data!$B:$E,4,FALSE)</f>
        <v>#N/A</v>
      </c>
      <c r="H240" s="141" t="e">
        <f>VLOOKUP(V240,Data!$B:$E,4,FALSE)</f>
        <v>#N/A</v>
      </c>
      <c r="I240" s="116"/>
      <c r="O240" s="29" t="s">
        <v>1027</v>
      </c>
      <c r="P240" s="40" t="s">
        <v>1063</v>
      </c>
      <c r="Q240" s="84" t="s">
        <v>1064</v>
      </c>
      <c r="R240" s="84" t="s">
        <v>1065</v>
      </c>
      <c r="S240" s="84" t="s">
        <v>1066</v>
      </c>
      <c r="T240" s="81" t="s">
        <v>1067</v>
      </c>
      <c r="U240" s="56" t="s">
        <v>1068</v>
      </c>
      <c r="V240" s="81" t="s">
        <v>1069</v>
      </c>
      <c r="W240" s="86"/>
    </row>
    <row r="241">
      <c r="A241" s="151" t="str">
        <f>Translation!A250</f>
        <v>RECEITA DE VENDA ATACADO</v>
      </c>
      <c r="B241" s="144" t="s">
        <v>1070</v>
      </c>
      <c r="C241" s="141" t="e">
        <f>VLOOKUP(Q241,Data!$B:$E,4,FALSE)</f>
        <v>#N/A</v>
      </c>
      <c r="D241" s="141" t="e">
        <f>VLOOKUP(R241,Data!$B:$E,4,FALSE)</f>
        <v>#N/A</v>
      </c>
      <c r="E241" s="141" t="e">
        <f>VLOOKUP(S241,Data!$B:$E,4,FALSE)</f>
        <v>#N/A</v>
      </c>
      <c r="F241" s="141" t="e">
        <f>VLOOKUP(T241,Data!$B:$E,4,FALSE)</f>
        <v>#N/A</v>
      </c>
      <c r="G241" s="141" t="e">
        <f>VLOOKUP(U241,Data!$B:$E,4,FALSE)</f>
        <v>#N/A</v>
      </c>
      <c r="H241" s="141" t="e">
        <f>VLOOKUP(V241,Data!$B:$E,4,FALSE)</f>
        <v>#N/A</v>
      </c>
      <c r="I241" s="113"/>
      <c r="O241" s="48" t="s">
        <v>1071</v>
      </c>
      <c r="P241" s="40" t="s">
        <v>1070</v>
      </c>
      <c r="Q241" s="57" t="s">
        <v>1072</v>
      </c>
      <c r="R241" s="57" t="s">
        <v>1073</v>
      </c>
      <c r="S241" s="57" t="s">
        <v>1074</v>
      </c>
      <c r="T241" s="81" t="s">
        <v>1075</v>
      </c>
      <c r="U241" s="57" t="s">
        <v>1076</v>
      </c>
      <c r="V241" s="81" t="s">
        <v>1077</v>
      </c>
      <c r="W241" s="84"/>
    </row>
    <row r="242">
      <c r="A242" s="148" t="str">
        <f>Translation!A251</f>
        <v>PEÇAS GENUÍNAS</v>
      </c>
      <c r="B242" s="144" t="s">
        <v>1078</v>
      </c>
      <c r="C242" s="140" t="e">
        <f>VLOOKUP(Q242,Data!$B:$E,4,FALSE)</f>
        <v>#N/A</v>
      </c>
      <c r="D242" s="140" t="e">
        <f>VLOOKUP(R242,Data!$B:$E,4,FALSE)</f>
        <v>#N/A</v>
      </c>
      <c r="E242" s="140" t="e">
        <f>VLOOKUP(S242,Data!$B:$E,4,FALSE)</f>
        <v>#N/A</v>
      </c>
      <c r="F242" s="141" t="e">
        <f>VLOOKUP(T242,Data!$B:$E,4,FALSE)</f>
        <v>#N/A</v>
      </c>
      <c r="G242" s="140" t="e">
        <f>VLOOKUP(U242,Data!$B:$E,4,FALSE)</f>
        <v>#N/A</v>
      </c>
      <c r="H242" s="141" t="e">
        <f>VLOOKUP(V242,Data!$B:$E,4,FALSE)</f>
        <v>#N/A</v>
      </c>
      <c r="I242" s="113"/>
      <c r="O242" s="29" t="s">
        <v>1003</v>
      </c>
      <c r="P242" s="40" t="s">
        <v>1078</v>
      </c>
      <c r="Q242" s="84" t="s">
        <v>1079</v>
      </c>
      <c r="R242" s="84" t="s">
        <v>1080</v>
      </c>
      <c r="S242" s="84" t="s">
        <v>1081</v>
      </c>
      <c r="T242" s="81" t="s">
        <v>1082</v>
      </c>
      <c r="U242" s="56" t="s">
        <v>1083</v>
      </c>
      <c r="V242" s="81" t="s">
        <v>1084</v>
      </c>
      <c r="W242" s="84"/>
    </row>
    <row r="243">
      <c r="A243" s="148" t="str">
        <f>Translation!A252</f>
        <v>PEÇAS YTEC</v>
      </c>
      <c r="B243" s="144" t="s">
        <v>1085</v>
      </c>
      <c r="C243" s="140" t="e">
        <f>VLOOKUP(Q243,Data!$B:$E,4,FALSE)</f>
        <v>#N/A</v>
      </c>
      <c r="D243" s="140" t="e">
        <f>VLOOKUP(R243,Data!$B:$E,4,FALSE)</f>
        <v>#N/A</v>
      </c>
      <c r="E243" s="140" t="e">
        <f>VLOOKUP(S243,Data!$B:$E,4,FALSE)</f>
        <v>#N/A</v>
      </c>
      <c r="F243" s="141" t="e">
        <f>VLOOKUP(T243,Data!$B:$E,4,FALSE)</f>
        <v>#N/A</v>
      </c>
      <c r="G243" s="140" t="e">
        <f>VLOOKUP(U243,Data!$B:$E,4,FALSE)</f>
        <v>#N/A</v>
      </c>
      <c r="H243" s="141" t="e">
        <f>VLOOKUP(V243,Data!$B:$E,4,FALSE)</f>
        <v>#N/A</v>
      </c>
      <c r="I243" s="113"/>
      <c r="O243" s="29" t="s">
        <v>1011</v>
      </c>
      <c r="P243" s="40" t="s">
        <v>1085</v>
      </c>
      <c r="Q243" s="84" t="s">
        <v>1086</v>
      </c>
      <c r="R243" s="84" t="s">
        <v>1087</v>
      </c>
      <c r="S243" s="84" t="s">
        <v>1088</v>
      </c>
      <c r="T243" s="81" t="s">
        <v>1089</v>
      </c>
      <c r="U243" s="56" t="s">
        <v>1090</v>
      </c>
      <c r="V243" s="81" t="s">
        <v>1091</v>
      </c>
      <c r="W243" s="84"/>
    </row>
    <row r="244">
      <c r="A244" s="148" t="str">
        <f>Translation!A253</f>
        <v>PEÇAS NÃO GENUÍNAS</v>
      </c>
      <c r="B244" s="144" t="s">
        <v>1092</v>
      </c>
      <c r="C244" s="140" t="e">
        <f>VLOOKUP(Q244,Data!$B:$E,4,FALSE)</f>
        <v>#N/A</v>
      </c>
      <c r="D244" s="140" t="e">
        <f>VLOOKUP(R244,Data!$B:$E,4,FALSE)</f>
        <v>#N/A</v>
      </c>
      <c r="E244" s="140" t="e">
        <f>VLOOKUP(S244,Data!$B:$E,4,FALSE)</f>
        <v>#N/A</v>
      </c>
      <c r="F244" s="141" t="e">
        <f>VLOOKUP(T244,Data!$B:$E,4,FALSE)</f>
        <v>#N/A</v>
      </c>
      <c r="G244" s="140" t="e">
        <f>VLOOKUP(U244,Data!$B:$E,4,FALSE)</f>
        <v>#N/A</v>
      </c>
      <c r="H244" s="141" t="e">
        <f>VLOOKUP(V244,Data!$B:$E,4,FALSE)</f>
        <v>#N/A</v>
      </c>
      <c r="I244" s="117"/>
      <c r="O244" s="29" t="s">
        <v>1019</v>
      </c>
      <c r="P244" s="40" t="s">
        <v>1092</v>
      </c>
      <c r="Q244" s="84" t="s">
        <v>1093</v>
      </c>
      <c r="R244" s="84" t="s">
        <v>1094</v>
      </c>
      <c r="S244" s="84" t="s">
        <v>1095</v>
      </c>
      <c r="T244" s="81" t="s">
        <v>1096</v>
      </c>
      <c r="U244" s="56" t="s">
        <v>1097</v>
      </c>
      <c r="V244" s="81" t="s">
        <v>1098</v>
      </c>
      <c r="W244" s="87"/>
    </row>
    <row r="245">
      <c r="A245" s="148" t="str">
        <f>Translation!A254</f>
        <v>ACESSÓRIOS</v>
      </c>
      <c r="B245" s="144" t="s">
        <v>1099</v>
      </c>
      <c r="C245" s="140" t="e">
        <f>VLOOKUP(Q245,Data!$B:$E,4,FALSE)</f>
        <v>#N/A</v>
      </c>
      <c r="D245" s="140" t="e">
        <f>VLOOKUP(R245,Data!$B:$E,4,FALSE)</f>
        <v>#N/A</v>
      </c>
      <c r="E245" s="140" t="e">
        <f>VLOOKUP(S245,Data!$B:$E,4,FALSE)</f>
        <v>#N/A</v>
      </c>
      <c r="F245" s="141" t="e">
        <f>VLOOKUP(T245,Data!$B:$E,4,FALSE)</f>
        <v>#N/A</v>
      </c>
      <c r="G245" s="140" t="e">
        <f>VLOOKUP(U245,Data!$B:$E,4,FALSE)</f>
        <v>#N/A</v>
      </c>
      <c r="H245" s="141" t="e">
        <f>VLOOKUP(V245,Data!$B:$E,4,FALSE)</f>
        <v>#N/A</v>
      </c>
      <c r="I245" s="113"/>
      <c r="O245" s="29" t="s">
        <v>1027</v>
      </c>
      <c r="P245" s="40" t="s">
        <v>1099</v>
      </c>
      <c r="Q245" s="84" t="s">
        <v>1100</v>
      </c>
      <c r="R245" s="84" t="s">
        <v>1101</v>
      </c>
      <c r="S245" s="84" t="s">
        <v>1102</v>
      </c>
      <c r="T245" s="81" t="s">
        <v>1103</v>
      </c>
      <c r="U245" s="56" t="s">
        <v>1104</v>
      </c>
      <c r="V245" s="81" t="s">
        <v>1105</v>
      </c>
      <c r="W245" s="84"/>
    </row>
    <row r="246">
      <c r="A246" s="151" t="str">
        <f>Translation!A255</f>
        <v>PRODUTOS APLICADOS NA OFICINA</v>
      </c>
      <c r="B246" s="144" t="s">
        <v>1106</v>
      </c>
      <c r="C246" s="141" t="e">
        <f>VLOOKUP(Q246,Data!$B:$E,4,FALSE)</f>
        <v>#N/A</v>
      </c>
      <c r="D246" s="141" t="e">
        <f>VLOOKUP(R246,Data!$B:$E,4,FALSE)</f>
        <v>#N/A</v>
      </c>
      <c r="E246" s="141" t="e">
        <f>VLOOKUP(S246,Data!$B:$E,4,FALSE)</f>
        <v>#N/A</v>
      </c>
      <c r="F246" s="141" t="e">
        <f>VLOOKUP(T246,Data!$B:$E,4,FALSE)</f>
        <v>#N/A</v>
      </c>
      <c r="G246" s="141" t="e">
        <f>VLOOKUP(U246,Data!$B:$E,4,FALSE)</f>
        <v>#N/A</v>
      </c>
      <c r="H246" s="141" t="e">
        <f>VLOOKUP(V246,Data!$B:$E,4,FALSE)</f>
        <v>#N/A</v>
      </c>
      <c r="I246" s="116"/>
      <c r="O246" s="48" t="s">
        <v>1107</v>
      </c>
      <c r="P246" s="40" t="s">
        <v>1106</v>
      </c>
      <c r="Q246" s="57" t="s">
        <v>1108</v>
      </c>
      <c r="R246" s="57" t="s">
        <v>1109</v>
      </c>
      <c r="S246" s="57" t="s">
        <v>1110</v>
      </c>
      <c r="T246" s="81" t="s">
        <v>1111</v>
      </c>
      <c r="U246" s="57" t="s">
        <v>1112</v>
      </c>
      <c r="V246" s="81" t="s">
        <v>1113</v>
      </c>
      <c r="W246" s="86"/>
    </row>
    <row r="247">
      <c r="A247" s="148" t="str">
        <f>Translation!A539</f>
        <v>TOTAL OUTROS</v>
      </c>
      <c r="B247" s="144" t="s">
        <v>1114</v>
      </c>
      <c r="C247" s="140" t="e">
        <f>VLOOKUP(Q247,Data!$B:$E,4,FALSE)</f>
        <v>#N/A</v>
      </c>
      <c r="D247" s="140" t="e">
        <f>VLOOKUP(R247,Data!$B:$E,4,FALSE)</f>
        <v>#N/A</v>
      </c>
      <c r="E247" s="140" t="e">
        <f>VLOOKUP(S247,Data!$B:$E,4,FALSE)</f>
        <v>#N/A</v>
      </c>
      <c r="F247" s="141" t="e">
        <f>VLOOKUP(T247,Data!$B:$E,4,FALSE)</f>
        <v>#N/A</v>
      </c>
      <c r="G247" s="140" t="e">
        <f>VLOOKUP(U247,Data!$B:$E,4,FALSE)</f>
        <v>#N/A</v>
      </c>
      <c r="H247" s="141" t="e">
        <f>VLOOKUP(V247,Data!$B:$E,4,FALSE)</f>
        <v>#N/A</v>
      </c>
      <c r="I247" s="116"/>
      <c r="O247" s="29" t="s">
        <v>1115</v>
      </c>
      <c r="P247" s="40" t="s">
        <v>1114</v>
      </c>
      <c r="Q247" s="84" t="s">
        <v>1116</v>
      </c>
      <c r="R247" s="84" t="s">
        <v>1117</v>
      </c>
      <c r="S247" s="84" t="s">
        <v>1118</v>
      </c>
      <c r="T247" s="81" t="s">
        <v>1119</v>
      </c>
      <c r="U247" s="56" t="s">
        <v>1120</v>
      </c>
      <c r="V247" s="81" t="s">
        <v>1121</v>
      </c>
      <c r="W247" s="86"/>
    </row>
    <row r="248">
      <c r="A248" s="151" t="str">
        <f>Translation!A256</f>
        <v>TOTAL DE RECEITA DE VENDAS DE PEÇAS E ACESSÓRIOS</v>
      </c>
      <c r="B248" s="144" t="s">
        <v>1122</v>
      </c>
      <c r="C248" s="141" t="e">
        <f>VLOOKUP(Q248,Data!$B:$E,4,FALSE)</f>
        <v>#N/A</v>
      </c>
      <c r="D248" s="141" t="e">
        <f>VLOOKUP(R248,Data!$B:$E,4,FALSE)</f>
        <v>#N/A</v>
      </c>
      <c r="E248" s="141" t="e">
        <f>VLOOKUP(S248,Data!$B:$E,4,FALSE)</f>
        <v>#N/A</v>
      </c>
      <c r="F248" s="141" t="e">
        <f>VLOOKUP(T248,Data!$B:$E,4,FALSE)</f>
        <v>#N/A</v>
      </c>
      <c r="G248" s="141" t="e">
        <f>VLOOKUP(U248,Data!$B:$E,4,FALSE)</f>
        <v>#N/A</v>
      </c>
      <c r="H248" s="141" t="e">
        <f>VLOOKUP(V248,Data!$B:$E,4,FALSE)</f>
        <v>#N/A</v>
      </c>
      <c r="I248" s="113"/>
      <c r="O248" s="48" t="s">
        <v>1123</v>
      </c>
      <c r="P248" s="40" t="s">
        <v>1122</v>
      </c>
      <c r="Q248" s="57" t="s">
        <v>1124</v>
      </c>
      <c r="R248" s="57" t="s">
        <v>1125</v>
      </c>
      <c r="S248" s="57" t="s">
        <v>1126</v>
      </c>
      <c r="T248" s="81" t="s">
        <v>1127</v>
      </c>
      <c r="U248" s="57" t="s">
        <v>1128</v>
      </c>
      <c r="V248" s="81" t="s">
        <v>1129</v>
      </c>
      <c r="W248" s="84"/>
    </row>
    <row r="249">
      <c r="A249" s="152" t="str">
        <f>Translation!A257</f>
        <v>OUTRAS RECEITAS OPERACIONAIS</v>
      </c>
      <c r="B249" s="144" t="str">
        <f>Translation!$G$32</f>
        <v>CONTA</v>
      </c>
      <c r="C249" s="121" t="str">
        <f>Translation!$G$1</f>
        <v>VALOR</v>
      </c>
      <c r="D249" s="113"/>
      <c r="E249" s="113"/>
      <c r="F249" s="113"/>
      <c r="G249" s="113"/>
      <c r="H249" s="113"/>
      <c r="I249" s="113"/>
      <c r="O249" s="27" t="s">
        <v>671</v>
      </c>
      <c r="P249" s="40" t="str">
        <f>Translation!$G$32</f>
        <v>CONTA</v>
      </c>
      <c r="Q249" s="79" t="str">
        <f>Translation!$G$1</f>
        <v>VALOR</v>
      </c>
      <c r="R249" s="84"/>
      <c r="S249" s="84"/>
      <c r="T249" s="84"/>
      <c r="U249" s="84"/>
      <c r="V249" s="84"/>
      <c r="W249" s="84"/>
    </row>
    <row r="250">
      <c r="A250" s="148" t="str">
        <f>Translation!A258</f>
        <v>INCENTIVOS DE VAREJO</v>
      </c>
      <c r="B250" s="144" t="s">
        <v>1130</v>
      </c>
      <c r="C250" s="140" t="e">
        <f>VLOOKUP(Q250,Data!$B:$E,4,FALSE)</f>
        <v>#N/A</v>
      </c>
      <c r="D250" s="113"/>
      <c r="E250" s="113"/>
      <c r="F250" s="113"/>
      <c r="G250" s="113"/>
      <c r="H250" s="113"/>
      <c r="I250" s="113"/>
      <c r="O250" s="29" t="s">
        <v>673</v>
      </c>
      <c r="P250" s="40" t="s">
        <v>1130</v>
      </c>
      <c r="Q250" s="84" t="s">
        <v>1131</v>
      </c>
      <c r="R250" s="84"/>
      <c r="S250" s="84"/>
      <c r="T250" s="84"/>
      <c r="U250" s="84"/>
      <c r="V250" s="84"/>
      <c r="W250" s="84"/>
    </row>
    <row r="251">
      <c r="A251" s="148" t="str">
        <f>Translation!A259</f>
        <v>BONIFICAÇÕES 1</v>
      </c>
      <c r="B251" s="144" t="s">
        <v>1132</v>
      </c>
      <c r="C251" s="140" t="e">
        <f>VLOOKUP(Q251,Data!$B:$E,4,FALSE)</f>
        <v>#N/A</v>
      </c>
      <c r="D251" s="113"/>
      <c r="E251" s="113"/>
      <c r="F251" s="113"/>
      <c r="G251" s="113"/>
      <c r="H251" s="113"/>
      <c r="I251" s="113"/>
      <c r="O251" s="29" t="s">
        <v>676</v>
      </c>
      <c r="P251" s="40" t="s">
        <v>1132</v>
      </c>
      <c r="Q251" s="84" t="s">
        <v>1133</v>
      </c>
      <c r="R251" s="84"/>
      <c r="S251" s="84"/>
      <c r="T251" s="84"/>
      <c r="U251" s="84"/>
      <c r="V251" s="84"/>
      <c r="W251" s="84"/>
    </row>
    <row r="252">
      <c r="A252" s="148" t="str">
        <f>Translation!A260</f>
        <v>BONIFICAÇÕES 2</v>
      </c>
      <c r="B252" s="144" t="s">
        <v>1134</v>
      </c>
      <c r="C252" s="140" t="e">
        <f>VLOOKUP(Q252,Data!$B:$E,4,FALSE)</f>
        <v>#N/A</v>
      </c>
      <c r="D252" s="113"/>
      <c r="E252" s="113"/>
      <c r="F252" s="113"/>
      <c r="G252" s="113"/>
      <c r="H252" s="113"/>
      <c r="I252" s="113"/>
      <c r="O252" s="29" t="s">
        <v>679</v>
      </c>
      <c r="P252" s="40" t="s">
        <v>1134</v>
      </c>
      <c r="Q252" s="84" t="s">
        <v>1135</v>
      </c>
      <c r="R252" s="84"/>
      <c r="S252" s="84"/>
      <c r="T252" s="84"/>
      <c r="U252" s="84"/>
      <c r="V252" s="84"/>
      <c r="W252" s="84"/>
    </row>
    <row r="253">
      <c r="A253" s="148" t="str">
        <f>Translation!A261</f>
        <v>COMISSÕES DIVERSAS</v>
      </c>
      <c r="B253" s="144" t="s">
        <v>1136</v>
      </c>
      <c r="C253" s="140" t="e">
        <f>VLOOKUP(Q253,Data!$B:$E,4,FALSE)</f>
        <v>#N/A</v>
      </c>
      <c r="D253" s="113"/>
      <c r="E253" s="113"/>
      <c r="F253" s="113"/>
      <c r="G253" s="113"/>
      <c r="H253" s="113"/>
      <c r="I253" s="113"/>
      <c r="O253" s="29" t="s">
        <v>682</v>
      </c>
      <c r="P253" s="40" t="s">
        <v>1136</v>
      </c>
      <c r="Q253" s="84" t="s">
        <v>1137</v>
      </c>
      <c r="R253" s="84"/>
      <c r="S253" s="84"/>
      <c r="T253" s="84"/>
      <c r="U253" s="84"/>
      <c r="V253" s="84"/>
      <c r="W253" s="84"/>
    </row>
    <row r="254">
      <c r="A254" s="148" t="str">
        <f>Translation!A262</f>
        <v>OUTRAS RECEITAS</v>
      </c>
      <c r="B254" s="144" t="s">
        <v>1138</v>
      </c>
      <c r="C254" s="140" t="e">
        <f>VLOOKUP(Q254,Data!$B:$E,4,FALSE)</f>
        <v>#N/A</v>
      </c>
      <c r="D254" s="113"/>
      <c r="E254" s="113"/>
      <c r="F254" s="113"/>
      <c r="G254" s="113"/>
      <c r="H254" s="113"/>
      <c r="I254" s="113"/>
      <c r="O254" s="29" t="s">
        <v>685</v>
      </c>
      <c r="P254" s="40" t="s">
        <v>1138</v>
      </c>
      <c r="Q254" s="84" t="s">
        <v>1139</v>
      </c>
      <c r="R254" s="84"/>
      <c r="S254" s="84"/>
      <c r="T254" s="84"/>
      <c r="U254" s="84"/>
      <c r="V254" s="84"/>
      <c r="W254" s="84"/>
    </row>
    <row r="255">
      <c r="A255" s="151" t="str">
        <f>Translation!A263</f>
        <v>TOTAL DE OUTRAS RECEITAS OPERACIONAIS</v>
      </c>
      <c r="B255" s="144" t="s">
        <v>1140</v>
      </c>
      <c r="C255" s="141" t="e">
        <f>VLOOKUP(Q255,Data!$B:$E,4,FALSE)</f>
        <v>#N/A</v>
      </c>
      <c r="D255" s="113"/>
      <c r="E255" s="113"/>
      <c r="F255" s="113"/>
      <c r="G255" s="113"/>
      <c r="H255" s="113"/>
      <c r="I255" s="113"/>
      <c r="O255" s="48" t="s">
        <v>688</v>
      </c>
      <c r="P255" s="40" t="s">
        <v>1140</v>
      </c>
      <c r="Q255" s="58" t="s">
        <v>1141</v>
      </c>
      <c r="R255" s="84"/>
      <c r="S255" s="84"/>
      <c r="T255" s="84"/>
      <c r="U255" s="84"/>
      <c r="V255" s="84"/>
      <c r="W255" s="84"/>
    </row>
    <row r="256">
      <c r="A256" s="152" t="str">
        <f>Translation!A264</f>
        <v>DESPESAS VARIÁVEIS</v>
      </c>
      <c r="B256" s="144" t="str">
        <f>Translation!$G$32</f>
        <v>CONTA</v>
      </c>
      <c r="C256" s="121" t="str">
        <f>Translation!$G$1</f>
        <v>VALOR</v>
      </c>
      <c r="D256" s="113"/>
      <c r="E256" s="113"/>
      <c r="F256" s="113"/>
      <c r="G256" s="113"/>
      <c r="H256" s="113"/>
      <c r="I256" s="113"/>
      <c r="O256" s="27" t="s">
        <v>690</v>
      </c>
      <c r="P256" s="40" t="str">
        <f>Translation!$G$32</f>
        <v>CONTA</v>
      </c>
      <c r="Q256" s="79" t="str">
        <f>Translation!$G$1</f>
        <v>VALOR</v>
      </c>
      <c r="R256" s="84"/>
      <c r="S256" s="84"/>
      <c r="T256" s="84"/>
      <c r="U256" s="84"/>
      <c r="V256" s="84"/>
      <c r="W256" s="84"/>
    </row>
    <row r="257">
      <c r="A257" s="148" t="str">
        <f>Translation!A265</f>
        <v>COMISSÕES SOBRE VENDAS DE PEÇAS</v>
      </c>
      <c r="B257" s="144" t="s">
        <v>1142</v>
      </c>
      <c r="C257" s="140" t="e">
        <f>VLOOKUP(Q257,Data!$B:$E,4,FALSE)</f>
        <v>#N/A</v>
      </c>
      <c r="D257" s="113"/>
      <c r="E257" s="113"/>
      <c r="F257" s="113"/>
      <c r="G257" s="113"/>
      <c r="H257" s="113"/>
      <c r="I257" s="113"/>
      <c r="O257" s="29" t="s">
        <v>1143</v>
      </c>
      <c r="P257" s="40" t="s">
        <v>1142</v>
      </c>
      <c r="Q257" s="84" t="s">
        <v>1144</v>
      </c>
      <c r="R257" s="84"/>
      <c r="S257" s="84"/>
      <c r="T257" s="84"/>
      <c r="U257" s="84"/>
      <c r="V257" s="84"/>
      <c r="W257" s="84"/>
    </row>
    <row r="258">
      <c r="A258" s="148" t="str">
        <f>Translation!A266</f>
        <v>ENCARGOS SOBRE COMISSÕES (-)</v>
      </c>
      <c r="B258" s="144" t="s">
        <v>1145</v>
      </c>
      <c r="C258" s="140" t="e">
        <f>VLOOKUP(Q258,Data!$B:$E,4,FALSE)</f>
        <v>#N/A</v>
      </c>
      <c r="D258" s="113"/>
      <c r="E258" s="113"/>
      <c r="F258" s="113"/>
      <c r="G258" s="113"/>
      <c r="H258" s="113"/>
      <c r="I258" s="113"/>
      <c r="O258" s="29" t="s">
        <v>695</v>
      </c>
      <c r="P258" s="40" t="s">
        <v>1145</v>
      </c>
      <c r="Q258" s="84" t="s">
        <v>1146</v>
      </c>
      <c r="R258" s="84"/>
      <c r="S258" s="84"/>
      <c r="T258" s="84"/>
      <c r="U258" s="84"/>
      <c r="V258" s="84"/>
      <c r="W258" s="84"/>
    </row>
    <row r="259">
      <c r="A259" s="148" t="str">
        <f>Translation!A267</f>
        <v>OUTRAS DESPESAS</v>
      </c>
      <c r="B259" s="144" t="s">
        <v>1147</v>
      </c>
      <c r="C259" s="140" t="e">
        <f>VLOOKUP(Q259,Data!$B:$E,4,FALSE)</f>
        <v>#N/A</v>
      </c>
      <c r="D259" s="113"/>
      <c r="E259" s="113"/>
      <c r="F259" s="113"/>
      <c r="G259" s="113"/>
      <c r="H259" s="113"/>
      <c r="I259" s="113"/>
      <c r="O259" s="29" t="s">
        <v>698</v>
      </c>
      <c r="P259" s="40" t="s">
        <v>1147</v>
      </c>
      <c r="Q259" s="84" t="s">
        <v>1148</v>
      </c>
      <c r="R259" s="84"/>
      <c r="S259" s="84"/>
      <c r="T259" s="84"/>
      <c r="U259" s="84"/>
      <c r="V259" s="84"/>
      <c r="W259" s="84"/>
    </row>
    <row r="260">
      <c r="A260" s="151" t="str">
        <f>Translation!A268</f>
        <v>TOTAL DE DESPESAS VARIÁVEIS</v>
      </c>
      <c r="B260" s="144" t="s">
        <v>1149</v>
      </c>
      <c r="C260" s="141" t="e">
        <f>VLOOKUP(Q260,Data!$B:$E,4,FALSE)</f>
        <v>#N/A</v>
      </c>
      <c r="D260" s="113"/>
      <c r="E260" s="113"/>
      <c r="F260" s="113"/>
      <c r="G260" s="113"/>
      <c r="H260" s="113"/>
      <c r="I260" s="113"/>
      <c r="O260" s="48" t="s">
        <v>701</v>
      </c>
      <c r="P260" s="40" t="s">
        <v>1149</v>
      </c>
      <c r="Q260" s="59" t="s">
        <v>1150</v>
      </c>
      <c r="R260" s="84"/>
      <c r="S260" s="84"/>
      <c r="T260" s="84"/>
      <c r="U260" s="84"/>
      <c r="V260" s="84"/>
      <c r="W260" s="84"/>
    </row>
    <row r="261">
      <c r="A261" s="154" t="str">
        <f>Translation!A269</f>
        <v>MARGEM DE CONTRIBUIÇÃO</v>
      </c>
      <c r="B261" s="144" t="str">
        <f>Translation!$G$32</f>
        <v>CONTA</v>
      </c>
      <c r="C261" s="121" t="str">
        <f>Translation!$G$1</f>
        <v>VALOR</v>
      </c>
      <c r="D261" s="113"/>
      <c r="E261" s="113"/>
      <c r="F261" s="113"/>
      <c r="G261" s="113"/>
      <c r="H261" s="113"/>
      <c r="I261" s="113"/>
      <c r="O261" s="49" t="s">
        <v>703</v>
      </c>
      <c r="P261" s="40" t="str">
        <f>Translation!$G$32</f>
        <v>CONTA</v>
      </c>
      <c r="Q261" s="79" t="str">
        <f>Translation!$G$1</f>
        <v>VALOR</v>
      </c>
      <c r="R261" s="84"/>
      <c r="S261" s="84"/>
      <c r="T261" s="84"/>
      <c r="U261" s="84"/>
      <c r="V261" s="84"/>
      <c r="W261" s="84"/>
    </row>
    <row r="262">
      <c r="A262" s="151" t="str">
        <f>Translation!A270</f>
        <v>MARGEM DE CONTRIBUIÇÃO</v>
      </c>
      <c r="B262" s="144" t="s">
        <v>1151</v>
      </c>
      <c r="C262" s="141" t="e">
        <f>VLOOKUP(Q262,Data!$B:$E,4,FALSE)</f>
        <v>#N/A</v>
      </c>
      <c r="D262" s="113"/>
      <c r="E262" s="113"/>
      <c r="F262" s="113"/>
      <c r="G262" s="113"/>
      <c r="H262" s="113"/>
      <c r="I262" s="113"/>
      <c r="O262" s="48" t="s">
        <v>703</v>
      </c>
      <c r="P262" s="40" t="s">
        <v>1151</v>
      </c>
      <c r="Q262" s="57" t="s">
        <v>1152</v>
      </c>
      <c r="R262" s="84"/>
      <c r="S262" s="84"/>
      <c r="T262" s="84"/>
      <c r="U262" s="84"/>
      <c r="V262" s="84"/>
      <c r="W262" s="84"/>
    </row>
    <row r="263">
      <c r="A263" s="152" t="str">
        <f>Translation!A271</f>
        <v>DESPESAS</v>
      </c>
      <c r="B263" s="144" t="str">
        <f>Translation!$G$32</f>
        <v>CONTA</v>
      </c>
      <c r="C263" s="121" t="str">
        <f>Translation!$G$1</f>
        <v>VALOR</v>
      </c>
      <c r="D263" s="113"/>
      <c r="E263" s="113"/>
      <c r="F263" s="113"/>
      <c r="G263" s="113"/>
      <c r="H263" s="113"/>
      <c r="I263" s="113"/>
      <c r="O263" s="27" t="s">
        <v>706</v>
      </c>
      <c r="P263" s="40" t="str">
        <f>Translation!$G$32</f>
        <v>CONTA</v>
      </c>
      <c r="Q263" s="79" t="str">
        <f>Translation!$G$1</f>
        <v>VALOR</v>
      </c>
      <c r="R263" s="84"/>
      <c r="S263" s="84"/>
      <c r="T263" s="84"/>
      <c r="U263" s="84"/>
      <c r="V263" s="84"/>
      <c r="W263" s="84"/>
    </row>
    <row r="264">
      <c r="A264" s="151" t="str">
        <f>Translation!A272</f>
        <v>TOTAL DE DESPESAS COM PESSOAL (A)</v>
      </c>
      <c r="B264" s="144" t="s">
        <v>1153</v>
      </c>
      <c r="C264" s="141" t="e">
        <f>VLOOKUP(Q264,Data!$B:$E,4,FALSE)</f>
        <v>#N/A</v>
      </c>
      <c r="D264" s="113"/>
      <c r="E264" s="113"/>
      <c r="F264" s="113"/>
      <c r="G264" s="113"/>
      <c r="H264" s="113"/>
      <c r="I264" s="113"/>
      <c r="O264" s="48" t="s">
        <v>708</v>
      </c>
      <c r="P264" s="40" t="s">
        <v>1153</v>
      </c>
      <c r="Q264" s="57" t="s">
        <v>1154</v>
      </c>
      <c r="R264" s="84"/>
      <c r="S264" s="84"/>
      <c r="T264" s="84"/>
      <c r="U264" s="84"/>
      <c r="V264" s="84"/>
      <c r="W264" s="84"/>
    </row>
    <row r="265">
      <c r="A265" s="151" t="str">
        <f>Translation!A273</f>
        <v>TOTAL DE DESPESAS COM ESTRUTURA - IMÓVEIS (B)</v>
      </c>
      <c r="B265" s="144" t="s">
        <v>1155</v>
      </c>
      <c r="C265" s="141" t="e">
        <f>VLOOKUP(Q265,Data!$B:$E,4,FALSE)</f>
        <v>#N/A</v>
      </c>
      <c r="D265" s="113"/>
      <c r="E265" s="113"/>
      <c r="F265" s="113"/>
      <c r="G265" s="113"/>
      <c r="H265" s="113"/>
      <c r="I265" s="113"/>
      <c r="O265" s="48" t="s">
        <v>711</v>
      </c>
      <c r="P265" s="40" t="s">
        <v>1155</v>
      </c>
      <c r="Q265" s="57" t="s">
        <v>1156</v>
      </c>
      <c r="R265" s="84"/>
      <c r="S265" s="84"/>
      <c r="T265" s="84"/>
      <c r="U265" s="84"/>
      <c r="V265" s="84"/>
      <c r="W265" s="84"/>
    </row>
    <row r="266">
      <c r="A266" s="151" t="str">
        <f>Translation!A274</f>
        <v>TOTAL DE DESPESAS GERAIS (C)</v>
      </c>
      <c r="B266" s="144" t="s">
        <v>1157</v>
      </c>
      <c r="C266" s="141" t="e">
        <f>VLOOKUP(Q266,Data!$B:$E,4,FALSE)</f>
        <v>#N/A</v>
      </c>
      <c r="D266" s="113"/>
      <c r="E266" s="113"/>
      <c r="F266" s="113"/>
      <c r="G266" s="113"/>
      <c r="H266" s="113"/>
      <c r="I266" s="113"/>
      <c r="O266" s="48" t="s">
        <v>714</v>
      </c>
      <c r="P266" s="40" t="s">
        <v>1157</v>
      </c>
      <c r="Q266" s="57" t="s">
        <v>1158</v>
      </c>
      <c r="R266" s="84"/>
      <c r="S266" s="84"/>
      <c r="T266" s="84"/>
      <c r="U266" s="84"/>
      <c r="V266" s="84"/>
      <c r="W266" s="84"/>
    </row>
    <row r="267">
      <c r="A267" s="151" t="str">
        <f>Translation!A275</f>
        <v>TOTAL DE DESPESAS FIXAS (A+B+C)</v>
      </c>
      <c r="B267" s="144" t="s">
        <v>1159</v>
      </c>
      <c r="C267" s="141" t="e">
        <f>VLOOKUP(Q267,Data!$B:$E,4,FALSE)</f>
        <v>#N/A</v>
      </c>
      <c r="D267" s="113"/>
      <c r="E267" s="113"/>
      <c r="F267" s="113"/>
      <c r="G267" s="113"/>
      <c r="H267" s="113"/>
      <c r="I267" s="113"/>
      <c r="O267" s="48" t="s">
        <v>717</v>
      </c>
      <c r="P267" s="40" t="s">
        <v>1159</v>
      </c>
      <c r="Q267" s="57" t="s">
        <v>1160</v>
      </c>
      <c r="R267" s="84"/>
      <c r="S267" s="84"/>
      <c r="T267" s="84"/>
      <c r="U267" s="84"/>
      <c r="V267" s="84"/>
      <c r="W267" s="84"/>
    </row>
    <row r="268">
      <c r="A268" s="153" t="str">
        <f>Translation!A276</f>
        <v>LUCRO / PREJUÍZO OPERACIONAL</v>
      </c>
      <c r="B268" s="144" t="str">
        <f>Translation!$G$32</f>
        <v>CONTA</v>
      </c>
      <c r="C268" s="121" t="str">
        <f>Translation!$G$1</f>
        <v>VALOR</v>
      </c>
      <c r="D268" s="113"/>
      <c r="E268" s="113"/>
      <c r="F268" s="113"/>
      <c r="G268" s="113"/>
      <c r="H268" s="113"/>
      <c r="I268" s="113"/>
      <c r="O268" s="28" t="s">
        <v>719</v>
      </c>
      <c r="P268" s="40" t="str">
        <f>Translation!$G$32</f>
        <v>CONTA</v>
      </c>
      <c r="Q268" s="79" t="str">
        <f>Translation!$G$1</f>
        <v>VALOR</v>
      </c>
      <c r="R268" s="84"/>
      <c r="S268" s="84"/>
      <c r="T268" s="84"/>
      <c r="U268" s="84"/>
      <c r="V268" s="84"/>
      <c r="W268" s="84"/>
    </row>
    <row r="269">
      <c r="A269" s="151" t="str">
        <f>Translation!A277</f>
        <v>LUCRO / PREJUÍZO OPERACIONAL</v>
      </c>
      <c r="B269" s="144" t="s">
        <v>1161</v>
      </c>
      <c r="C269" s="141" t="e">
        <f>VLOOKUP(Q269,Data!$B:$E,4,FALSE)</f>
        <v>#N/A</v>
      </c>
      <c r="D269" s="113"/>
      <c r="E269" s="113"/>
      <c r="F269" s="113"/>
      <c r="G269" s="113"/>
      <c r="H269" s="113"/>
      <c r="I269" s="113"/>
      <c r="O269" s="48" t="s">
        <v>719</v>
      </c>
      <c r="P269" s="40" t="s">
        <v>1161</v>
      </c>
      <c r="Q269" s="57" t="s">
        <v>1162</v>
      </c>
      <c r="R269" s="84"/>
      <c r="S269" s="84"/>
      <c r="T269" s="84"/>
      <c r="U269" s="84"/>
      <c r="V269" s="84"/>
      <c r="W269" s="84"/>
    </row>
    <row r="270">
      <c r="A270" s="153" t="str">
        <f>Translation!A278</f>
        <v>DESPESAS / RECEITAS NÃO-OPERACIONAIS E FINANCEIRAS </v>
      </c>
      <c r="B270" s="144" t="str">
        <f>Translation!$G$32</f>
        <v>CONTA</v>
      </c>
      <c r="C270" s="121" t="str">
        <f>Translation!$G$1</f>
        <v>VALOR</v>
      </c>
      <c r="D270" s="113"/>
      <c r="E270" s="113"/>
      <c r="F270" s="113"/>
      <c r="G270" s="113"/>
      <c r="H270" s="113"/>
      <c r="I270" s="113"/>
      <c r="O270" s="28" t="s">
        <v>722</v>
      </c>
      <c r="P270" s="40" t="str">
        <f>Translation!$G$32</f>
        <v>CONTA</v>
      </c>
      <c r="Q270" s="79" t="str">
        <f>Translation!$G$1</f>
        <v>VALOR</v>
      </c>
      <c r="R270" s="84"/>
      <c r="S270" s="84"/>
      <c r="T270" s="84"/>
      <c r="U270" s="84"/>
      <c r="V270" s="84"/>
      <c r="W270" s="84"/>
    </row>
    <row r="271">
      <c r="A271" s="151" t="str">
        <f>Translation!A279</f>
        <v>TOTAL DE DESPESAS NÃO-OPERACIONAIS</v>
      </c>
      <c r="B271" s="144" t="s">
        <v>1163</v>
      </c>
      <c r="C271" s="141" t="e">
        <f>VLOOKUP(Q271,Data!$B:$E,4,FALSE)</f>
        <v>#N/A</v>
      </c>
      <c r="D271" s="113"/>
      <c r="E271" s="113"/>
      <c r="F271" s="113"/>
      <c r="G271" s="113"/>
      <c r="H271" s="113"/>
      <c r="I271" s="113"/>
      <c r="O271" s="48" t="s">
        <v>724</v>
      </c>
      <c r="P271" s="40" t="s">
        <v>1163</v>
      </c>
      <c r="Q271" s="57" t="s">
        <v>1164</v>
      </c>
      <c r="R271" s="84"/>
      <c r="S271" s="84"/>
      <c r="T271" s="84"/>
      <c r="U271" s="84"/>
      <c r="V271" s="84"/>
      <c r="W271" s="84"/>
    </row>
    <row r="272">
      <c r="A272" s="151" t="str">
        <f>Translation!A280</f>
        <v>TOTAL DE DESPESAS FINANCEIRAS</v>
      </c>
      <c r="B272" s="144" t="s">
        <v>1165</v>
      </c>
      <c r="C272" s="141" t="e">
        <f>VLOOKUP(Q272,Data!$B:$E,4,FALSE)</f>
        <v>#N/A</v>
      </c>
      <c r="D272" s="113"/>
      <c r="E272" s="113"/>
      <c r="F272" s="113"/>
      <c r="G272" s="113"/>
      <c r="H272" s="113"/>
      <c r="I272" s="113"/>
      <c r="O272" s="48" t="s">
        <v>727</v>
      </c>
      <c r="P272" s="40" t="s">
        <v>1165</v>
      </c>
      <c r="Q272" s="57" t="s">
        <v>1166</v>
      </c>
      <c r="R272" s="84"/>
      <c r="S272" s="84"/>
      <c r="T272" s="84"/>
      <c r="U272" s="84"/>
      <c r="V272" s="84"/>
      <c r="W272" s="84"/>
    </row>
    <row r="273">
      <c r="A273" s="151" t="str">
        <f>Translation!A281</f>
        <v>TOTAL DE RECEITAS NÃO-OPERACIONAIS</v>
      </c>
      <c r="B273" s="144" t="s">
        <v>1167</v>
      </c>
      <c r="C273" s="141" t="e">
        <f>VLOOKUP(Q273,Data!$B:$E,4,FALSE)</f>
        <v>#N/A</v>
      </c>
      <c r="D273" s="113"/>
      <c r="E273" s="113"/>
      <c r="F273" s="113"/>
      <c r="G273" s="113"/>
      <c r="H273" s="113"/>
      <c r="I273" s="113"/>
      <c r="O273" s="48" t="s">
        <v>730</v>
      </c>
      <c r="P273" s="40" t="s">
        <v>1167</v>
      </c>
      <c r="Q273" s="57" t="s">
        <v>1168</v>
      </c>
      <c r="R273" s="84"/>
      <c r="S273" s="84"/>
      <c r="T273" s="84"/>
      <c r="U273" s="84"/>
      <c r="V273" s="84"/>
      <c r="W273" s="84"/>
    </row>
    <row r="274">
      <c r="A274" s="151" t="str">
        <f>Translation!A282</f>
        <v>TOTAL DE RECEITAS FINANCEIRAS</v>
      </c>
      <c r="B274" s="144" t="s">
        <v>1169</v>
      </c>
      <c r="C274" s="141" t="e">
        <f>VLOOKUP(Q274,Data!$B:$E,4,FALSE)</f>
        <v>#N/A</v>
      </c>
      <c r="D274" s="113"/>
      <c r="E274" s="113"/>
      <c r="F274" s="113"/>
      <c r="G274" s="113"/>
      <c r="H274" s="113"/>
      <c r="I274" s="113"/>
      <c r="O274" s="48" t="s">
        <v>733</v>
      </c>
      <c r="P274" s="40" t="s">
        <v>1169</v>
      </c>
      <c r="Q274" s="57" t="s">
        <v>1170</v>
      </c>
      <c r="R274" s="84"/>
      <c r="S274" s="84"/>
      <c r="T274" s="84"/>
      <c r="U274" s="84"/>
      <c r="V274" s="84"/>
      <c r="W274" s="84"/>
    </row>
    <row r="275">
      <c r="A275" s="153" t="str">
        <f>Translation!A283</f>
        <v>RESULTADO DEPARTAMENTAL</v>
      </c>
      <c r="B275" s="144" t="str">
        <f>Translation!$G$32</f>
        <v>CONTA</v>
      </c>
      <c r="C275" s="121" t="str">
        <f>Translation!$G$1</f>
        <v>VALOR</v>
      </c>
      <c r="D275" s="113"/>
      <c r="E275" s="113"/>
      <c r="F275" s="113"/>
      <c r="G275" s="113"/>
      <c r="H275" s="113"/>
      <c r="I275" s="113"/>
      <c r="O275" s="28" t="s">
        <v>748</v>
      </c>
      <c r="P275" s="40" t="str">
        <f>Translation!$G$32</f>
        <v>CONTA</v>
      </c>
      <c r="Q275" s="79" t="str">
        <f>Translation!$G$1</f>
        <v>VALOR</v>
      </c>
      <c r="R275" s="84"/>
      <c r="S275" s="84"/>
      <c r="T275" s="84"/>
      <c r="U275" s="84"/>
      <c r="V275" s="84"/>
      <c r="W275" s="84"/>
    </row>
    <row r="276">
      <c r="A276" s="151" t="str">
        <f>Translation!A284</f>
        <v>RESULTADO DO DEPARTAMENTO DE PEÇAS</v>
      </c>
      <c r="B276" s="144" t="s">
        <v>1171</v>
      </c>
      <c r="C276" s="141" t="e">
        <f>VLOOKUP(Q276,Data!$B:$E,4,FALSE)</f>
        <v>#N/A</v>
      </c>
      <c r="D276" s="113"/>
      <c r="E276" s="113"/>
      <c r="F276" s="113"/>
      <c r="G276" s="113"/>
      <c r="H276" s="113"/>
      <c r="I276" s="113"/>
      <c r="O276" s="48" t="s">
        <v>1172</v>
      </c>
      <c r="P276" s="40" t="s">
        <v>1171</v>
      </c>
      <c r="Q276" s="57" t="s">
        <v>1173</v>
      </c>
      <c r="R276" s="84"/>
      <c r="S276" s="84"/>
      <c r="T276" s="84"/>
      <c r="U276" s="84"/>
      <c r="V276" s="84"/>
      <c r="W276" s="84"/>
    </row>
    <row r="277">
      <c r="A277" s="71" t="str">
        <f>Translation!A4</f>
        <v>SERVIÇO</v>
      </c>
      <c r="B277" s="82"/>
      <c r="C277" s="102"/>
      <c r="D277" s="102"/>
      <c r="E277" s="102"/>
      <c r="F277" s="102"/>
      <c r="G277" s="103"/>
      <c r="H277" s="104"/>
      <c r="I277" s="104"/>
      <c r="O277" s="71" t="s">
        <v>1174</v>
      </c>
      <c r="P277" s="82"/>
      <c r="Q277" s="89"/>
      <c r="R277" s="89"/>
      <c r="S277" s="89"/>
      <c r="T277" s="89"/>
      <c r="U277" s="90"/>
      <c r="V277" s="91"/>
      <c r="W277" s="91"/>
    </row>
    <row r="278" ht="30">
      <c r="A278" s="152" t="str">
        <f>Translation!A286</f>
        <v>SERVIÇOS</v>
      </c>
      <c r="B278" s="144" t="str">
        <f>Translation!$G$32</f>
        <v>CONTA</v>
      </c>
      <c r="C278" s="120" t="str">
        <f>Translation!$G$11</f>
        <v>RECEITA
(SEM IMPOSTOS)</v>
      </c>
      <c r="D278" s="120" t="str">
        <f>Translation!$G$9</f>
        <v>RECEITA LÍQUIDA</v>
      </c>
      <c r="E278" s="121" t="str">
        <f>Translation!$G$2</f>
        <v>CUSTO</v>
      </c>
      <c r="F278" s="121" t="str">
        <f>Translation!$G$5</f>
        <v>LUCRO BRUTO</v>
      </c>
      <c r="G278" s="113"/>
      <c r="H278" s="113"/>
      <c r="I278" s="113"/>
      <c r="O278" s="27" t="s">
        <v>1174</v>
      </c>
      <c r="P278" s="40" t="str">
        <f>Translation!$G$32</f>
        <v>CONTA</v>
      </c>
      <c r="Q278" s="79" t="s">
        <v>3</v>
      </c>
      <c r="R278" s="79" t="s">
        <v>7</v>
      </c>
      <c r="S278" s="79" t="s">
        <v>8</v>
      </c>
      <c r="T278" s="79" t="s">
        <v>9</v>
      </c>
      <c r="U278" s="84"/>
      <c r="V278" s="84"/>
      <c r="W278" s="84"/>
    </row>
    <row r="279">
      <c r="A279" s="148" t="str">
        <f>Translation!A287</f>
        <v>REVISÃO GRATUITA</v>
      </c>
      <c r="B279" s="144" t="s">
        <v>1175</v>
      </c>
      <c r="C279" s="140" t="e">
        <f>VLOOKUP(Q279,Data!$B:$E,4,FALSE)</f>
        <v>#N/A</v>
      </c>
      <c r="D279" s="141" t="e">
        <f>VLOOKUP(R279,Data!$B:$E,4,FALSE)</f>
        <v>#N/A</v>
      </c>
      <c r="E279" s="140" t="e">
        <f>VLOOKUP(S279,Data!$B:$E,4,FALSE)</f>
        <v>#N/A</v>
      </c>
      <c r="F279" s="141" t="e">
        <f>VLOOKUP(T279,Data!$B:$E,4,FALSE)</f>
        <v>#N/A</v>
      </c>
      <c r="G279" s="114"/>
      <c r="H279" s="117"/>
      <c r="I279" s="117"/>
      <c r="O279" s="29" t="s">
        <v>1176</v>
      </c>
      <c r="P279" s="40" t="s">
        <v>1175</v>
      </c>
      <c r="Q279" s="87" t="s">
        <v>1177</v>
      </c>
      <c r="R279" s="57" t="s">
        <v>1178</v>
      </c>
      <c r="S279" s="87" t="s">
        <v>1179</v>
      </c>
      <c r="T279" s="57" t="s">
        <v>1180</v>
      </c>
      <c r="U279" s="83"/>
      <c r="V279" s="87"/>
      <c r="W279" s="87"/>
    </row>
    <row r="280">
      <c r="A280" s="148" t="str">
        <f>Translation!A288</f>
        <v>SERVIÇOS EM GARANTIA</v>
      </c>
      <c r="B280" s="144" t="s">
        <v>1181</v>
      </c>
      <c r="C280" s="140" t="e">
        <f>VLOOKUP(Q280,Data!$B:$E,4,FALSE)</f>
        <v>#N/A</v>
      </c>
      <c r="D280" s="141" t="e">
        <f>VLOOKUP(R280,Data!$B:$E,4,FALSE)</f>
        <v>#N/A</v>
      </c>
      <c r="E280" s="140" t="e">
        <f>VLOOKUP(S280,Data!$B:$E,4,FALSE)</f>
        <v>#N/A</v>
      </c>
      <c r="F280" s="141" t="e">
        <f>VLOOKUP(T280,Data!$B:$E,4,FALSE)</f>
        <v>#N/A</v>
      </c>
      <c r="G280" s="114"/>
      <c r="H280" s="113"/>
      <c r="I280" s="113"/>
      <c r="O280" s="29" t="s">
        <v>1182</v>
      </c>
      <c r="P280" s="40" t="s">
        <v>1181</v>
      </c>
      <c r="Q280" s="84" t="s">
        <v>1183</v>
      </c>
      <c r="R280" s="57" t="s">
        <v>1184</v>
      </c>
      <c r="S280" s="84" t="s">
        <v>1185</v>
      </c>
      <c r="T280" s="57" t="s">
        <v>1186</v>
      </c>
      <c r="U280" s="83"/>
      <c r="V280" s="84"/>
      <c r="W280" s="84"/>
    </row>
    <row r="281">
      <c r="A281" s="148" t="str">
        <f>Translation!A289</f>
        <v>SERVIÇOS EM GERAL</v>
      </c>
      <c r="B281" s="144" t="s">
        <v>1187</v>
      </c>
      <c r="C281" s="140" t="e">
        <f>VLOOKUP(Q281,Data!$B:$E,4,FALSE)</f>
        <v>#N/A</v>
      </c>
      <c r="D281" s="141" t="e">
        <f>VLOOKUP(R281,Data!$B:$E,4,FALSE)</f>
        <v>#N/A</v>
      </c>
      <c r="E281" s="140" t="e">
        <f>VLOOKUP(S281,Data!$B:$E,4,FALSE)</f>
        <v>#N/A</v>
      </c>
      <c r="F281" s="141" t="e">
        <f>VLOOKUP(T281,Data!$B:$E,4,FALSE)</f>
        <v>#N/A</v>
      </c>
      <c r="G281" s="113"/>
      <c r="H281" s="113"/>
      <c r="I281" s="113"/>
      <c r="O281" s="29" t="s">
        <v>1188</v>
      </c>
      <c r="P281" s="40" t="s">
        <v>1187</v>
      </c>
      <c r="Q281" s="84" t="s">
        <v>1189</v>
      </c>
      <c r="R281" s="57" t="s">
        <v>1190</v>
      </c>
      <c r="S281" s="84" t="s">
        <v>1191</v>
      </c>
      <c r="T281" s="57" t="s">
        <v>1192</v>
      </c>
      <c r="U281" s="84"/>
      <c r="V281" s="84"/>
      <c r="W281" s="84"/>
    </row>
    <row r="282">
      <c r="A282" s="148" t="str">
        <f>Translation!A540</f>
        <v>TOTAL OUTROS</v>
      </c>
      <c r="B282" s="144" t="s">
        <v>1193</v>
      </c>
      <c r="C282" s="140" t="e">
        <f>VLOOKUP(Q282,Data!$B:$E,4,FALSE)</f>
        <v>#N/A</v>
      </c>
      <c r="D282" s="141" t="e">
        <f>VLOOKUP(R282,Data!$B:$E,4,FALSE)</f>
        <v>#N/A</v>
      </c>
      <c r="E282" s="140" t="e">
        <f>VLOOKUP(S282,Data!$B:$E,4,FALSE)</f>
        <v>#N/A</v>
      </c>
      <c r="F282" s="141" t="e">
        <f>VLOOKUP(T282,Data!$B:$E,4,FALSE)</f>
        <v>#N/A</v>
      </c>
      <c r="G282" s="113"/>
      <c r="H282" s="113"/>
      <c r="I282" s="113"/>
      <c r="O282" s="29" t="s">
        <v>1115</v>
      </c>
      <c r="P282" s="40" t="s">
        <v>1193</v>
      </c>
      <c r="Q282" s="84" t="s">
        <v>1194</v>
      </c>
      <c r="R282" s="57" t="s">
        <v>1195</v>
      </c>
      <c r="S282" s="84" t="s">
        <v>1196</v>
      </c>
      <c r="T282" s="57" t="s">
        <v>1197</v>
      </c>
      <c r="U282" s="84"/>
      <c r="V282" s="84"/>
      <c r="W282" s="84"/>
    </row>
    <row r="283">
      <c r="A283" s="151" t="str">
        <f>Translation!A290</f>
        <v>TOTAL DE RECEITA DE VENDA DE SERVIÇOS</v>
      </c>
      <c r="B283" s="144" t="s">
        <v>1198</v>
      </c>
      <c r="C283" s="141" t="e">
        <f>VLOOKUP(Q283,Data!$B:$E,4,FALSE)</f>
        <v>#N/A</v>
      </c>
      <c r="D283" s="141" t="e">
        <f>VLOOKUP(R283,Data!$B:$E,4,FALSE)</f>
        <v>#N/A</v>
      </c>
      <c r="E283" s="141" t="e">
        <f>VLOOKUP(S283,Data!$B:$E,4,FALSE)</f>
        <v>#N/A</v>
      </c>
      <c r="F283" s="141" t="e">
        <f>VLOOKUP(T283,Data!$B:$E,4,FALSE)</f>
        <v>#N/A</v>
      </c>
      <c r="G283" s="113"/>
      <c r="H283" s="113"/>
      <c r="I283" s="113"/>
      <c r="O283" s="48" t="s">
        <v>1199</v>
      </c>
      <c r="P283" s="40" t="s">
        <v>1198</v>
      </c>
      <c r="Q283" s="57" t="s">
        <v>1200</v>
      </c>
      <c r="R283" s="57" t="s">
        <v>1201</v>
      </c>
      <c r="S283" s="57" t="s">
        <v>1202</v>
      </c>
      <c r="T283" s="57" t="s">
        <v>1203</v>
      </c>
      <c r="U283" s="84"/>
      <c r="V283" s="84"/>
      <c r="W283" s="84"/>
    </row>
    <row r="284">
      <c r="A284" s="152" t="str">
        <f>Translation!A291</f>
        <v>OUTRAS RECEITAS OPERACIONAIS</v>
      </c>
      <c r="B284" s="144" t="str">
        <f>Translation!$G$32</f>
        <v>CONTA</v>
      </c>
      <c r="C284" s="121" t="str">
        <f>Translation!$G$1</f>
        <v>VALOR</v>
      </c>
      <c r="D284" s="119"/>
      <c r="E284" s="119"/>
      <c r="F284" s="119"/>
      <c r="G284" s="117"/>
      <c r="H284" s="109"/>
      <c r="I284" s="109"/>
      <c r="O284" s="27" t="s">
        <v>671</v>
      </c>
      <c r="P284" s="40" t="str">
        <f>Translation!$G$32</f>
        <v>CONTA</v>
      </c>
      <c r="Q284" s="79" t="str">
        <f>Translation!$G$1</f>
        <v>VALOR</v>
      </c>
      <c r="R284" s="93"/>
      <c r="S284" s="93"/>
      <c r="T284" s="93"/>
      <c r="U284" s="87"/>
      <c r="V284" s="80"/>
      <c r="W284" s="80"/>
    </row>
    <row r="285">
      <c r="A285" s="148" t="str">
        <f>Translation!A292</f>
        <v>INCENTIVOS DE VAREJO</v>
      </c>
      <c r="B285" s="144" t="s">
        <v>1204</v>
      </c>
      <c r="C285" s="140" t="e">
        <f>VLOOKUP(Q285,Data!$B:$E,4,FALSE)</f>
        <v>#N/A</v>
      </c>
      <c r="D285" s="113"/>
      <c r="E285" s="113"/>
      <c r="F285" s="113"/>
      <c r="G285" s="113"/>
      <c r="H285" s="113"/>
      <c r="I285" s="113"/>
      <c r="O285" s="29" t="s">
        <v>673</v>
      </c>
      <c r="P285" s="40" t="s">
        <v>1204</v>
      </c>
      <c r="Q285" s="84" t="s">
        <v>1205</v>
      </c>
      <c r="R285" s="84"/>
      <c r="S285" s="84"/>
      <c r="T285" s="84"/>
      <c r="U285" s="84"/>
      <c r="V285" s="84"/>
      <c r="W285" s="84"/>
    </row>
    <row r="286">
      <c r="A286" s="148" t="str">
        <f>Translation!A293</f>
        <v>BONIFICAÇÕES 1</v>
      </c>
      <c r="B286" s="144" t="s">
        <v>1206</v>
      </c>
      <c r="C286" s="140" t="e">
        <f>VLOOKUP(Q286,Data!$B:$E,4,FALSE)</f>
        <v>#N/A</v>
      </c>
      <c r="D286" s="113"/>
      <c r="E286" s="113"/>
      <c r="F286" s="113"/>
      <c r="G286" s="113"/>
      <c r="H286" s="113"/>
      <c r="I286" s="113"/>
      <c r="O286" s="29" t="s">
        <v>676</v>
      </c>
      <c r="P286" s="40" t="s">
        <v>1206</v>
      </c>
      <c r="Q286" s="84" t="s">
        <v>1207</v>
      </c>
      <c r="R286" s="84"/>
      <c r="S286" s="84"/>
      <c r="T286" s="84"/>
      <c r="U286" s="84"/>
      <c r="V286" s="84"/>
      <c r="W286" s="84"/>
    </row>
    <row r="287">
      <c r="A287" s="148" t="str">
        <f>Translation!A294</f>
        <v>BONIFICAÇÕES 2</v>
      </c>
      <c r="B287" s="144" t="s">
        <v>1208</v>
      </c>
      <c r="C287" s="140" t="e">
        <f>VLOOKUP(Q287,Data!$B:$E,4,FALSE)</f>
        <v>#N/A</v>
      </c>
      <c r="D287" s="113"/>
      <c r="E287" s="113"/>
      <c r="F287" s="113"/>
      <c r="G287" s="113"/>
      <c r="H287" s="113"/>
      <c r="I287" s="113"/>
      <c r="O287" s="29" t="s">
        <v>679</v>
      </c>
      <c r="P287" s="40" t="s">
        <v>1208</v>
      </c>
      <c r="Q287" s="84" t="s">
        <v>1209</v>
      </c>
      <c r="R287" s="84"/>
      <c r="S287" s="84"/>
      <c r="T287" s="84"/>
      <c r="U287" s="84"/>
      <c r="V287" s="84"/>
      <c r="W287" s="84"/>
    </row>
    <row r="288">
      <c r="A288" s="148" t="str">
        <f>Translation!A295</f>
        <v>COMISSÕES DIVERSAS</v>
      </c>
      <c r="B288" s="144" t="s">
        <v>1210</v>
      </c>
      <c r="C288" s="140" t="e">
        <f>VLOOKUP(Q288,Data!$B:$E,4,FALSE)</f>
        <v>#N/A</v>
      </c>
      <c r="D288" s="113"/>
      <c r="E288" s="113"/>
      <c r="F288" s="113"/>
      <c r="G288" s="113"/>
      <c r="H288" s="113"/>
      <c r="I288" s="113"/>
      <c r="O288" s="29" t="s">
        <v>682</v>
      </c>
      <c r="P288" s="40" t="s">
        <v>1210</v>
      </c>
      <c r="Q288" s="84" t="s">
        <v>1211</v>
      </c>
      <c r="R288" s="84"/>
      <c r="S288" s="84"/>
      <c r="T288" s="84"/>
      <c r="U288" s="84"/>
      <c r="V288" s="84"/>
      <c r="W288" s="84"/>
    </row>
    <row r="289">
      <c r="A289" s="148" t="str">
        <f>Translation!A296</f>
        <v>OUTRAS RECEITAS</v>
      </c>
      <c r="B289" s="144" t="s">
        <v>1212</v>
      </c>
      <c r="C289" s="140" t="e">
        <f>VLOOKUP(Q289,Data!$B:$E,4,FALSE)</f>
        <v>#N/A</v>
      </c>
      <c r="D289" s="113"/>
      <c r="E289" s="113"/>
      <c r="F289" s="113"/>
      <c r="G289" s="113"/>
      <c r="H289" s="113"/>
      <c r="I289" s="113"/>
      <c r="O289" s="29" t="s">
        <v>685</v>
      </c>
      <c r="P289" s="40" t="s">
        <v>1212</v>
      </c>
      <c r="Q289" s="84" t="s">
        <v>1213</v>
      </c>
      <c r="R289" s="84"/>
      <c r="S289" s="84"/>
      <c r="T289" s="84"/>
      <c r="U289" s="84"/>
      <c r="V289" s="84"/>
      <c r="W289" s="84"/>
    </row>
    <row r="290">
      <c r="A290" s="151" t="str">
        <f>Translation!A297</f>
        <v>TOTAL DE OUTRAS RECEITAS OPERACIONAIS</v>
      </c>
      <c r="B290" s="144" t="s">
        <v>1214</v>
      </c>
      <c r="C290" s="141" t="e">
        <f>VLOOKUP(Q290,Data!$B:$E,4,FALSE)</f>
        <v>#N/A</v>
      </c>
      <c r="D290" s="113"/>
      <c r="E290" s="113"/>
      <c r="F290" s="113"/>
      <c r="G290" s="113"/>
      <c r="H290" s="113"/>
      <c r="I290" s="113"/>
      <c r="O290" s="48" t="s">
        <v>688</v>
      </c>
      <c r="P290" s="40" t="s">
        <v>1214</v>
      </c>
      <c r="Q290" s="57" t="s">
        <v>1215</v>
      </c>
      <c r="R290" s="84"/>
      <c r="S290" s="84"/>
      <c r="T290" s="84"/>
      <c r="U290" s="84"/>
      <c r="V290" s="84"/>
      <c r="W290" s="84"/>
    </row>
    <row r="291">
      <c r="A291" s="152" t="str">
        <f>Translation!A298</f>
        <v>DESPESAS VARIÁVEIS</v>
      </c>
      <c r="B291" s="144" t="str">
        <f>Translation!$G$32</f>
        <v>CONTA</v>
      </c>
      <c r="C291" s="121" t="str">
        <f>Translation!$G$1</f>
        <v>VALOR</v>
      </c>
      <c r="D291" s="113"/>
      <c r="E291" s="113"/>
      <c r="F291" s="113"/>
      <c r="G291" s="113"/>
      <c r="H291" s="113"/>
      <c r="I291" s="113"/>
      <c r="O291" s="27" t="s">
        <v>690</v>
      </c>
      <c r="P291" s="40" t="str">
        <f>Translation!$G$32</f>
        <v>CONTA</v>
      </c>
      <c r="Q291" s="79" t="str">
        <f>Translation!$G$1</f>
        <v>VALOR</v>
      </c>
      <c r="R291" s="84"/>
      <c r="S291" s="84"/>
      <c r="T291" s="84"/>
      <c r="U291" s="84"/>
      <c r="V291" s="84"/>
      <c r="W291" s="84"/>
    </row>
    <row r="292">
      <c r="A292" s="148" t="str">
        <f>Translation!A299</f>
        <v>COMISSÕES SOBRE SERVIÇOS</v>
      </c>
      <c r="B292" s="144" t="s">
        <v>1216</v>
      </c>
      <c r="C292" s="140" t="e">
        <f>VLOOKUP(Q292,Data!$B:$E,4,FALSE)</f>
        <v>#N/A</v>
      </c>
      <c r="D292" s="113"/>
      <c r="E292" s="113"/>
      <c r="F292" s="113"/>
      <c r="G292" s="113"/>
      <c r="H292" s="113"/>
      <c r="I292" s="113"/>
      <c r="O292" s="29" t="s">
        <v>1217</v>
      </c>
      <c r="P292" s="40" t="s">
        <v>1216</v>
      </c>
      <c r="Q292" s="84" t="s">
        <v>1218</v>
      </c>
      <c r="R292" s="84"/>
      <c r="S292" s="84"/>
      <c r="T292" s="84"/>
      <c r="U292" s="84"/>
      <c r="V292" s="84"/>
      <c r="W292" s="84"/>
    </row>
    <row r="293">
      <c r="A293" s="148" t="str">
        <f>Translation!A300</f>
        <v>ENCARGOS SOBRE COMISSÕES (-)</v>
      </c>
      <c r="B293" s="144" t="s">
        <v>1219</v>
      </c>
      <c r="C293" s="140" t="e">
        <f>VLOOKUP(Q293,Data!$B:$E,4,FALSE)</f>
        <v>#N/A</v>
      </c>
      <c r="D293" s="113"/>
      <c r="E293" s="113"/>
      <c r="F293" s="113"/>
      <c r="G293" s="113"/>
      <c r="H293" s="113"/>
      <c r="I293" s="113"/>
      <c r="O293" s="29" t="s">
        <v>695</v>
      </c>
      <c r="P293" s="40" t="s">
        <v>1219</v>
      </c>
      <c r="Q293" s="84" t="s">
        <v>1220</v>
      </c>
      <c r="R293" s="84"/>
      <c r="S293" s="84"/>
      <c r="T293" s="84"/>
      <c r="U293" s="84"/>
      <c r="V293" s="84"/>
      <c r="W293" s="84"/>
    </row>
    <row r="294">
      <c r="A294" s="148" t="str">
        <f>Translation!A301</f>
        <v>OUTRAS DESPESAS</v>
      </c>
      <c r="B294" s="144" t="s">
        <v>1221</v>
      </c>
      <c r="C294" s="140" t="e">
        <f>VLOOKUP(Q294,Data!$B:$E,4,FALSE)</f>
        <v>#N/A</v>
      </c>
      <c r="D294" s="113"/>
      <c r="E294" s="113"/>
      <c r="F294" s="113"/>
      <c r="G294" s="113"/>
      <c r="H294" s="113"/>
      <c r="I294" s="113"/>
      <c r="O294" s="29" t="s">
        <v>698</v>
      </c>
      <c r="P294" s="40" t="s">
        <v>1221</v>
      </c>
      <c r="Q294" s="84" t="s">
        <v>1222</v>
      </c>
      <c r="R294" s="84"/>
      <c r="S294" s="84"/>
      <c r="T294" s="84"/>
      <c r="U294" s="84"/>
      <c r="V294" s="84"/>
      <c r="W294" s="84"/>
    </row>
    <row r="295">
      <c r="A295" s="151" t="str">
        <f>Translation!A302</f>
        <v>TOTAL DE DESPESAS VARIÁVEIS</v>
      </c>
      <c r="B295" s="144" t="s">
        <v>1223</v>
      </c>
      <c r="C295" s="141" t="e">
        <f>VLOOKUP(Q295,Data!$B:$E,4,FALSE)</f>
        <v>#N/A</v>
      </c>
      <c r="D295" s="113"/>
      <c r="E295" s="113"/>
      <c r="F295" s="113"/>
      <c r="G295" s="113"/>
      <c r="H295" s="113"/>
      <c r="I295" s="113"/>
      <c r="O295" s="48" t="s">
        <v>701</v>
      </c>
      <c r="P295" s="40" t="s">
        <v>1223</v>
      </c>
      <c r="Q295" s="57" t="s">
        <v>1224</v>
      </c>
      <c r="R295" s="84"/>
      <c r="S295" s="84"/>
      <c r="T295" s="84"/>
      <c r="U295" s="84"/>
      <c r="V295" s="84"/>
      <c r="W295" s="84"/>
    </row>
    <row r="296">
      <c r="A296" s="154" t="str">
        <f>Translation!A303</f>
        <v>MARGEM DE CONTRIBUIÇÃO</v>
      </c>
      <c r="B296" s="144" t="str">
        <f>Translation!$G$32</f>
        <v>CONTA</v>
      </c>
      <c r="C296" s="121" t="str">
        <f>Translation!$G$1</f>
        <v>VALOR</v>
      </c>
      <c r="D296" s="113"/>
      <c r="E296" s="113"/>
      <c r="F296" s="113"/>
      <c r="G296" s="113"/>
      <c r="H296" s="113"/>
      <c r="I296" s="113"/>
      <c r="O296" s="49" t="s">
        <v>703</v>
      </c>
      <c r="P296" s="40" t="str">
        <f>Translation!$G$32</f>
        <v>CONTA</v>
      </c>
      <c r="Q296" s="79" t="str">
        <f>Translation!$G$1</f>
        <v>VALOR</v>
      </c>
      <c r="R296" s="84"/>
      <c r="S296" s="84"/>
      <c r="T296" s="84"/>
      <c r="U296" s="84"/>
      <c r="V296" s="84"/>
      <c r="W296" s="84"/>
    </row>
    <row r="297">
      <c r="A297" s="151" t="str">
        <f>Translation!A304</f>
        <v>MARGEM DE CONTRIBUIÇÃO</v>
      </c>
      <c r="B297" s="144" t="s">
        <v>1225</v>
      </c>
      <c r="C297" s="141" t="e">
        <f>VLOOKUP(Q297,Data!$B:$E,4,FALSE)</f>
        <v>#N/A</v>
      </c>
      <c r="D297" s="113"/>
      <c r="E297" s="113"/>
      <c r="F297" s="113"/>
      <c r="G297" s="113"/>
      <c r="H297" s="113"/>
      <c r="I297" s="113"/>
      <c r="O297" s="48" t="s">
        <v>703</v>
      </c>
      <c r="P297" s="40" t="s">
        <v>1225</v>
      </c>
      <c r="Q297" s="57" t="s">
        <v>1226</v>
      </c>
      <c r="R297" s="84"/>
      <c r="S297" s="84"/>
      <c r="T297" s="84"/>
      <c r="U297" s="84"/>
      <c r="V297" s="84"/>
      <c r="W297" s="84"/>
    </row>
    <row r="298">
      <c r="A298" s="152" t="str">
        <f>Translation!A305</f>
        <v>DESPESAS</v>
      </c>
      <c r="B298" s="144" t="str">
        <f>Translation!$G$32</f>
        <v>CONTA</v>
      </c>
      <c r="C298" s="121" t="str">
        <f>Translation!$G$1</f>
        <v>VALOR</v>
      </c>
      <c r="D298" s="113"/>
      <c r="E298" s="113"/>
      <c r="F298" s="113"/>
      <c r="G298" s="113"/>
      <c r="H298" s="113"/>
      <c r="I298" s="113"/>
      <c r="O298" s="27" t="s">
        <v>706</v>
      </c>
      <c r="P298" s="40" t="str">
        <f>Translation!$G$32</f>
        <v>CONTA</v>
      </c>
      <c r="Q298" s="79" t="str">
        <f>Translation!$G$1</f>
        <v>VALOR</v>
      </c>
      <c r="R298" s="84"/>
      <c r="S298" s="84"/>
      <c r="T298" s="84"/>
      <c r="U298" s="84"/>
      <c r="V298" s="84"/>
      <c r="W298" s="84"/>
    </row>
    <row r="299">
      <c r="A299" s="151" t="str">
        <f>Translation!A306</f>
        <v>TOTAL DE DESPESAS COM PESSOAL (A)</v>
      </c>
      <c r="B299" s="144" t="s">
        <v>1227</v>
      </c>
      <c r="C299" s="141" t="e">
        <f>VLOOKUP(Q299,Data!$B:$E,4,FALSE)</f>
        <v>#N/A</v>
      </c>
      <c r="D299" s="113"/>
      <c r="E299" s="113"/>
      <c r="F299" s="113"/>
      <c r="G299" s="113"/>
      <c r="H299" s="113"/>
      <c r="I299" s="113"/>
      <c r="O299" s="48" t="s">
        <v>708</v>
      </c>
      <c r="P299" s="40" t="s">
        <v>1227</v>
      </c>
      <c r="Q299" s="57" t="s">
        <v>1228</v>
      </c>
      <c r="R299" s="84"/>
      <c r="S299" s="84"/>
      <c r="T299" s="84"/>
      <c r="U299" s="84"/>
      <c r="V299" s="84"/>
      <c r="W299" s="84"/>
    </row>
    <row r="300">
      <c r="A300" s="151" t="str">
        <f>Translation!A307</f>
        <v>TOTAL DE DESPESAS COM ESTRUTURA - IMÓVEIS (B)</v>
      </c>
      <c r="B300" s="144" t="s">
        <v>1229</v>
      </c>
      <c r="C300" s="141" t="e">
        <f>VLOOKUP(Q300,Data!$B:$E,4,FALSE)</f>
        <v>#N/A</v>
      </c>
      <c r="D300" s="113"/>
      <c r="E300" s="113"/>
      <c r="F300" s="113"/>
      <c r="G300" s="113"/>
      <c r="H300" s="113"/>
      <c r="I300" s="113"/>
      <c r="O300" s="48" t="s">
        <v>711</v>
      </c>
      <c r="P300" s="40" t="s">
        <v>1229</v>
      </c>
      <c r="Q300" s="57" t="s">
        <v>1230</v>
      </c>
      <c r="R300" s="84"/>
      <c r="S300" s="84"/>
      <c r="T300" s="84"/>
      <c r="U300" s="84"/>
      <c r="V300" s="84"/>
      <c r="W300" s="84"/>
    </row>
    <row r="301">
      <c r="A301" s="151" t="str">
        <f>Translation!A308</f>
        <v>TOTAL DE DESPESAS GERAIS (C)</v>
      </c>
      <c r="B301" s="144" t="s">
        <v>1231</v>
      </c>
      <c r="C301" s="141" t="e">
        <f>VLOOKUP(Q301,Data!$B:$E,4,FALSE)</f>
        <v>#N/A</v>
      </c>
      <c r="D301" s="113"/>
      <c r="E301" s="113"/>
      <c r="F301" s="113"/>
      <c r="G301" s="113"/>
      <c r="H301" s="113"/>
      <c r="I301" s="113"/>
      <c r="O301" s="48" t="s">
        <v>714</v>
      </c>
      <c r="P301" s="40" t="s">
        <v>1231</v>
      </c>
      <c r="Q301" s="57" t="s">
        <v>1232</v>
      </c>
      <c r="R301" s="84"/>
      <c r="S301" s="84"/>
      <c r="T301" s="84"/>
      <c r="U301" s="84"/>
      <c r="V301" s="84"/>
      <c r="W301" s="84"/>
    </row>
    <row r="302">
      <c r="A302" s="151" t="str">
        <f>Translation!A309</f>
        <v>TOTAL DE DESPESAS FIXAS (A+B+C)</v>
      </c>
      <c r="B302" s="144" t="s">
        <v>1233</v>
      </c>
      <c r="C302" s="141" t="e">
        <f>VLOOKUP(Q302,Data!$B:$E,4,FALSE)</f>
        <v>#N/A</v>
      </c>
      <c r="D302" s="113"/>
      <c r="E302" s="113"/>
      <c r="F302" s="113"/>
      <c r="G302" s="113"/>
      <c r="H302" s="113"/>
      <c r="I302" s="113"/>
      <c r="O302" s="48" t="s">
        <v>717</v>
      </c>
      <c r="P302" s="40" t="s">
        <v>1233</v>
      </c>
      <c r="Q302" s="57" t="s">
        <v>1234</v>
      </c>
      <c r="R302" s="84"/>
      <c r="S302" s="84"/>
      <c r="T302" s="84"/>
      <c r="U302" s="84"/>
      <c r="V302" s="84"/>
      <c r="W302" s="84"/>
    </row>
    <row r="303">
      <c r="A303" s="153" t="str">
        <f>Translation!A310</f>
        <v>LUCRO / PREJUÍZO OPERACIONAL</v>
      </c>
      <c r="B303" s="144" t="str">
        <f>Translation!$G$32</f>
        <v>CONTA</v>
      </c>
      <c r="C303" s="121" t="str">
        <f>Translation!$G$1</f>
        <v>VALOR</v>
      </c>
      <c r="D303" s="113"/>
      <c r="E303" s="113"/>
      <c r="F303" s="113"/>
      <c r="G303" s="113"/>
      <c r="H303" s="113"/>
      <c r="I303" s="113"/>
      <c r="O303" s="28" t="s">
        <v>719</v>
      </c>
      <c r="P303" s="40" t="str">
        <f>Translation!$G$32</f>
        <v>CONTA</v>
      </c>
      <c r="Q303" s="79" t="str">
        <f>Translation!$G$1</f>
        <v>VALOR</v>
      </c>
      <c r="R303" s="84"/>
      <c r="S303" s="84"/>
      <c r="T303" s="84"/>
      <c r="U303" s="84"/>
      <c r="V303" s="84"/>
      <c r="W303" s="84"/>
    </row>
    <row r="304">
      <c r="A304" s="151" t="str">
        <f>Translation!A311</f>
        <v>LUCRO / PREJUÍZO OPERACIONAL</v>
      </c>
      <c r="B304" s="144" t="s">
        <v>1235</v>
      </c>
      <c r="C304" s="141" t="e">
        <f>VLOOKUP(Q304,Data!$B:$E,4,FALSE)</f>
        <v>#N/A</v>
      </c>
      <c r="D304" s="113"/>
      <c r="E304" s="113"/>
      <c r="F304" s="113"/>
      <c r="G304" s="113"/>
      <c r="H304" s="113"/>
      <c r="I304" s="113"/>
      <c r="O304" s="48" t="s">
        <v>719</v>
      </c>
      <c r="P304" s="40" t="s">
        <v>1235</v>
      </c>
      <c r="Q304" s="57" t="s">
        <v>1236</v>
      </c>
      <c r="R304" s="84"/>
      <c r="S304" s="84"/>
      <c r="T304" s="84"/>
      <c r="U304" s="84"/>
      <c r="V304" s="84"/>
      <c r="W304" s="84"/>
    </row>
    <row r="305">
      <c r="A305" s="153" t="str">
        <f>Translation!A312</f>
        <v>DESPESAS / RECEITAS NÃO-OPERACIONAIS E FINANCEIRAS </v>
      </c>
      <c r="B305" s="144" t="str">
        <f>Translation!$G$32</f>
        <v>CONTA</v>
      </c>
      <c r="C305" s="121" t="str">
        <f>Translation!$G$1</f>
        <v>VALOR</v>
      </c>
      <c r="D305" s="113"/>
      <c r="E305" s="113"/>
      <c r="F305" s="113"/>
      <c r="G305" s="113"/>
      <c r="H305" s="113"/>
      <c r="I305" s="113"/>
      <c r="O305" s="28" t="s">
        <v>722</v>
      </c>
      <c r="P305" s="40" t="str">
        <f>Translation!$G$32</f>
        <v>CONTA</v>
      </c>
      <c r="Q305" s="79" t="str">
        <f>Translation!$G$1</f>
        <v>VALOR</v>
      </c>
      <c r="R305" s="84"/>
      <c r="S305" s="84"/>
      <c r="T305" s="84"/>
      <c r="U305" s="84"/>
      <c r="V305" s="84"/>
      <c r="W305" s="84"/>
    </row>
    <row r="306">
      <c r="A306" s="151" t="str">
        <f>Translation!A313</f>
        <v>TOTAL DE DESPESAS NÃO-OPERACIONAIS</v>
      </c>
      <c r="B306" s="144" t="s">
        <v>1237</v>
      </c>
      <c r="C306" s="141" t="e">
        <f>VLOOKUP(Q306,Data!$B:$E,4,FALSE)</f>
        <v>#N/A</v>
      </c>
      <c r="D306" s="113"/>
      <c r="E306" s="113"/>
      <c r="F306" s="113"/>
      <c r="G306" s="113"/>
      <c r="H306" s="113"/>
      <c r="I306" s="113"/>
      <c r="O306" s="48" t="s">
        <v>724</v>
      </c>
      <c r="P306" s="40" t="s">
        <v>1237</v>
      </c>
      <c r="Q306" s="57" t="s">
        <v>1238</v>
      </c>
      <c r="R306" s="84"/>
      <c r="S306" s="84"/>
      <c r="T306" s="84"/>
      <c r="U306" s="84"/>
      <c r="V306" s="84"/>
      <c r="W306" s="84"/>
    </row>
    <row r="307">
      <c r="A307" s="151" t="str">
        <f>Translation!A314</f>
        <v>TOTAL DE DESPESAS FINANCEIRAS</v>
      </c>
      <c r="B307" s="144" t="s">
        <v>1239</v>
      </c>
      <c r="C307" s="141" t="e">
        <f>VLOOKUP(Q307,Data!$B:$E,4,FALSE)</f>
        <v>#N/A</v>
      </c>
      <c r="D307" s="113"/>
      <c r="E307" s="113"/>
      <c r="F307" s="113"/>
      <c r="G307" s="113"/>
      <c r="H307" s="113"/>
      <c r="I307" s="113"/>
      <c r="O307" s="48" t="s">
        <v>727</v>
      </c>
      <c r="P307" s="40" t="s">
        <v>1239</v>
      </c>
      <c r="Q307" s="57" t="s">
        <v>1240</v>
      </c>
      <c r="R307" s="84"/>
      <c r="S307" s="84"/>
      <c r="T307" s="84"/>
      <c r="U307" s="84"/>
      <c r="V307" s="84"/>
      <c r="W307" s="84"/>
    </row>
    <row r="308">
      <c r="A308" s="151" t="str">
        <f>Translation!A315</f>
        <v>TOTAL DE RECEITAS NÃO-OPERACIONAIS</v>
      </c>
      <c r="B308" s="144" t="s">
        <v>1241</v>
      </c>
      <c r="C308" s="141" t="e">
        <f>VLOOKUP(Q308,Data!$B:$E,4,FALSE)</f>
        <v>#N/A</v>
      </c>
      <c r="D308" s="113"/>
      <c r="E308" s="113"/>
      <c r="F308" s="113"/>
      <c r="G308" s="113"/>
      <c r="H308" s="113"/>
      <c r="I308" s="113"/>
      <c r="O308" s="48" t="s">
        <v>730</v>
      </c>
      <c r="P308" s="40" t="s">
        <v>1241</v>
      </c>
      <c r="Q308" s="57" t="s">
        <v>1242</v>
      </c>
      <c r="R308" s="84"/>
      <c r="S308" s="84"/>
      <c r="T308" s="84"/>
      <c r="U308" s="84"/>
      <c r="V308" s="84"/>
      <c r="W308" s="84"/>
    </row>
    <row r="309">
      <c r="A309" s="151" t="str">
        <f>Translation!A316</f>
        <v>TOTAL DE RECEITAS FINANCEIRAS</v>
      </c>
      <c r="B309" s="144" t="s">
        <v>1243</v>
      </c>
      <c r="C309" s="141" t="e">
        <f>VLOOKUP(Q309,Data!$B:$E,4,FALSE)</f>
        <v>#N/A</v>
      </c>
      <c r="D309" s="113"/>
      <c r="E309" s="113"/>
      <c r="F309" s="113"/>
      <c r="G309" s="113"/>
      <c r="H309" s="113"/>
      <c r="I309" s="113"/>
      <c r="O309" s="48" t="s">
        <v>733</v>
      </c>
      <c r="P309" s="40" t="s">
        <v>1243</v>
      </c>
      <c r="Q309" s="57" t="s">
        <v>1244</v>
      </c>
      <c r="R309" s="84"/>
      <c r="S309" s="84"/>
      <c r="T309" s="84"/>
      <c r="U309" s="84"/>
      <c r="V309" s="84"/>
      <c r="W309" s="84"/>
    </row>
    <row r="310">
      <c r="A310" s="153" t="str">
        <f>Translation!A317</f>
        <v>RESULTADO DEPARTAMENTAL</v>
      </c>
      <c r="B310" s="144" t="str">
        <f>Translation!$G$32</f>
        <v>CONTA</v>
      </c>
      <c r="C310" s="121" t="str">
        <f>Translation!$G$1</f>
        <v>VALOR</v>
      </c>
      <c r="D310" s="113"/>
      <c r="E310" s="113"/>
      <c r="F310" s="113"/>
      <c r="G310" s="113"/>
      <c r="H310" s="113"/>
      <c r="I310" s="113"/>
      <c r="O310" s="28" t="s">
        <v>748</v>
      </c>
      <c r="P310" s="40" t="str">
        <f>Translation!$G$32</f>
        <v>CONTA</v>
      </c>
      <c r="Q310" s="79" t="str">
        <f>Translation!$G$1</f>
        <v>VALOR</v>
      </c>
      <c r="R310" s="84"/>
      <c r="S310" s="84"/>
      <c r="T310" s="84"/>
      <c r="U310" s="84"/>
      <c r="V310" s="84"/>
      <c r="W310" s="84"/>
    </row>
    <row r="311">
      <c r="A311" s="151" t="str">
        <f>Translation!A318</f>
        <v>RESULTADO DO DEPARTAMENTO DE SERVIÇO</v>
      </c>
      <c r="B311" s="144" t="s">
        <v>1245</v>
      </c>
      <c r="C311" s="141" t="e">
        <f>VLOOKUP(Q311,Data!$B:$E,4,FALSE)</f>
        <v>#N/A</v>
      </c>
      <c r="D311" s="113"/>
      <c r="E311" s="113"/>
      <c r="F311" s="113"/>
      <c r="G311" s="113"/>
      <c r="H311" s="113"/>
      <c r="I311" s="113"/>
      <c r="O311" s="48" t="s">
        <v>1246</v>
      </c>
      <c r="P311" s="40" t="s">
        <v>1245</v>
      </c>
      <c r="Q311" s="57" t="s">
        <v>1247</v>
      </c>
      <c r="R311" s="84"/>
      <c r="S311" s="84"/>
      <c r="T311" s="84"/>
      <c r="U311" s="84"/>
      <c r="V311" s="84"/>
      <c r="W311" s="84"/>
    </row>
    <row r="312">
      <c r="A312" s="71" t="str">
        <f>Translation!A5</f>
        <v>F &amp; I</v>
      </c>
      <c r="B312" s="82"/>
      <c r="C312" s="102"/>
      <c r="D312" s="102"/>
      <c r="E312" s="102"/>
      <c r="F312" s="102"/>
      <c r="G312" s="103"/>
      <c r="H312" s="104"/>
      <c r="I312" s="104"/>
      <c r="O312" s="71" t="s">
        <v>1248</v>
      </c>
      <c r="P312" s="82"/>
      <c r="Q312" s="89"/>
      <c r="R312" s="89"/>
      <c r="S312" s="89"/>
      <c r="T312" s="89"/>
      <c r="U312" s="90"/>
      <c r="V312" s="91"/>
      <c r="W312" s="91"/>
    </row>
    <row r="313">
      <c r="A313" s="152" t="str">
        <f>Translation!A320</f>
        <v>VENDAS</v>
      </c>
      <c r="B313" s="144" t="str">
        <f>Translation!$G$32</f>
        <v>CONTA</v>
      </c>
      <c r="C313" s="120" t="str">
        <f>Translation!$G$1</f>
        <v>VALOR</v>
      </c>
      <c r="D313" s="114"/>
      <c r="E313" s="113"/>
      <c r="F313" s="113"/>
      <c r="G313" s="114"/>
      <c r="H313" s="114"/>
      <c r="I313" s="114"/>
      <c r="O313" s="27" t="s">
        <v>1249</v>
      </c>
      <c r="P313" s="40" t="str">
        <f>Translation!$G$32</f>
        <v>CONTA</v>
      </c>
      <c r="Q313" s="60" t="str">
        <f>Translation!$G$1</f>
        <v>VALOR</v>
      </c>
      <c r="R313" s="83"/>
      <c r="S313" s="84"/>
      <c r="T313" s="84"/>
      <c r="U313" s="83"/>
      <c r="V313" s="83"/>
      <c r="W313" s="83"/>
    </row>
    <row r="314">
      <c r="A314" s="148" t="str">
        <f>Translation!A321</f>
        <v>COMISSÃO SOBRE VENDA DE COTAS DE CONSÓRCIO</v>
      </c>
      <c r="B314" s="144" t="s">
        <v>1250</v>
      </c>
      <c r="C314" s="140" t="e">
        <f>VLOOKUP(Q314,Data!$B:$E,4,FALSE)</f>
        <v>#N/A</v>
      </c>
      <c r="D314" s="109"/>
      <c r="E314" s="109"/>
      <c r="F314" s="109"/>
      <c r="G314" s="109"/>
      <c r="H314" s="109"/>
      <c r="I314" s="109"/>
      <c r="O314" s="29" t="s">
        <v>1251</v>
      </c>
      <c r="P314" s="40" t="s">
        <v>1250</v>
      </c>
      <c r="Q314" s="84" t="s">
        <v>1252</v>
      </c>
      <c r="R314" s="92"/>
      <c r="S314" s="92"/>
      <c r="T314" s="92"/>
      <c r="U314" s="92"/>
      <c r="V314" s="92"/>
      <c r="W314" s="92"/>
    </row>
    <row r="315">
      <c r="A315" s="148" t="str">
        <f>Translation!A322</f>
        <v>COMISSÃO SOBRE VENDAS DE SEGUROS</v>
      </c>
      <c r="B315" s="144" t="s">
        <v>1253</v>
      </c>
      <c r="C315" s="140" t="e">
        <f>VLOOKUP(Q315,Data!$B:$E,4,FALSE)</f>
        <v>#N/A</v>
      </c>
      <c r="D315" s="109"/>
      <c r="E315" s="109"/>
      <c r="F315" s="109"/>
      <c r="G315" s="109"/>
      <c r="H315" s="109"/>
      <c r="I315" s="109"/>
      <c r="O315" s="29" t="s">
        <v>1254</v>
      </c>
      <c r="P315" s="40" t="s">
        <v>1253</v>
      </c>
      <c r="Q315" s="84" t="s">
        <v>1255</v>
      </c>
      <c r="R315" s="92"/>
      <c r="S315" s="92"/>
      <c r="T315" s="92"/>
      <c r="U315" s="92"/>
      <c r="V315" s="92"/>
      <c r="W315" s="92"/>
    </row>
    <row r="316">
      <c r="A316" s="148" t="str">
        <f>Translation!A323</f>
        <v>COMISSÃO S/ SEGURO DE PROTEÇÃO FINANC. - FINANCIAMENTOS</v>
      </c>
      <c r="B316" s="144" t="s">
        <v>1256</v>
      </c>
      <c r="C316" s="140" t="e">
        <f>VLOOKUP(Q316,Data!$B:$E,4,FALSE)</f>
        <v>#N/A</v>
      </c>
      <c r="D316" s="109"/>
      <c r="E316" s="109"/>
      <c r="F316" s="109"/>
      <c r="G316" s="109"/>
      <c r="H316" s="109"/>
      <c r="I316" s="109"/>
      <c r="O316" s="29" t="s">
        <v>1257</v>
      </c>
      <c r="P316" s="40" t="s">
        <v>1256</v>
      </c>
      <c r="Q316" s="84" t="s">
        <v>1258</v>
      </c>
      <c r="R316" s="92"/>
      <c r="S316" s="92"/>
      <c r="T316" s="92"/>
      <c r="U316" s="92"/>
      <c r="V316" s="92"/>
      <c r="W316" s="92"/>
    </row>
    <row r="317">
      <c r="A317" s="148" t="str">
        <f>Translation!A324</f>
        <v>DESPACHANTE</v>
      </c>
      <c r="B317" s="144" t="s">
        <v>1259</v>
      </c>
      <c r="C317" s="140" t="e">
        <f>VLOOKUP(Q317,Data!$B:$E,4,FALSE)</f>
        <v>#N/A</v>
      </c>
      <c r="D317" s="109"/>
      <c r="E317" s="109"/>
      <c r="F317" s="109"/>
      <c r="G317" s="109"/>
      <c r="H317" s="109"/>
      <c r="I317" s="109"/>
      <c r="O317" s="29" t="s">
        <v>1260</v>
      </c>
      <c r="P317" s="40" t="s">
        <v>1259</v>
      </c>
      <c r="Q317" s="84" t="s">
        <v>1261</v>
      </c>
      <c r="R317" s="92"/>
      <c r="S317" s="92"/>
      <c r="T317" s="92"/>
      <c r="U317" s="92"/>
      <c r="V317" s="92"/>
      <c r="W317" s="92"/>
    </row>
    <row r="318">
      <c r="A318" s="148" t="str">
        <f>Translation!A325</f>
        <v>COMISSÃO SOBRE FINANCIAMENTOS</v>
      </c>
      <c r="B318" s="144" t="s">
        <v>1262</v>
      </c>
      <c r="C318" s="140" t="e">
        <f>VLOOKUP(Q318,Data!$B:$E,4,FALSE)</f>
        <v>#N/A</v>
      </c>
      <c r="D318" s="109"/>
      <c r="E318" s="109"/>
      <c r="F318" s="109"/>
      <c r="G318" s="109"/>
      <c r="H318" s="109"/>
      <c r="I318" s="109"/>
      <c r="O318" s="29" t="s">
        <v>1263</v>
      </c>
      <c r="P318" s="40" t="s">
        <v>1262</v>
      </c>
      <c r="Q318" s="84" t="s">
        <v>1264</v>
      </c>
      <c r="R318" s="92"/>
      <c r="S318" s="92"/>
      <c r="T318" s="92"/>
      <c r="U318" s="92"/>
      <c r="V318" s="92"/>
      <c r="W318" s="92"/>
    </row>
    <row r="319">
      <c r="A319" s="148" t="str">
        <f>Translation!A326</f>
        <v>BONIFICAÇÃO SOBRE FINANCIAMENTOS - ACORDO</v>
      </c>
      <c r="B319" s="144" t="s">
        <v>1265</v>
      </c>
      <c r="C319" s="140" t="e">
        <f>VLOOKUP(Q319,Data!$B:$E,4,FALSE)</f>
        <v>#N/A</v>
      </c>
      <c r="D319" s="109"/>
      <c r="E319" s="109"/>
      <c r="F319" s="109"/>
      <c r="G319" s="109"/>
      <c r="H319" s="109"/>
      <c r="I319" s="109"/>
      <c r="O319" s="29" t="s">
        <v>1266</v>
      </c>
      <c r="P319" s="40" t="s">
        <v>1265</v>
      </c>
      <c r="Q319" s="84" t="s">
        <v>1267</v>
      </c>
      <c r="R319" s="92"/>
      <c r="S319" s="92"/>
      <c r="T319" s="92"/>
      <c r="U319" s="92"/>
      <c r="V319" s="92"/>
      <c r="W319" s="92"/>
    </row>
    <row r="320">
      <c r="A320" s="151" t="str">
        <f>Translation!A327</f>
        <v>TOTAL DE RECEITA DE F &amp; I</v>
      </c>
      <c r="B320" s="144" t="s">
        <v>1268</v>
      </c>
      <c r="C320" s="141" t="e">
        <f>VLOOKUP(Q320,Data!$B:$E,4,FALSE)</f>
        <v>#N/A</v>
      </c>
      <c r="D320" s="109"/>
      <c r="E320" s="109"/>
      <c r="F320" s="109"/>
      <c r="G320" s="109"/>
      <c r="H320" s="109"/>
      <c r="I320" s="109"/>
      <c r="O320" s="48" t="s">
        <v>1269</v>
      </c>
      <c r="P320" s="40" t="s">
        <v>1268</v>
      </c>
      <c r="Q320" s="57" t="s">
        <v>1270</v>
      </c>
      <c r="R320" s="92"/>
      <c r="S320" s="92"/>
      <c r="T320" s="92"/>
      <c r="U320" s="92"/>
      <c r="V320" s="92"/>
      <c r="W320" s="92"/>
    </row>
    <row r="321">
      <c r="A321" s="152" t="str">
        <f>Translation!A328</f>
        <v>DESPESAS VARIÁVEIS</v>
      </c>
      <c r="B321" s="144" t="str">
        <f>Translation!$G$32</f>
        <v>CONTA</v>
      </c>
      <c r="C321" s="120" t="str">
        <f>Translation!$G$1</f>
        <v>VALOR</v>
      </c>
      <c r="D321" s="109"/>
      <c r="E321" s="109"/>
      <c r="F321" s="109"/>
      <c r="G321" s="109"/>
      <c r="H321" s="109"/>
      <c r="I321" s="109"/>
      <c r="O321" s="27" t="s">
        <v>690</v>
      </c>
      <c r="P321" s="40" t="str">
        <f>Translation!$G$32</f>
        <v>CONTA</v>
      </c>
      <c r="Q321" s="60" t="str">
        <f>Translation!$G$1</f>
        <v>VALOR</v>
      </c>
      <c r="R321" s="92"/>
      <c r="S321" s="92"/>
      <c r="T321" s="92"/>
      <c r="U321" s="92"/>
      <c r="V321" s="92"/>
      <c r="W321" s="92"/>
    </row>
    <row r="322">
      <c r="A322" s="148" t="str">
        <f>Translation!A329</f>
        <v>COMISSÕES SOBRE VENDAS</v>
      </c>
      <c r="B322" s="144" t="s">
        <v>1271</v>
      </c>
      <c r="C322" s="140" t="e">
        <f>VLOOKUP(Q322,Data!$B:$E,4,FALSE)</f>
        <v>#N/A</v>
      </c>
      <c r="D322" s="109"/>
      <c r="E322" s="109"/>
      <c r="F322" s="109"/>
      <c r="G322" s="109"/>
      <c r="H322" s="109"/>
      <c r="I322" s="109"/>
      <c r="O322" s="29" t="s">
        <v>692</v>
      </c>
      <c r="P322" s="40" t="s">
        <v>1271</v>
      </c>
      <c r="Q322" s="84" t="s">
        <v>1272</v>
      </c>
      <c r="R322" s="92"/>
      <c r="S322" s="92"/>
      <c r="T322" s="92"/>
      <c r="U322" s="92"/>
      <c r="V322" s="92"/>
      <c r="W322" s="92"/>
    </row>
    <row r="323">
      <c r="A323" s="148" t="str">
        <f>Translation!A330</f>
        <v>ENCARGOS SOBRE COMISSÕES (-)</v>
      </c>
      <c r="B323" s="144" t="s">
        <v>1273</v>
      </c>
      <c r="C323" s="140" t="e">
        <f>VLOOKUP(Q323,Data!$B:$E,4,FALSE)</f>
        <v>#N/A</v>
      </c>
      <c r="D323" s="109"/>
      <c r="E323" s="109"/>
      <c r="F323" s="109"/>
      <c r="G323" s="109"/>
      <c r="H323" s="109"/>
      <c r="I323" s="109"/>
      <c r="O323" s="29" t="s">
        <v>695</v>
      </c>
      <c r="P323" s="40" t="s">
        <v>1273</v>
      </c>
      <c r="Q323" s="84" t="s">
        <v>1274</v>
      </c>
      <c r="R323" s="92"/>
      <c r="S323" s="92"/>
      <c r="T323" s="92"/>
      <c r="U323" s="92"/>
      <c r="V323" s="92"/>
      <c r="W323" s="92"/>
    </row>
    <row r="324">
      <c r="A324" s="148" t="str">
        <f>Translation!A331</f>
        <v>OUTRAS DESPESAS</v>
      </c>
      <c r="B324" s="144" t="s">
        <v>1275</v>
      </c>
      <c r="C324" s="140" t="e">
        <f>VLOOKUP(Q324,Data!$B:$E,4,FALSE)</f>
        <v>#N/A</v>
      </c>
      <c r="D324" s="109"/>
      <c r="E324" s="109"/>
      <c r="F324" s="109"/>
      <c r="G324" s="109"/>
      <c r="H324" s="109"/>
      <c r="I324" s="109"/>
      <c r="O324" s="29" t="s">
        <v>698</v>
      </c>
      <c r="P324" s="40" t="s">
        <v>1275</v>
      </c>
      <c r="Q324" s="84" t="s">
        <v>1276</v>
      </c>
      <c r="R324" s="92"/>
      <c r="S324" s="92"/>
      <c r="T324" s="92"/>
      <c r="U324" s="92"/>
      <c r="V324" s="92"/>
      <c r="W324" s="92"/>
    </row>
    <row r="325">
      <c r="A325" s="151" t="str">
        <f>Translation!A332</f>
        <v>TOTAL DE DESPESAS VARIÁVEIS</v>
      </c>
      <c r="B325" s="144" t="s">
        <v>1277</v>
      </c>
      <c r="C325" s="141" t="e">
        <f>VLOOKUP(Q325,Data!$B:$E,4,FALSE)</f>
        <v>#N/A</v>
      </c>
      <c r="D325" s="109"/>
      <c r="E325" s="109"/>
      <c r="F325" s="109"/>
      <c r="G325" s="109"/>
      <c r="H325" s="109"/>
      <c r="I325" s="109"/>
      <c r="O325" s="48" t="s">
        <v>701</v>
      </c>
      <c r="P325" s="40" t="s">
        <v>1277</v>
      </c>
      <c r="Q325" s="59" t="s">
        <v>1278</v>
      </c>
      <c r="R325" s="92"/>
      <c r="S325" s="92"/>
      <c r="T325" s="92"/>
      <c r="U325" s="92"/>
      <c r="V325" s="92"/>
      <c r="W325" s="92"/>
    </row>
    <row r="326">
      <c r="A326" s="154" t="str">
        <f>Translation!A333</f>
        <v>MARGEM DE CONTRIBUIÇÃO</v>
      </c>
      <c r="B326" s="144" t="str">
        <f>Translation!$G$32</f>
        <v>CONTA</v>
      </c>
      <c r="C326" s="120" t="str">
        <f>Translation!$G$1</f>
        <v>VALOR</v>
      </c>
      <c r="D326" s="109"/>
      <c r="E326" s="109"/>
      <c r="F326" s="109"/>
      <c r="G326" s="109"/>
      <c r="H326" s="109"/>
      <c r="I326" s="109"/>
      <c r="O326" s="49" t="s">
        <v>703</v>
      </c>
      <c r="P326" s="40" t="str">
        <f>Translation!$G$32</f>
        <v>CONTA</v>
      </c>
      <c r="Q326" s="60" t="str">
        <f>Translation!$G$1</f>
        <v>VALOR</v>
      </c>
      <c r="R326" s="92"/>
      <c r="S326" s="92"/>
      <c r="T326" s="92"/>
      <c r="U326" s="92"/>
      <c r="V326" s="92"/>
      <c r="W326" s="92"/>
    </row>
    <row r="327">
      <c r="A327" s="151" t="str">
        <f>Translation!A334</f>
        <v>MARGEM DE CONTRIBUIÇÃO</v>
      </c>
      <c r="B327" s="144" t="s">
        <v>1279</v>
      </c>
      <c r="C327" s="141" t="e">
        <f>VLOOKUP(Q327,Data!$B:$E,4,FALSE)</f>
        <v>#N/A</v>
      </c>
      <c r="D327" s="109"/>
      <c r="E327" s="109"/>
      <c r="F327" s="109"/>
      <c r="G327" s="109"/>
      <c r="H327" s="109"/>
      <c r="I327" s="109"/>
      <c r="O327" s="48" t="s">
        <v>703</v>
      </c>
      <c r="P327" s="40" t="s">
        <v>1279</v>
      </c>
      <c r="Q327" s="57" t="s">
        <v>1280</v>
      </c>
      <c r="R327" s="92"/>
      <c r="S327" s="92"/>
      <c r="T327" s="92"/>
      <c r="U327" s="92"/>
      <c r="V327" s="92"/>
      <c r="W327" s="92"/>
    </row>
    <row r="328">
      <c r="A328" s="155" t="str">
        <f>Translation!A335</f>
        <v>DESPESAS FIXAS</v>
      </c>
      <c r="B328" s="144" t="str">
        <f>Translation!$G$32</f>
        <v>CONTA</v>
      </c>
      <c r="C328" s="120" t="str">
        <f>Translation!$G$1</f>
        <v>VALOR</v>
      </c>
      <c r="D328" s="109"/>
      <c r="E328" s="109"/>
      <c r="F328" s="109"/>
      <c r="G328" s="109"/>
      <c r="H328" s="109"/>
      <c r="I328" s="109"/>
      <c r="O328" s="50" t="s">
        <v>1281</v>
      </c>
      <c r="P328" s="40" t="str">
        <f>Translation!$G$32</f>
        <v>CONTA</v>
      </c>
      <c r="Q328" s="60" t="str">
        <f>Translation!$G$1</f>
        <v>VALOR</v>
      </c>
      <c r="R328" s="92"/>
      <c r="S328" s="92"/>
      <c r="T328" s="92"/>
      <c r="U328" s="92"/>
      <c r="V328" s="92"/>
      <c r="W328" s="92"/>
    </row>
    <row r="329">
      <c r="A329" s="151" t="str">
        <f>Translation!A336</f>
        <v>TOTAL DE DESPESAS COM PESSOAL (A)</v>
      </c>
      <c r="B329" s="144" t="s">
        <v>1282</v>
      </c>
      <c r="C329" s="141" t="e">
        <f>VLOOKUP(Q329,Data!$B:$E,4,FALSE)</f>
        <v>#N/A</v>
      </c>
      <c r="D329" s="109"/>
      <c r="E329" s="109"/>
      <c r="F329" s="109"/>
      <c r="G329" s="109"/>
      <c r="H329" s="109"/>
      <c r="I329" s="109"/>
      <c r="O329" s="48" t="s">
        <v>708</v>
      </c>
      <c r="P329" s="40" t="s">
        <v>1282</v>
      </c>
      <c r="Q329" s="57" t="s">
        <v>1283</v>
      </c>
      <c r="R329" s="92"/>
      <c r="S329" s="92"/>
      <c r="T329" s="92"/>
      <c r="U329" s="92"/>
      <c r="V329" s="92"/>
      <c r="W329" s="92"/>
    </row>
    <row r="330">
      <c r="A330" s="151" t="str">
        <f>Translation!A337</f>
        <v>TOTAL DE DESPESAS COM ESTRUTURA - IMÓVEIS (B)</v>
      </c>
      <c r="B330" s="144" t="s">
        <v>1284</v>
      </c>
      <c r="C330" s="141" t="e">
        <f>VLOOKUP(Q330,Data!$B:$E,4,FALSE)</f>
        <v>#N/A</v>
      </c>
      <c r="D330" s="109"/>
      <c r="E330" s="109"/>
      <c r="F330" s="109"/>
      <c r="G330" s="109"/>
      <c r="H330" s="109"/>
      <c r="I330" s="109"/>
      <c r="O330" s="48" t="s">
        <v>711</v>
      </c>
      <c r="P330" s="40" t="s">
        <v>1284</v>
      </c>
      <c r="Q330" s="57" t="s">
        <v>1285</v>
      </c>
      <c r="R330" s="92"/>
      <c r="S330" s="92"/>
      <c r="T330" s="92"/>
      <c r="U330" s="92"/>
      <c r="V330" s="92"/>
      <c r="W330" s="92"/>
    </row>
    <row r="331">
      <c r="A331" s="151" t="str">
        <f>Translation!A338</f>
        <v>TOTAL DE DESPESAS GERAIS (C)</v>
      </c>
      <c r="B331" s="144" t="s">
        <v>1286</v>
      </c>
      <c r="C331" s="141" t="e">
        <f>VLOOKUP(Q331,Data!$B:$E,4,FALSE)</f>
        <v>#N/A</v>
      </c>
      <c r="D331" s="109"/>
      <c r="E331" s="109"/>
      <c r="F331" s="109"/>
      <c r="G331" s="109"/>
      <c r="H331" s="109"/>
      <c r="I331" s="109"/>
      <c r="O331" s="48" t="s">
        <v>714</v>
      </c>
      <c r="P331" s="40" t="s">
        <v>1286</v>
      </c>
      <c r="Q331" s="57" t="s">
        <v>1287</v>
      </c>
      <c r="R331" s="92"/>
      <c r="S331" s="92"/>
      <c r="T331" s="92"/>
      <c r="U331" s="92"/>
      <c r="V331" s="92"/>
      <c r="W331" s="92"/>
    </row>
    <row r="332">
      <c r="A332" s="151" t="str">
        <f>Translation!A339</f>
        <v>TOTAL DE DESPESAS FIXAS (A+B+C)</v>
      </c>
      <c r="B332" s="144" t="s">
        <v>1288</v>
      </c>
      <c r="C332" s="141" t="e">
        <f>VLOOKUP(Q332,Data!$B:$E,4,FALSE)</f>
        <v>#N/A</v>
      </c>
      <c r="D332" s="109"/>
      <c r="E332" s="109"/>
      <c r="F332" s="109"/>
      <c r="G332" s="109"/>
      <c r="H332" s="109"/>
      <c r="I332" s="109"/>
      <c r="O332" s="48" t="s">
        <v>717</v>
      </c>
      <c r="P332" s="40" t="s">
        <v>1288</v>
      </c>
      <c r="Q332" s="57" t="s">
        <v>1289</v>
      </c>
      <c r="R332" s="92"/>
      <c r="S332" s="92"/>
      <c r="T332" s="92"/>
      <c r="U332" s="92"/>
      <c r="V332" s="92"/>
      <c r="W332" s="92"/>
    </row>
    <row r="333">
      <c r="A333" s="153" t="str">
        <f>Translation!A340</f>
        <v>LUCRO / PREJUÍZO OPERACIONAL</v>
      </c>
      <c r="B333" s="144" t="str">
        <f>Translation!$G$32</f>
        <v>CONTA</v>
      </c>
      <c r="C333" s="120" t="str">
        <f>Translation!$G$1</f>
        <v>VALOR</v>
      </c>
      <c r="D333" s="109"/>
      <c r="E333" s="109"/>
      <c r="F333" s="109"/>
      <c r="G333" s="109"/>
      <c r="H333" s="109"/>
      <c r="I333" s="109"/>
      <c r="O333" s="28" t="s">
        <v>719</v>
      </c>
      <c r="P333" s="40" t="str">
        <f>Translation!$G$32</f>
        <v>CONTA</v>
      </c>
      <c r="Q333" s="60" t="str">
        <f>Translation!$G$1</f>
        <v>VALOR</v>
      </c>
      <c r="R333" s="92"/>
      <c r="S333" s="92"/>
      <c r="T333" s="92"/>
      <c r="U333" s="92"/>
      <c r="V333" s="92"/>
      <c r="W333" s="92"/>
    </row>
    <row r="334">
      <c r="A334" s="151" t="str">
        <f>Translation!A341</f>
        <v>LUCRO / PREJUÍZO OPERACIONAL</v>
      </c>
      <c r="B334" s="144" t="s">
        <v>1290</v>
      </c>
      <c r="C334" s="141" t="e">
        <f>VLOOKUP(Q334,Data!$B:$E,4,FALSE)</f>
        <v>#N/A</v>
      </c>
      <c r="D334" s="109"/>
      <c r="E334" s="109"/>
      <c r="F334" s="109"/>
      <c r="G334" s="109"/>
      <c r="H334" s="109"/>
      <c r="I334" s="109"/>
      <c r="O334" s="48" t="s">
        <v>719</v>
      </c>
      <c r="P334" s="40" t="s">
        <v>1290</v>
      </c>
      <c r="Q334" s="57" t="s">
        <v>1291</v>
      </c>
      <c r="R334" s="92"/>
      <c r="S334" s="92"/>
      <c r="T334" s="92"/>
      <c r="U334" s="92"/>
      <c r="V334" s="92"/>
      <c r="W334" s="92"/>
    </row>
    <row r="335">
      <c r="A335" s="153" t="str">
        <f>Translation!A342</f>
        <v>DESPESAS / RECEITAS NÃO-OPERACIONAIS E FINANCEIRAS </v>
      </c>
      <c r="B335" s="144" t="str">
        <f>Translation!$G$32</f>
        <v>CONTA</v>
      </c>
      <c r="C335" s="120" t="str">
        <f>Translation!$G$1</f>
        <v>VALOR</v>
      </c>
      <c r="D335" s="109"/>
      <c r="E335" s="109"/>
      <c r="F335" s="109"/>
      <c r="G335" s="109"/>
      <c r="H335" s="109"/>
      <c r="I335" s="109"/>
      <c r="O335" s="28" t="s">
        <v>722</v>
      </c>
      <c r="P335" s="40" t="str">
        <f>Translation!$G$32</f>
        <v>CONTA</v>
      </c>
      <c r="Q335" s="60" t="str">
        <f>Translation!$G$1</f>
        <v>VALOR</v>
      </c>
      <c r="R335" s="92"/>
      <c r="S335" s="92"/>
      <c r="T335" s="92"/>
      <c r="U335" s="92"/>
      <c r="V335" s="92"/>
      <c r="W335" s="92"/>
    </row>
    <row r="336">
      <c r="A336" s="151" t="str">
        <f>Translation!A343</f>
        <v>TOTAL DE DESPESAS NÃO-OPERACIONAIS</v>
      </c>
      <c r="B336" s="144" t="s">
        <v>1292</v>
      </c>
      <c r="C336" s="141" t="e">
        <f>VLOOKUP(Q336,Data!$B:$E,4,FALSE)</f>
        <v>#N/A</v>
      </c>
      <c r="D336" s="109"/>
      <c r="E336" s="109"/>
      <c r="F336" s="109"/>
      <c r="G336" s="109"/>
      <c r="H336" s="109"/>
      <c r="I336" s="109"/>
      <c r="O336" s="48" t="s">
        <v>724</v>
      </c>
      <c r="P336" s="40" t="s">
        <v>1292</v>
      </c>
      <c r="Q336" s="57" t="s">
        <v>1293</v>
      </c>
      <c r="R336" s="92"/>
      <c r="S336" s="92"/>
      <c r="T336" s="92"/>
      <c r="U336" s="92"/>
      <c r="V336" s="92"/>
      <c r="W336" s="92"/>
    </row>
    <row r="337">
      <c r="A337" s="151" t="str">
        <f>Translation!A344</f>
        <v>TOTAL DE DESPESAS FINANCEIRAS</v>
      </c>
      <c r="B337" s="144" t="s">
        <v>1294</v>
      </c>
      <c r="C337" s="141" t="e">
        <f>VLOOKUP(Q337,Data!$B:$E,4,FALSE)</f>
        <v>#N/A</v>
      </c>
      <c r="D337" s="109"/>
      <c r="E337" s="109"/>
      <c r="F337" s="109"/>
      <c r="G337" s="109"/>
      <c r="H337" s="109"/>
      <c r="I337" s="109"/>
      <c r="O337" s="48" t="s">
        <v>727</v>
      </c>
      <c r="P337" s="40" t="s">
        <v>1294</v>
      </c>
      <c r="Q337" s="57" t="s">
        <v>1295</v>
      </c>
      <c r="R337" s="92"/>
      <c r="S337" s="92"/>
      <c r="T337" s="92"/>
      <c r="U337" s="92"/>
      <c r="V337" s="92"/>
      <c r="W337" s="92"/>
    </row>
    <row r="338">
      <c r="A338" s="151" t="str">
        <f>Translation!A345</f>
        <v>TOTAL DE RECEITAS NÃO-OPERACIONAIS</v>
      </c>
      <c r="B338" s="144" t="s">
        <v>1296</v>
      </c>
      <c r="C338" s="141" t="e">
        <f>VLOOKUP(Q338,Data!$B:$E,4,FALSE)</f>
        <v>#N/A</v>
      </c>
      <c r="D338" s="109"/>
      <c r="E338" s="109"/>
      <c r="F338" s="109"/>
      <c r="G338" s="109"/>
      <c r="H338" s="109"/>
      <c r="I338" s="109"/>
      <c r="O338" s="48" t="s">
        <v>730</v>
      </c>
      <c r="P338" s="40" t="s">
        <v>1296</v>
      </c>
      <c r="Q338" s="57" t="s">
        <v>1297</v>
      </c>
      <c r="R338" s="92"/>
      <c r="S338" s="92"/>
      <c r="T338" s="92"/>
      <c r="U338" s="92"/>
      <c r="V338" s="92"/>
      <c r="W338" s="92"/>
    </row>
    <row r="339">
      <c r="A339" s="151" t="str">
        <f>Translation!A346</f>
        <v>TOTAL DE RECEITAS FINANCEIRAS</v>
      </c>
      <c r="B339" s="144" t="s">
        <v>1298</v>
      </c>
      <c r="C339" s="141" t="e">
        <f>VLOOKUP(Q339,Data!$B:$E,4,FALSE)</f>
        <v>#N/A</v>
      </c>
      <c r="D339" s="109"/>
      <c r="E339" s="109"/>
      <c r="F339" s="109"/>
      <c r="G339" s="109"/>
      <c r="H339" s="109"/>
      <c r="I339" s="109"/>
      <c r="O339" s="48" t="s">
        <v>733</v>
      </c>
      <c r="P339" s="40" t="s">
        <v>1298</v>
      </c>
      <c r="Q339" s="57" t="s">
        <v>1299</v>
      </c>
      <c r="R339" s="92"/>
      <c r="S339" s="92"/>
      <c r="T339" s="92"/>
      <c r="U339" s="92"/>
      <c r="V339" s="92"/>
      <c r="W339" s="92"/>
    </row>
    <row r="340">
      <c r="A340" s="153" t="str">
        <f>Translation!A347</f>
        <v>RESULTADO DEPARTAMENTAL</v>
      </c>
      <c r="B340" s="144" t="str">
        <f>Translation!$G$32</f>
        <v>CONTA</v>
      </c>
      <c r="C340" s="120" t="str">
        <f>Translation!$G$1</f>
        <v>VALOR</v>
      </c>
      <c r="D340" s="109"/>
      <c r="E340" s="109"/>
      <c r="F340" s="109"/>
      <c r="G340" s="109"/>
      <c r="H340" s="109"/>
      <c r="I340" s="109"/>
      <c r="O340" s="28" t="s">
        <v>748</v>
      </c>
      <c r="P340" s="40" t="str">
        <f>Translation!$G$32</f>
        <v>CONTA</v>
      </c>
      <c r="Q340" s="60" t="str">
        <f>Translation!$G$1</f>
        <v>VALOR</v>
      </c>
      <c r="R340" s="92"/>
      <c r="S340" s="92"/>
      <c r="T340" s="92"/>
      <c r="U340" s="92"/>
      <c r="V340" s="92"/>
      <c r="W340" s="92"/>
    </row>
    <row r="341">
      <c r="A341" s="151" t="str">
        <f>Translation!A348</f>
        <v>RESULTADO DO DEPARTAMENTO DE F&amp;I</v>
      </c>
      <c r="B341" s="144" t="s">
        <v>1300</v>
      </c>
      <c r="C341" s="141" t="e">
        <f>VLOOKUP(Q341,Data!$B:$E,4,FALSE)</f>
        <v>#N/A</v>
      </c>
      <c r="D341" s="109"/>
      <c r="E341" s="109"/>
      <c r="F341" s="109"/>
      <c r="G341" s="109"/>
      <c r="H341" s="109"/>
      <c r="I341" s="109"/>
      <c r="O341" s="48" t="s">
        <v>1301</v>
      </c>
      <c r="P341" s="40" t="s">
        <v>1300</v>
      </c>
      <c r="Q341" s="57" t="s">
        <v>1302</v>
      </c>
      <c r="R341" s="92"/>
      <c r="S341" s="92"/>
      <c r="T341" s="92"/>
      <c r="U341" s="92"/>
      <c r="V341" s="92"/>
      <c r="W341" s="92"/>
    </row>
    <row r="342">
      <c r="A342" s="71" t="str">
        <f>Translation!A6</f>
        <v>ADMIN</v>
      </c>
      <c r="B342" s="82"/>
      <c r="C342" s="102"/>
      <c r="D342" s="102"/>
      <c r="E342" s="102"/>
      <c r="F342" s="102"/>
      <c r="G342" s="103"/>
      <c r="H342" s="104"/>
      <c r="I342" s="104"/>
      <c r="O342" s="71" t="s">
        <v>1303</v>
      </c>
      <c r="P342" s="82"/>
      <c r="Q342" s="89"/>
      <c r="R342" s="89"/>
      <c r="S342" s="89"/>
      <c r="T342" s="89"/>
      <c r="U342" s="90"/>
      <c r="V342" s="91"/>
      <c r="W342" s="91"/>
    </row>
    <row r="343">
      <c r="A343" s="156" t="str">
        <f>Translation!A350</f>
        <v>DESPESAS DO ADMINISTRATIVO</v>
      </c>
      <c r="B343" s="144" t="str">
        <f>Translation!$G$32</f>
        <v>CONTA</v>
      </c>
      <c r="C343" s="121" t="str">
        <f>Translation!$G$23</f>
        <v>NOVOS</v>
      </c>
      <c r="D343" s="121" t="str">
        <f>Translation!$G$24</f>
        <v>USADOS</v>
      </c>
      <c r="E343" s="121" t="str">
        <f>Translation!$G$25</f>
        <v>F &amp; I</v>
      </c>
      <c r="F343" s="121" t="str">
        <f>Translation!$G$26</f>
        <v>PEÇAS E ACESS.</v>
      </c>
      <c r="G343" s="121" t="str">
        <f>Translation!$G$27</f>
        <v>SERVIÇO</v>
      </c>
      <c r="H343" s="121" t="str">
        <f>Translation!$G$28</f>
        <v>ADM</v>
      </c>
      <c r="I343" s="121" t="str">
        <f>Translation!$G$29</f>
        <v>TOTAL</v>
      </c>
      <c r="O343" s="51" t="s">
        <v>1304</v>
      </c>
      <c r="P343" s="40" t="str">
        <f>Translation!$G$32</f>
        <v>CONTA</v>
      </c>
      <c r="Q343" s="79" t="s">
        <v>1305</v>
      </c>
      <c r="R343" s="79" t="s">
        <v>1306</v>
      </c>
      <c r="S343" s="79" t="s">
        <v>1307</v>
      </c>
      <c r="T343" s="79" t="s">
        <v>1308</v>
      </c>
      <c r="U343" s="79" t="s">
        <v>1309</v>
      </c>
      <c r="V343" s="79" t="s">
        <v>1310</v>
      </c>
      <c r="W343" s="79" t="s">
        <v>1311</v>
      </c>
    </row>
    <row r="344">
      <c r="A344" s="157" t="str">
        <f>Translation!A351</f>
        <v>SALÁRIOS, GRATIFICAÇÕES E OUTRAS REMUNERAÇÕES</v>
      </c>
      <c r="B344" s="144" t="s">
        <v>1312</v>
      </c>
      <c r="C344" s="140" t="e">
        <f>VLOOKUP(Q344,Data!$B:$E,4,FALSE)</f>
        <v>#N/A</v>
      </c>
      <c r="D344" s="140" t="e">
        <f>VLOOKUP(R344,Data!$B:$E,4,FALSE)</f>
        <v>#N/A</v>
      </c>
      <c r="E344" s="140" t="e">
        <f>VLOOKUP(S344,Data!$B:$E,4,FALSE)</f>
        <v>#N/A</v>
      </c>
      <c r="F344" s="140" t="e">
        <f>VLOOKUP(T344,Data!$B:$E,4,FALSE)</f>
        <v>#N/A</v>
      </c>
      <c r="G344" s="140" t="e">
        <f>VLOOKUP(U344,Data!$B:$E,4,FALSE)</f>
        <v>#N/A</v>
      </c>
      <c r="H344" s="140" t="e">
        <f>VLOOKUP(V344,Data!$B:$E,4,FALSE)</f>
        <v>#N/A</v>
      </c>
      <c r="I344" s="141" t="e">
        <f>VLOOKUP(W344,Data!$B:$E,4,FALSE)</f>
        <v>#N/A</v>
      </c>
      <c r="O344" s="52" t="s">
        <v>1313</v>
      </c>
      <c r="P344" s="40" t="s">
        <v>1312</v>
      </c>
      <c r="Q344" s="84" t="s">
        <v>1314</v>
      </c>
      <c r="R344" s="84" t="s">
        <v>1315</v>
      </c>
      <c r="S344" s="84" t="s">
        <v>1316</v>
      </c>
      <c r="T344" s="84" t="s">
        <v>1317</v>
      </c>
      <c r="U344" s="84" t="s">
        <v>1318</v>
      </c>
      <c r="V344" s="84" t="s">
        <v>1319</v>
      </c>
      <c r="W344" s="57" t="s">
        <v>1320</v>
      </c>
    </row>
    <row r="345">
      <c r="A345" s="158" t="str">
        <f>Translation!A352</f>
        <v>ENCARGOS SOCIAIS E BENEFÍCIOS (FGTS, PREV SOCIAL ETC)</v>
      </c>
      <c r="B345" s="144" t="s">
        <v>1321</v>
      </c>
      <c r="C345" s="140" t="e">
        <f>VLOOKUP(Q345,Data!$B:$E,4,FALSE)</f>
        <v>#N/A</v>
      </c>
      <c r="D345" s="140" t="e">
        <f>VLOOKUP(R345,Data!$B:$E,4,FALSE)</f>
        <v>#N/A</v>
      </c>
      <c r="E345" s="140" t="e">
        <f>VLOOKUP(S345,Data!$B:$E,4,FALSE)</f>
        <v>#N/A</v>
      </c>
      <c r="F345" s="140" t="e">
        <f>VLOOKUP(T345,Data!$B:$E,4,FALSE)</f>
        <v>#N/A</v>
      </c>
      <c r="G345" s="140" t="e">
        <f>VLOOKUP(U345,Data!$B:$E,4,FALSE)</f>
        <v>#N/A</v>
      </c>
      <c r="H345" s="140" t="e">
        <f>VLOOKUP(V345,Data!$B:$E,4,FALSE)</f>
        <v>#N/A</v>
      </c>
      <c r="I345" s="141" t="e">
        <f>VLOOKUP(W345,Data!$B:$E,4,FALSE)</f>
        <v>#N/A</v>
      </c>
      <c r="O345" s="53" t="s">
        <v>1322</v>
      </c>
      <c r="P345" s="40" t="s">
        <v>1321</v>
      </c>
      <c r="Q345" s="84" t="s">
        <v>1323</v>
      </c>
      <c r="R345" s="84" t="s">
        <v>1324</v>
      </c>
      <c r="S345" s="84" t="s">
        <v>1325</v>
      </c>
      <c r="T345" s="84" t="s">
        <v>1326</v>
      </c>
      <c r="U345" s="84" t="s">
        <v>1327</v>
      </c>
      <c r="V345" s="84" t="s">
        <v>1328</v>
      </c>
      <c r="W345" s="57" t="s">
        <v>1329</v>
      </c>
    </row>
    <row r="346">
      <c r="A346" s="158" t="str">
        <f>Translation!A353</f>
        <v>PROVISÕES PARA FÉRIAS E 13º SALÁRIO</v>
      </c>
      <c r="B346" s="144" t="s">
        <v>1330</v>
      </c>
      <c r="C346" s="140" t="e">
        <f>VLOOKUP(Q346,Data!$B:$E,4,FALSE)</f>
        <v>#N/A</v>
      </c>
      <c r="D346" s="140" t="e">
        <f>VLOOKUP(R346,Data!$B:$E,4,FALSE)</f>
        <v>#N/A</v>
      </c>
      <c r="E346" s="140" t="e">
        <f>VLOOKUP(S346,Data!$B:$E,4,FALSE)</f>
        <v>#N/A</v>
      </c>
      <c r="F346" s="140" t="e">
        <f>VLOOKUP(T346,Data!$B:$E,4,FALSE)</f>
        <v>#N/A</v>
      </c>
      <c r="G346" s="140" t="e">
        <f>VLOOKUP(U346,Data!$B:$E,4,FALSE)</f>
        <v>#N/A</v>
      </c>
      <c r="H346" s="140" t="e">
        <f>VLOOKUP(V346,Data!$B:$E,4,FALSE)</f>
        <v>#N/A</v>
      </c>
      <c r="I346" s="141" t="e">
        <f>VLOOKUP(W346,Data!$B:$E,4,FALSE)</f>
        <v>#N/A</v>
      </c>
      <c r="O346" s="53" t="s">
        <v>1331</v>
      </c>
      <c r="P346" s="40" t="s">
        <v>1330</v>
      </c>
      <c r="Q346" s="84" t="s">
        <v>1332</v>
      </c>
      <c r="R346" s="84" t="s">
        <v>1333</v>
      </c>
      <c r="S346" s="84" t="s">
        <v>1334</v>
      </c>
      <c r="T346" s="84" t="s">
        <v>1335</v>
      </c>
      <c r="U346" s="84" t="s">
        <v>1336</v>
      </c>
      <c r="V346" s="84" t="s">
        <v>1337</v>
      </c>
      <c r="W346" s="57" t="s">
        <v>1338</v>
      </c>
    </row>
    <row r="347">
      <c r="A347" s="158" t="str">
        <f>Translation!A354</f>
        <v>FUNDO DE APOSENTADORIA PROGR. INDIVIDUAL DE EMPREGADOS</v>
      </c>
      <c r="B347" s="144" t="s">
        <v>1339</v>
      </c>
      <c r="C347" s="140" t="e">
        <f>VLOOKUP(Q347,Data!$B:$E,4,FALSE)</f>
        <v>#N/A</v>
      </c>
      <c r="D347" s="140" t="e">
        <f>VLOOKUP(R347,Data!$B:$E,4,FALSE)</f>
        <v>#N/A</v>
      </c>
      <c r="E347" s="140" t="e">
        <f>VLOOKUP(S347,Data!$B:$E,4,FALSE)</f>
        <v>#N/A</v>
      </c>
      <c r="F347" s="140" t="e">
        <f>VLOOKUP(T347,Data!$B:$E,4,FALSE)</f>
        <v>#N/A</v>
      </c>
      <c r="G347" s="140" t="e">
        <f>VLOOKUP(U347,Data!$B:$E,4,FALSE)</f>
        <v>#N/A</v>
      </c>
      <c r="H347" s="140" t="e">
        <f>VLOOKUP(V347,Data!$B:$E,4,FALSE)</f>
        <v>#N/A</v>
      </c>
      <c r="I347" s="141" t="e">
        <f>VLOOKUP(W347,Data!$B:$E,4,FALSE)</f>
        <v>#N/A</v>
      </c>
      <c r="O347" s="53" t="s">
        <v>1340</v>
      </c>
      <c r="P347" s="40" t="s">
        <v>1339</v>
      </c>
      <c r="Q347" s="84" t="s">
        <v>1341</v>
      </c>
      <c r="R347" s="84" t="s">
        <v>1342</v>
      </c>
      <c r="S347" s="84" t="s">
        <v>1343</v>
      </c>
      <c r="T347" s="84" t="s">
        <v>1344</v>
      </c>
      <c r="U347" s="84" t="s">
        <v>1345</v>
      </c>
      <c r="V347" s="84" t="s">
        <v>1346</v>
      </c>
      <c r="W347" s="57" t="s">
        <v>1347</v>
      </c>
    </row>
    <row r="348">
      <c r="A348" s="158" t="str">
        <f>Translation!A355</f>
        <v>REMUNERAÇÃO A DIRIGENTES E A CONSELHO DE ADMINISTRAÇÃO</v>
      </c>
      <c r="B348" s="144" t="s">
        <v>1348</v>
      </c>
      <c r="C348" s="140" t="e">
        <f>VLOOKUP(Q348,Data!$B:$E,4,FALSE)</f>
        <v>#N/A</v>
      </c>
      <c r="D348" s="140" t="e">
        <f>VLOOKUP(R348,Data!$B:$E,4,FALSE)</f>
        <v>#N/A</v>
      </c>
      <c r="E348" s="140" t="e">
        <f>VLOOKUP(S348,Data!$B:$E,4,FALSE)</f>
        <v>#N/A</v>
      </c>
      <c r="F348" s="140" t="e">
        <f>VLOOKUP(T348,Data!$B:$E,4,FALSE)</f>
        <v>#N/A</v>
      </c>
      <c r="G348" s="140" t="e">
        <f>VLOOKUP(U348,Data!$B:$E,4,FALSE)</f>
        <v>#N/A</v>
      </c>
      <c r="H348" s="140" t="e">
        <f>VLOOKUP(V348,Data!$B:$E,4,FALSE)</f>
        <v>#N/A</v>
      </c>
      <c r="I348" s="141" t="e">
        <f>VLOOKUP(W348,Data!$B:$E,4,FALSE)</f>
        <v>#N/A</v>
      </c>
      <c r="O348" s="53" t="s">
        <v>1349</v>
      </c>
      <c r="P348" s="40" t="s">
        <v>1348</v>
      </c>
      <c r="Q348" s="84" t="s">
        <v>1350</v>
      </c>
      <c r="R348" s="84" t="s">
        <v>1351</v>
      </c>
      <c r="S348" s="84" t="s">
        <v>1352</v>
      </c>
      <c r="T348" s="84" t="s">
        <v>1353</v>
      </c>
      <c r="U348" s="84" t="s">
        <v>1354</v>
      </c>
      <c r="V348" s="84" t="s">
        <v>1355</v>
      </c>
      <c r="W348" s="57" t="s">
        <v>1356</v>
      </c>
    </row>
    <row r="349">
      <c r="A349" s="158" t="str">
        <f>Translation!A356</f>
        <v>FORMAÇÃO PROFISSIONAL</v>
      </c>
      <c r="B349" s="144" t="s">
        <v>1357</v>
      </c>
      <c r="C349" s="140" t="e">
        <f>VLOOKUP(Q349,Data!$B:$E,4,FALSE)</f>
        <v>#N/A</v>
      </c>
      <c r="D349" s="140" t="e">
        <f>VLOOKUP(R349,Data!$B:$E,4,FALSE)</f>
        <v>#N/A</v>
      </c>
      <c r="E349" s="140" t="e">
        <f>VLOOKUP(S349,Data!$B:$E,4,FALSE)</f>
        <v>#N/A</v>
      </c>
      <c r="F349" s="140" t="e">
        <f>VLOOKUP(T349,Data!$B:$E,4,FALSE)</f>
        <v>#N/A</v>
      </c>
      <c r="G349" s="140" t="e">
        <f>VLOOKUP(U349,Data!$B:$E,4,FALSE)</f>
        <v>#N/A</v>
      </c>
      <c r="H349" s="140" t="e">
        <f>VLOOKUP(V349,Data!$B:$E,4,FALSE)</f>
        <v>#N/A</v>
      </c>
      <c r="I349" s="141" t="e">
        <f>VLOOKUP(W349,Data!$B:$E,4,FALSE)</f>
        <v>#N/A</v>
      </c>
      <c r="O349" s="53" t="s">
        <v>1358</v>
      </c>
      <c r="P349" s="40" t="s">
        <v>1357</v>
      </c>
      <c r="Q349" s="84" t="s">
        <v>1359</v>
      </c>
      <c r="R349" s="84" t="s">
        <v>1360</v>
      </c>
      <c r="S349" s="84" t="s">
        <v>1361</v>
      </c>
      <c r="T349" s="84" t="s">
        <v>1362</v>
      </c>
      <c r="U349" s="84" t="s">
        <v>1363</v>
      </c>
      <c r="V349" s="84" t="s">
        <v>1364</v>
      </c>
      <c r="W349" s="57" t="s">
        <v>1365</v>
      </c>
    </row>
    <row r="350">
      <c r="A350" s="158" t="str">
        <f>Translation!A357</f>
        <v>ASSISTÊNCIA MÉDICA, ODONTOLÓGICA E FARMACÊUTICA</v>
      </c>
      <c r="B350" s="144" t="s">
        <v>1366</v>
      </c>
      <c r="C350" s="140" t="e">
        <f>VLOOKUP(Q350,Data!$B:$E,4,FALSE)</f>
        <v>#N/A</v>
      </c>
      <c r="D350" s="140" t="e">
        <f>VLOOKUP(R350,Data!$B:$E,4,FALSE)</f>
        <v>#N/A</v>
      </c>
      <c r="E350" s="140" t="e">
        <f>VLOOKUP(S350,Data!$B:$E,4,FALSE)</f>
        <v>#N/A</v>
      </c>
      <c r="F350" s="140" t="e">
        <f>VLOOKUP(T350,Data!$B:$E,4,FALSE)</f>
        <v>#N/A</v>
      </c>
      <c r="G350" s="140" t="e">
        <f>VLOOKUP(U350,Data!$B:$E,4,FALSE)</f>
        <v>#N/A</v>
      </c>
      <c r="H350" s="140" t="e">
        <f>VLOOKUP(V350,Data!$B:$E,4,FALSE)</f>
        <v>#N/A</v>
      </c>
      <c r="I350" s="141" t="e">
        <f>VLOOKUP(W350,Data!$B:$E,4,FALSE)</f>
        <v>#N/A</v>
      </c>
      <c r="O350" s="53" t="s">
        <v>1367</v>
      </c>
      <c r="P350" s="40" t="s">
        <v>1366</v>
      </c>
      <c r="Q350" s="84" t="s">
        <v>1368</v>
      </c>
      <c r="R350" s="84" t="s">
        <v>1369</v>
      </c>
      <c r="S350" s="84" t="s">
        <v>1370</v>
      </c>
      <c r="T350" s="84" t="s">
        <v>1371</v>
      </c>
      <c r="U350" s="84" t="s">
        <v>1372</v>
      </c>
      <c r="V350" s="84" t="s">
        <v>1373</v>
      </c>
      <c r="W350" s="57" t="s">
        <v>1374</v>
      </c>
    </row>
    <row r="351">
      <c r="A351" s="158" t="str">
        <f>Translation!A358</f>
        <v>ALIMENTAÇÃO</v>
      </c>
      <c r="B351" s="144" t="s">
        <v>1375</v>
      </c>
      <c r="C351" s="140" t="e">
        <f>VLOOKUP(Q351,Data!$B:$E,4,FALSE)</f>
        <v>#N/A</v>
      </c>
      <c r="D351" s="140" t="e">
        <f>VLOOKUP(R351,Data!$B:$E,4,FALSE)</f>
        <v>#N/A</v>
      </c>
      <c r="E351" s="140" t="e">
        <f>VLOOKUP(S351,Data!$B:$E,4,FALSE)</f>
        <v>#N/A</v>
      </c>
      <c r="F351" s="140" t="e">
        <f>VLOOKUP(T351,Data!$B:$E,4,FALSE)</f>
        <v>#N/A</v>
      </c>
      <c r="G351" s="140" t="e">
        <f>VLOOKUP(U351,Data!$B:$E,4,FALSE)</f>
        <v>#N/A</v>
      </c>
      <c r="H351" s="140" t="e">
        <f>VLOOKUP(V351,Data!$B:$E,4,FALSE)</f>
        <v>#N/A</v>
      </c>
      <c r="I351" s="141" t="e">
        <f>VLOOKUP(W351,Data!$B:$E,4,FALSE)</f>
        <v>#N/A</v>
      </c>
      <c r="O351" s="53" t="s">
        <v>1376</v>
      </c>
      <c r="P351" s="40" t="s">
        <v>1375</v>
      </c>
      <c r="Q351" s="84" t="s">
        <v>1377</v>
      </c>
      <c r="R351" s="84" t="s">
        <v>1378</v>
      </c>
      <c r="S351" s="84" t="s">
        <v>1379</v>
      </c>
      <c r="T351" s="84" t="s">
        <v>1380</v>
      </c>
      <c r="U351" s="84" t="s">
        <v>1381</v>
      </c>
      <c r="V351" s="84" t="s">
        <v>1382</v>
      </c>
      <c r="W351" s="57" t="s">
        <v>1383</v>
      </c>
    </row>
    <row r="352">
      <c r="A352" s="158" t="str">
        <f>Translation!A359</f>
        <v>OUTROS GASTOS COM PESSOAL (VIAGENS, TRANSPORTE ETC)</v>
      </c>
      <c r="B352" s="144" t="s">
        <v>1384</v>
      </c>
      <c r="C352" s="140" t="e">
        <f>VLOOKUP(Q352,Data!$B:$E,4,FALSE)</f>
        <v>#N/A</v>
      </c>
      <c r="D352" s="140" t="e">
        <f>VLOOKUP(R352,Data!$B:$E,4,FALSE)</f>
        <v>#N/A</v>
      </c>
      <c r="E352" s="140" t="e">
        <f>VLOOKUP(S352,Data!$B:$E,4,FALSE)</f>
        <v>#N/A</v>
      </c>
      <c r="F352" s="140" t="e">
        <f>VLOOKUP(T352,Data!$B:$E,4,FALSE)</f>
        <v>#N/A</v>
      </c>
      <c r="G352" s="140" t="e">
        <f>VLOOKUP(U352,Data!$B:$E,4,FALSE)</f>
        <v>#N/A</v>
      </c>
      <c r="H352" s="140" t="e">
        <f>VLOOKUP(V352,Data!$B:$E,4,FALSE)</f>
        <v>#N/A</v>
      </c>
      <c r="I352" s="141" t="e">
        <f>VLOOKUP(W352,Data!$B:$E,4,FALSE)</f>
        <v>#N/A</v>
      </c>
      <c r="O352" s="53" t="s">
        <v>1385</v>
      </c>
      <c r="P352" s="40" t="s">
        <v>1384</v>
      </c>
      <c r="Q352" s="84" t="s">
        <v>1386</v>
      </c>
      <c r="R352" s="84" t="s">
        <v>1387</v>
      </c>
      <c r="S352" s="84" t="s">
        <v>1388</v>
      </c>
      <c r="T352" s="84" t="s">
        <v>1389</v>
      </c>
      <c r="U352" s="84" t="s">
        <v>1390</v>
      </c>
      <c r="V352" s="84" t="s">
        <v>1391</v>
      </c>
      <c r="W352" s="57" t="s">
        <v>1392</v>
      </c>
    </row>
    <row r="353">
      <c r="A353" s="159" t="str">
        <f>Translation!A360</f>
        <v>TOTAL DE DESPESAS COM PESSOAL (A)</v>
      </c>
      <c r="B353" s="144" t="s">
        <v>1393</v>
      </c>
      <c r="C353" s="141" t="e">
        <f>VLOOKUP(Q353,Data!$B:$E,4,FALSE)</f>
        <v>#N/A</v>
      </c>
      <c r="D353" s="141" t="e">
        <f>VLOOKUP(R353,Data!$B:$E,4,FALSE)</f>
        <v>#N/A</v>
      </c>
      <c r="E353" s="141" t="e">
        <f>VLOOKUP(S353,Data!$B:$E,4,FALSE)</f>
        <v>#N/A</v>
      </c>
      <c r="F353" s="141" t="e">
        <f>VLOOKUP(T353,Data!$B:$E,4,FALSE)</f>
        <v>#N/A</v>
      </c>
      <c r="G353" s="141" t="e">
        <f>VLOOKUP(U353,Data!$B:$E,4,FALSE)</f>
        <v>#N/A</v>
      </c>
      <c r="H353" s="141" t="e">
        <f>VLOOKUP(V353,Data!$B:$E,4,FALSE)</f>
        <v>#N/A</v>
      </c>
      <c r="I353" s="141" t="e">
        <f>VLOOKUP(W353,Data!$B:$E,4,FALSE)</f>
        <v>#N/A</v>
      </c>
      <c r="O353" s="54" t="s">
        <v>708</v>
      </c>
      <c r="P353" s="40" t="s">
        <v>1393</v>
      </c>
      <c r="Q353" s="57" t="s">
        <v>1394</v>
      </c>
      <c r="R353" s="57" t="s">
        <v>1395</v>
      </c>
      <c r="S353" s="57" t="s">
        <v>1396</v>
      </c>
      <c r="T353" s="57" t="s">
        <v>1397</v>
      </c>
      <c r="U353" s="57" t="s">
        <v>1398</v>
      </c>
      <c r="V353" s="57" t="s">
        <v>1399</v>
      </c>
      <c r="W353" s="57" t="s">
        <v>1400</v>
      </c>
    </row>
    <row r="354">
      <c r="A354" s="158" t="str">
        <f>Translation!A361</f>
        <v>ÁGUA E ENERGIA ELÉTRICA</v>
      </c>
      <c r="B354" s="144" t="s">
        <v>1401</v>
      </c>
      <c r="C354" s="140" t="e">
        <f>VLOOKUP(Q354,Data!$B:$E,4,FALSE)</f>
        <v>#N/A</v>
      </c>
      <c r="D354" s="140" t="e">
        <f>VLOOKUP(R354,Data!$B:$E,4,FALSE)</f>
        <v>#N/A</v>
      </c>
      <c r="E354" s="140" t="e">
        <f>VLOOKUP(S354,Data!$B:$E,4,FALSE)</f>
        <v>#N/A</v>
      </c>
      <c r="F354" s="140" t="e">
        <f>VLOOKUP(T354,Data!$B:$E,4,FALSE)</f>
        <v>#N/A</v>
      </c>
      <c r="G354" s="140" t="e">
        <f>VLOOKUP(U354,Data!$B:$E,4,FALSE)</f>
        <v>#N/A</v>
      </c>
      <c r="H354" s="140" t="e">
        <f>VLOOKUP(V354,Data!$B:$E,4,FALSE)</f>
        <v>#N/A</v>
      </c>
      <c r="I354" s="141" t="e">
        <f>VLOOKUP(W354,Data!$B:$E,4,FALSE)</f>
        <v>#N/A</v>
      </c>
      <c r="O354" s="53" t="s">
        <v>1402</v>
      </c>
      <c r="P354" s="40" t="s">
        <v>1401</v>
      </c>
      <c r="Q354" s="84" t="s">
        <v>1403</v>
      </c>
      <c r="R354" s="84" t="s">
        <v>1404</v>
      </c>
      <c r="S354" s="84" t="s">
        <v>1405</v>
      </c>
      <c r="T354" s="84" t="s">
        <v>1406</v>
      </c>
      <c r="U354" s="84" t="s">
        <v>1407</v>
      </c>
      <c r="V354" s="84" t="s">
        <v>1408</v>
      </c>
      <c r="W354" s="57" t="s">
        <v>1409</v>
      </c>
    </row>
    <row r="355">
      <c r="A355" s="158" t="str">
        <f>Translation!A362</f>
        <v>ALUGUÉIS E IMPOSTOS</v>
      </c>
      <c r="B355" s="144" t="s">
        <v>1410</v>
      </c>
      <c r="C355" s="140" t="e">
        <f>VLOOKUP(Q355,Data!$B:$E,4,FALSE)</f>
        <v>#N/A</v>
      </c>
      <c r="D355" s="140" t="e">
        <f>VLOOKUP(R355,Data!$B:$E,4,FALSE)</f>
        <v>#N/A</v>
      </c>
      <c r="E355" s="140" t="e">
        <f>VLOOKUP(S355,Data!$B:$E,4,FALSE)</f>
        <v>#N/A</v>
      </c>
      <c r="F355" s="140" t="e">
        <f>VLOOKUP(T355,Data!$B:$E,4,FALSE)</f>
        <v>#N/A</v>
      </c>
      <c r="G355" s="140" t="e">
        <f>VLOOKUP(U355,Data!$B:$E,4,FALSE)</f>
        <v>#N/A</v>
      </c>
      <c r="H355" s="140" t="e">
        <f>VLOOKUP(V355,Data!$B:$E,4,FALSE)</f>
        <v>#N/A</v>
      </c>
      <c r="I355" s="141" t="e">
        <f>VLOOKUP(W355,Data!$B:$E,4,FALSE)</f>
        <v>#N/A</v>
      </c>
      <c r="O355" s="53" t="s">
        <v>1411</v>
      </c>
      <c r="P355" s="40" t="s">
        <v>1410</v>
      </c>
      <c r="Q355" s="84" t="s">
        <v>1412</v>
      </c>
      <c r="R355" s="84" t="s">
        <v>1413</v>
      </c>
      <c r="S355" s="84" t="s">
        <v>1414</v>
      </c>
      <c r="T355" s="84" t="s">
        <v>1415</v>
      </c>
      <c r="U355" s="84" t="s">
        <v>1416</v>
      </c>
      <c r="V355" s="84" t="s">
        <v>1417</v>
      </c>
      <c r="W355" s="57" t="s">
        <v>1418</v>
      </c>
    </row>
    <row r="356">
      <c r="A356" s="158" t="str">
        <f>Translation!A363</f>
        <v>CONSERVAÇÃO DE PRÉDIOS, MÁQUINAS E MÓVEIS </v>
      </c>
      <c r="B356" s="144" t="s">
        <v>1419</v>
      </c>
      <c r="C356" s="140" t="e">
        <f>VLOOKUP(Q356,Data!$B:$E,4,FALSE)</f>
        <v>#N/A</v>
      </c>
      <c r="D356" s="140" t="e">
        <f>VLOOKUP(R356,Data!$B:$E,4,FALSE)</f>
        <v>#N/A</v>
      </c>
      <c r="E356" s="140" t="e">
        <f>VLOOKUP(S356,Data!$B:$E,4,FALSE)</f>
        <v>#N/A</v>
      </c>
      <c r="F356" s="140" t="e">
        <f>VLOOKUP(T356,Data!$B:$E,4,FALSE)</f>
        <v>#N/A</v>
      </c>
      <c r="G356" s="140" t="e">
        <f>VLOOKUP(U356,Data!$B:$E,4,FALSE)</f>
        <v>#N/A</v>
      </c>
      <c r="H356" s="140" t="e">
        <f>VLOOKUP(V356,Data!$B:$E,4,FALSE)</f>
        <v>#N/A</v>
      </c>
      <c r="I356" s="141" t="e">
        <f>VLOOKUP(W356,Data!$B:$E,4,FALSE)</f>
        <v>#N/A</v>
      </c>
      <c r="O356" s="53" t="s">
        <v>1420</v>
      </c>
      <c r="P356" s="40" t="s">
        <v>1419</v>
      </c>
      <c r="Q356" s="84" t="s">
        <v>1421</v>
      </c>
      <c r="R356" s="84" t="s">
        <v>1422</v>
      </c>
      <c r="S356" s="84" t="s">
        <v>1423</v>
      </c>
      <c r="T356" s="84" t="s">
        <v>1424</v>
      </c>
      <c r="U356" s="84" t="s">
        <v>1425</v>
      </c>
      <c r="V356" s="84" t="s">
        <v>1426</v>
      </c>
      <c r="W356" s="57" t="s">
        <v>1427</v>
      </c>
    </row>
    <row r="357">
      <c r="A357" s="158" t="str">
        <f>Translation!A364</f>
        <v>VIGILÂNCIA PATRIMONIAL</v>
      </c>
      <c r="B357" s="144" t="s">
        <v>1428</v>
      </c>
      <c r="C357" s="140" t="e">
        <f>VLOOKUP(Q357,Data!$B:$E,4,FALSE)</f>
        <v>#N/A</v>
      </c>
      <c r="D357" s="140" t="e">
        <f>VLOOKUP(R357,Data!$B:$E,4,FALSE)</f>
        <v>#N/A</v>
      </c>
      <c r="E357" s="140" t="e">
        <f>VLOOKUP(S357,Data!$B:$E,4,FALSE)</f>
        <v>#N/A</v>
      </c>
      <c r="F357" s="140" t="e">
        <f>VLOOKUP(T357,Data!$B:$E,4,FALSE)</f>
        <v>#N/A</v>
      </c>
      <c r="G357" s="140" t="e">
        <f>VLOOKUP(U357,Data!$B:$E,4,FALSE)</f>
        <v>#N/A</v>
      </c>
      <c r="H357" s="140" t="e">
        <f>VLOOKUP(V357,Data!$B:$E,4,FALSE)</f>
        <v>#N/A</v>
      </c>
      <c r="I357" s="141" t="e">
        <f>VLOOKUP(W357,Data!$B:$E,4,FALSE)</f>
        <v>#N/A</v>
      </c>
      <c r="O357" s="53" t="s">
        <v>1429</v>
      </c>
      <c r="P357" s="40" t="s">
        <v>1428</v>
      </c>
      <c r="Q357" s="84" t="s">
        <v>1430</v>
      </c>
      <c r="R357" s="84" t="s">
        <v>1431</v>
      </c>
      <c r="S357" s="84" t="s">
        <v>1432</v>
      </c>
      <c r="T357" s="84" t="s">
        <v>1433</v>
      </c>
      <c r="U357" s="84" t="s">
        <v>1434</v>
      </c>
      <c r="V357" s="84" t="s">
        <v>1435</v>
      </c>
      <c r="W357" s="57" t="s">
        <v>1436</v>
      </c>
    </row>
    <row r="358">
      <c r="A358" s="158" t="str">
        <f>Translation!A365</f>
        <v>DEPRECIAÇÕES E AMORTIZAÇÕES</v>
      </c>
      <c r="B358" s="144" t="s">
        <v>1437</v>
      </c>
      <c r="C358" s="140" t="e">
        <f>VLOOKUP(Q358,Data!$B:$E,4,FALSE)</f>
        <v>#N/A</v>
      </c>
      <c r="D358" s="140" t="e">
        <f>VLOOKUP(R358,Data!$B:$E,4,FALSE)</f>
        <v>#N/A</v>
      </c>
      <c r="E358" s="140" t="e">
        <f>VLOOKUP(S358,Data!$B:$E,4,FALSE)</f>
        <v>#N/A</v>
      </c>
      <c r="F358" s="140" t="e">
        <f>VLOOKUP(T358,Data!$B:$E,4,FALSE)</f>
        <v>#N/A</v>
      </c>
      <c r="G358" s="140" t="e">
        <f>VLOOKUP(U358,Data!$B:$E,4,FALSE)</f>
        <v>#N/A</v>
      </c>
      <c r="H358" s="140" t="e">
        <f>VLOOKUP(V358,Data!$B:$E,4,FALSE)</f>
        <v>#N/A</v>
      </c>
      <c r="I358" s="141" t="e">
        <f>VLOOKUP(W358,Data!$B:$E,4,FALSE)</f>
        <v>#N/A</v>
      </c>
      <c r="O358" s="53" t="s">
        <v>1438</v>
      </c>
      <c r="P358" s="40" t="s">
        <v>1437</v>
      </c>
      <c r="Q358" s="84" t="s">
        <v>1439</v>
      </c>
      <c r="R358" s="84" t="s">
        <v>1440</v>
      </c>
      <c r="S358" s="84" t="s">
        <v>1441</v>
      </c>
      <c r="T358" s="84" t="s">
        <v>1442</v>
      </c>
      <c r="U358" s="84" t="s">
        <v>1443</v>
      </c>
      <c r="V358" s="84" t="s">
        <v>1444</v>
      </c>
      <c r="W358" s="57" t="s">
        <v>1445</v>
      </c>
    </row>
    <row r="359">
      <c r="A359" s="158" t="str">
        <f>Translation!A366</f>
        <v>SEGUROS</v>
      </c>
      <c r="B359" s="144" t="s">
        <v>1446</v>
      </c>
      <c r="C359" s="140" t="e">
        <f>VLOOKUP(Q359,Data!$B:$E,4,FALSE)</f>
        <v>#N/A</v>
      </c>
      <c r="D359" s="140" t="e">
        <f>VLOOKUP(R359,Data!$B:$E,4,FALSE)</f>
        <v>#N/A</v>
      </c>
      <c r="E359" s="140" t="e">
        <f>VLOOKUP(S359,Data!$B:$E,4,FALSE)</f>
        <v>#N/A</v>
      </c>
      <c r="F359" s="140" t="e">
        <f>VLOOKUP(T359,Data!$B:$E,4,FALSE)</f>
        <v>#N/A</v>
      </c>
      <c r="G359" s="140" t="e">
        <f>VLOOKUP(U359,Data!$B:$E,4,FALSE)</f>
        <v>#N/A</v>
      </c>
      <c r="H359" s="140" t="e">
        <f>VLOOKUP(V359,Data!$B:$E,4,FALSE)</f>
        <v>#N/A</v>
      </c>
      <c r="I359" s="141" t="e">
        <f>VLOOKUP(W359,Data!$B:$E,4,FALSE)</f>
        <v>#N/A</v>
      </c>
      <c r="O359" s="53" t="s">
        <v>1447</v>
      </c>
      <c r="P359" s="40" t="s">
        <v>1446</v>
      </c>
      <c r="Q359" s="84" t="s">
        <v>1448</v>
      </c>
      <c r="R359" s="84" t="s">
        <v>1449</v>
      </c>
      <c r="S359" s="84" t="s">
        <v>1450</v>
      </c>
      <c r="T359" s="84" t="s">
        <v>1451</v>
      </c>
      <c r="U359" s="84" t="s">
        <v>1452</v>
      </c>
      <c r="V359" s="84" t="s">
        <v>1453</v>
      </c>
      <c r="W359" s="57" t="s">
        <v>1454</v>
      </c>
    </row>
    <row r="360">
      <c r="A360" s="158" t="str">
        <f>Translation!A367</f>
        <v>OUTROS GASTOS COM ESTRUTURA</v>
      </c>
      <c r="B360" s="144" t="s">
        <v>1455</v>
      </c>
      <c r="C360" s="140" t="e">
        <f>VLOOKUP(Q360,Data!$B:$E,4,FALSE)</f>
        <v>#N/A</v>
      </c>
      <c r="D360" s="140" t="e">
        <f>VLOOKUP(R360,Data!$B:$E,4,FALSE)</f>
        <v>#N/A</v>
      </c>
      <c r="E360" s="140" t="e">
        <f>VLOOKUP(S360,Data!$B:$E,4,FALSE)</f>
        <v>#N/A</v>
      </c>
      <c r="F360" s="140" t="e">
        <f>VLOOKUP(T360,Data!$B:$E,4,FALSE)</f>
        <v>#N/A</v>
      </c>
      <c r="G360" s="140" t="e">
        <f>VLOOKUP(U360,Data!$B:$E,4,FALSE)</f>
        <v>#N/A</v>
      </c>
      <c r="H360" s="140" t="e">
        <f>VLOOKUP(V360,Data!$B:$E,4,FALSE)</f>
        <v>#N/A</v>
      </c>
      <c r="I360" s="141" t="e">
        <f>VLOOKUP(W360,Data!$B:$E,4,FALSE)</f>
        <v>#N/A</v>
      </c>
      <c r="O360" s="53" t="s">
        <v>1456</v>
      </c>
      <c r="P360" s="40" t="s">
        <v>1455</v>
      </c>
      <c r="Q360" s="84" t="s">
        <v>1457</v>
      </c>
      <c r="R360" s="84" t="s">
        <v>1458</v>
      </c>
      <c r="S360" s="84" t="s">
        <v>1459</v>
      </c>
      <c r="T360" s="84" t="s">
        <v>1460</v>
      </c>
      <c r="U360" s="84" t="s">
        <v>1461</v>
      </c>
      <c r="V360" s="84" t="s">
        <v>1462</v>
      </c>
      <c r="W360" s="57" t="s">
        <v>1463</v>
      </c>
    </row>
    <row r="361">
      <c r="A361" s="159" t="str">
        <f>Translation!A368</f>
        <v>TOTAL DE DESPESAS COM ESTRUTURA - IMÓVEIS (B)</v>
      </c>
      <c r="B361" s="144" t="s">
        <v>1464</v>
      </c>
      <c r="C361" s="141" t="e">
        <f>VLOOKUP(Q361,Data!$B:$E,4,FALSE)</f>
        <v>#N/A</v>
      </c>
      <c r="D361" s="141" t="e">
        <f>VLOOKUP(R361,Data!$B:$E,4,FALSE)</f>
        <v>#N/A</v>
      </c>
      <c r="E361" s="141" t="e">
        <f>VLOOKUP(S361,Data!$B:$E,4,FALSE)</f>
        <v>#N/A</v>
      </c>
      <c r="F361" s="141" t="e">
        <f>VLOOKUP(T361,Data!$B:$E,4,FALSE)</f>
        <v>#N/A</v>
      </c>
      <c r="G361" s="141" t="e">
        <f>VLOOKUP(U361,Data!$B:$E,4,FALSE)</f>
        <v>#N/A</v>
      </c>
      <c r="H361" s="141" t="e">
        <f>VLOOKUP(V361,Data!$B:$E,4,FALSE)</f>
        <v>#N/A</v>
      </c>
      <c r="I361" s="141" t="e">
        <f>VLOOKUP(W361,Data!$B:$E,4,FALSE)</f>
        <v>#N/A</v>
      </c>
      <c r="O361" s="54" t="s">
        <v>711</v>
      </c>
      <c r="P361" s="40" t="s">
        <v>1464</v>
      </c>
      <c r="Q361" s="57" t="s">
        <v>1465</v>
      </c>
      <c r="R361" s="57" t="s">
        <v>1466</v>
      </c>
      <c r="S361" s="57" t="s">
        <v>1467</v>
      </c>
      <c r="T361" s="57" t="s">
        <v>1468</v>
      </c>
      <c r="U361" s="57" t="s">
        <v>1469</v>
      </c>
      <c r="V361" s="57" t="s">
        <v>1470</v>
      </c>
      <c r="W361" s="57" t="s">
        <v>1471</v>
      </c>
    </row>
    <row r="362">
      <c r="A362" s="157" t="str">
        <f>Translation!A369</f>
        <v>ADVOGADO </v>
      </c>
      <c r="B362" s="144" t="s">
        <v>1472</v>
      </c>
      <c r="C362" s="140" t="e">
        <f>VLOOKUP(Q362,Data!$B:$E,4,FALSE)</f>
        <v>#N/A</v>
      </c>
      <c r="D362" s="140" t="e">
        <f>VLOOKUP(R362,Data!$B:$E,4,FALSE)</f>
        <v>#N/A</v>
      </c>
      <c r="E362" s="140" t="e">
        <f>VLOOKUP(S362,Data!$B:$E,4,FALSE)</f>
        <v>#N/A</v>
      </c>
      <c r="F362" s="140" t="e">
        <f>VLOOKUP(T362,Data!$B:$E,4,FALSE)</f>
        <v>#N/A</v>
      </c>
      <c r="G362" s="140" t="e">
        <f>VLOOKUP(U362,Data!$B:$E,4,FALSE)</f>
        <v>#N/A</v>
      </c>
      <c r="H362" s="140" t="e">
        <f>VLOOKUP(V362,Data!$B:$E,4,FALSE)</f>
        <v>#N/A</v>
      </c>
      <c r="I362" s="141" t="e">
        <f>VLOOKUP(W362,Data!$B:$E,4,FALSE)</f>
        <v>#N/A</v>
      </c>
      <c r="O362" s="52" t="s">
        <v>1473</v>
      </c>
      <c r="P362" s="40" t="s">
        <v>1472</v>
      </c>
      <c r="Q362" s="84" t="s">
        <v>1474</v>
      </c>
      <c r="R362" s="84" t="s">
        <v>1475</v>
      </c>
      <c r="S362" s="84" t="s">
        <v>1476</v>
      </c>
      <c r="T362" s="84" t="s">
        <v>1477</v>
      </c>
      <c r="U362" s="84" t="s">
        <v>1478</v>
      </c>
      <c r="V362" s="84" t="s">
        <v>1479</v>
      </c>
      <c r="W362" s="57" t="s">
        <v>1480</v>
      </c>
    </row>
    <row r="363">
      <c r="A363" s="157" t="str">
        <f>Translation!A370</f>
        <v>CONTADOR</v>
      </c>
      <c r="B363" s="144" t="s">
        <v>1481</v>
      </c>
      <c r="C363" s="140" t="e">
        <f>VLOOKUP(Q363,Data!$B:$E,4,FALSE)</f>
        <v>#N/A</v>
      </c>
      <c r="D363" s="140" t="e">
        <f>VLOOKUP(R363,Data!$B:$E,4,FALSE)</f>
        <v>#N/A</v>
      </c>
      <c r="E363" s="140" t="e">
        <f>VLOOKUP(S363,Data!$B:$E,4,FALSE)</f>
        <v>#N/A</v>
      </c>
      <c r="F363" s="140" t="e">
        <f>VLOOKUP(T363,Data!$B:$E,4,FALSE)</f>
        <v>#N/A</v>
      </c>
      <c r="G363" s="140" t="e">
        <f>VLOOKUP(U363,Data!$B:$E,4,FALSE)</f>
        <v>#N/A</v>
      </c>
      <c r="H363" s="140" t="e">
        <f>VLOOKUP(V363,Data!$B:$E,4,FALSE)</f>
        <v>#N/A</v>
      </c>
      <c r="I363" s="141" t="e">
        <f>VLOOKUP(W363,Data!$B:$E,4,FALSE)</f>
        <v>#N/A</v>
      </c>
      <c r="O363" s="52" t="s">
        <v>1482</v>
      </c>
      <c r="P363" s="40" t="s">
        <v>1481</v>
      </c>
      <c r="Q363" s="84" t="s">
        <v>1483</v>
      </c>
      <c r="R363" s="84" t="s">
        <v>1484</v>
      </c>
      <c r="S363" s="84" t="s">
        <v>1485</v>
      </c>
      <c r="T363" s="84" t="s">
        <v>1486</v>
      </c>
      <c r="U363" s="84" t="s">
        <v>1487</v>
      </c>
      <c r="V363" s="84" t="s">
        <v>1488</v>
      </c>
      <c r="W363" s="57" t="s">
        <v>1489</v>
      </c>
    </row>
    <row r="364">
      <c r="A364" s="157" t="str">
        <f>Translation!A371</f>
        <v>DESPESAS LEGAIS</v>
      </c>
      <c r="B364" s="144" t="s">
        <v>1490</v>
      </c>
      <c r="C364" s="140" t="e">
        <f>VLOOKUP(Q364,Data!$B:$E,4,FALSE)</f>
        <v>#N/A</v>
      </c>
      <c r="D364" s="140" t="e">
        <f>VLOOKUP(R364,Data!$B:$E,4,FALSE)</f>
        <v>#N/A</v>
      </c>
      <c r="E364" s="140" t="e">
        <f>VLOOKUP(S364,Data!$B:$E,4,FALSE)</f>
        <v>#N/A</v>
      </c>
      <c r="F364" s="140" t="e">
        <f>VLOOKUP(T364,Data!$B:$E,4,FALSE)</f>
        <v>#N/A</v>
      </c>
      <c r="G364" s="140" t="e">
        <f>VLOOKUP(U364,Data!$B:$E,4,FALSE)</f>
        <v>#N/A</v>
      </c>
      <c r="H364" s="140" t="e">
        <f>VLOOKUP(V364,Data!$B:$E,4,FALSE)</f>
        <v>#N/A</v>
      </c>
      <c r="I364" s="141" t="e">
        <f>VLOOKUP(W364,Data!$B:$E,4,FALSE)</f>
        <v>#N/A</v>
      </c>
      <c r="O364" s="52" t="s">
        <v>1491</v>
      </c>
      <c r="P364" s="40" t="s">
        <v>1490</v>
      </c>
      <c r="Q364" s="84" t="s">
        <v>1492</v>
      </c>
      <c r="R364" s="84" t="s">
        <v>1493</v>
      </c>
      <c r="S364" s="84" t="s">
        <v>1494</v>
      </c>
      <c r="T364" s="84" t="s">
        <v>1495</v>
      </c>
      <c r="U364" s="84" t="s">
        <v>1496</v>
      </c>
      <c r="V364" s="84" t="s">
        <v>1497</v>
      </c>
      <c r="W364" s="57" t="s">
        <v>1498</v>
      </c>
    </row>
    <row r="365">
      <c r="A365" s="157" t="str">
        <f>Translation!A372</f>
        <v>DESPACHANTE </v>
      </c>
      <c r="B365" s="144" t="s">
        <v>1499</v>
      </c>
      <c r="C365" s="140" t="e">
        <f>VLOOKUP(Q365,Data!$B:$E,4,FALSE)</f>
        <v>#N/A</v>
      </c>
      <c r="D365" s="140" t="e">
        <f>VLOOKUP(R365,Data!$B:$E,4,FALSE)</f>
        <v>#N/A</v>
      </c>
      <c r="E365" s="140" t="e">
        <f>VLOOKUP(S365,Data!$B:$E,4,FALSE)</f>
        <v>#N/A</v>
      </c>
      <c r="F365" s="140" t="e">
        <f>VLOOKUP(T365,Data!$B:$E,4,FALSE)</f>
        <v>#N/A</v>
      </c>
      <c r="G365" s="140" t="e">
        <f>VLOOKUP(U365,Data!$B:$E,4,FALSE)</f>
        <v>#N/A</v>
      </c>
      <c r="H365" s="140" t="e">
        <f>VLOOKUP(V365,Data!$B:$E,4,FALSE)</f>
        <v>#N/A</v>
      </c>
      <c r="I365" s="141" t="e">
        <f>VLOOKUP(W365,Data!$B:$E,4,FALSE)</f>
        <v>#N/A</v>
      </c>
      <c r="O365" s="52" t="s">
        <v>1500</v>
      </c>
      <c r="P365" s="40" t="s">
        <v>1499</v>
      </c>
      <c r="Q365" s="84" t="s">
        <v>1501</v>
      </c>
      <c r="R365" s="84" t="s">
        <v>1502</v>
      </c>
      <c r="S365" s="84" t="s">
        <v>1503</v>
      </c>
      <c r="T365" s="84" t="s">
        <v>1504</v>
      </c>
      <c r="U365" s="84" t="s">
        <v>1505</v>
      </c>
      <c r="V365" s="84" t="s">
        <v>1506</v>
      </c>
      <c r="W365" s="57" t="s">
        <v>1507</v>
      </c>
    </row>
    <row r="366">
      <c r="A366" s="157" t="str">
        <f>Translation!A373</f>
        <v>INFORMÁTICA, TELEFONE E INTERNET</v>
      </c>
      <c r="B366" s="144" t="s">
        <v>1508</v>
      </c>
      <c r="C366" s="140" t="e">
        <f>VLOOKUP(Q366,Data!$B:$E,4,FALSE)</f>
        <v>#N/A</v>
      </c>
      <c r="D366" s="140" t="e">
        <f>VLOOKUP(R366,Data!$B:$E,4,FALSE)</f>
        <v>#N/A</v>
      </c>
      <c r="E366" s="140" t="e">
        <f>VLOOKUP(S366,Data!$B:$E,4,FALSE)</f>
        <v>#N/A</v>
      </c>
      <c r="F366" s="140" t="e">
        <f>VLOOKUP(T366,Data!$B:$E,4,FALSE)</f>
        <v>#N/A</v>
      </c>
      <c r="G366" s="140" t="e">
        <f>VLOOKUP(U366,Data!$B:$E,4,FALSE)</f>
        <v>#N/A</v>
      </c>
      <c r="H366" s="140" t="e">
        <f>VLOOKUP(V366,Data!$B:$E,4,FALSE)</f>
        <v>#N/A</v>
      </c>
      <c r="I366" s="141" t="e">
        <f>VLOOKUP(W366,Data!$B:$E,4,FALSE)</f>
        <v>#N/A</v>
      </c>
      <c r="O366" s="52" t="s">
        <v>1509</v>
      </c>
      <c r="P366" s="40" t="s">
        <v>1508</v>
      </c>
      <c r="Q366" s="84" t="s">
        <v>1510</v>
      </c>
      <c r="R366" s="84" t="s">
        <v>1511</v>
      </c>
      <c r="S366" s="84" t="s">
        <v>1512</v>
      </c>
      <c r="T366" s="84" t="s">
        <v>1513</v>
      </c>
      <c r="U366" s="84" t="s">
        <v>1514</v>
      </c>
      <c r="V366" s="84" t="s">
        <v>1515</v>
      </c>
      <c r="W366" s="57" t="s">
        <v>1516</v>
      </c>
    </row>
    <row r="367">
      <c r="A367" s="157" t="str">
        <f>Translation!A374</f>
        <v>MATERIAIS DE CONSUMO</v>
      </c>
      <c r="B367" s="144" t="s">
        <v>1517</v>
      </c>
      <c r="C367" s="140" t="e">
        <f>VLOOKUP(Q367,Data!$B:$E,4,FALSE)</f>
        <v>#N/A</v>
      </c>
      <c r="D367" s="140" t="e">
        <f>VLOOKUP(R367,Data!$B:$E,4,FALSE)</f>
        <v>#N/A</v>
      </c>
      <c r="E367" s="140" t="e">
        <f>VLOOKUP(S367,Data!$B:$E,4,FALSE)</f>
        <v>#N/A</v>
      </c>
      <c r="F367" s="140" t="e">
        <f>VLOOKUP(T367,Data!$B:$E,4,FALSE)</f>
        <v>#N/A</v>
      </c>
      <c r="G367" s="140" t="e">
        <f>VLOOKUP(U367,Data!$B:$E,4,FALSE)</f>
        <v>#N/A</v>
      </c>
      <c r="H367" s="140" t="e">
        <f>VLOOKUP(V367,Data!$B:$E,4,FALSE)</f>
        <v>#N/A</v>
      </c>
      <c r="I367" s="141" t="e">
        <f>VLOOKUP(W367,Data!$B:$E,4,FALSE)</f>
        <v>#N/A</v>
      </c>
      <c r="O367" s="52" t="s">
        <v>1518</v>
      </c>
      <c r="P367" s="40" t="s">
        <v>1517</v>
      </c>
      <c r="Q367" s="84" t="s">
        <v>1519</v>
      </c>
      <c r="R367" s="84" t="s">
        <v>1520</v>
      </c>
      <c r="S367" s="84" t="s">
        <v>1521</v>
      </c>
      <c r="T367" s="84" t="s">
        <v>1522</v>
      </c>
      <c r="U367" s="84" t="s">
        <v>1523</v>
      </c>
      <c r="V367" s="84" t="s">
        <v>1524</v>
      </c>
      <c r="W367" s="57" t="s">
        <v>1525</v>
      </c>
    </row>
    <row r="368">
      <c r="A368" s="157" t="str">
        <f>Translation!A375</f>
        <v>MULTAS</v>
      </c>
      <c r="B368" s="144" t="s">
        <v>1526</v>
      </c>
      <c r="C368" s="140" t="e">
        <f>VLOOKUP(Q368,Data!$B:$E,4,FALSE)</f>
        <v>#N/A</v>
      </c>
      <c r="D368" s="140" t="e">
        <f>VLOOKUP(R368,Data!$B:$E,4,FALSE)</f>
        <v>#N/A</v>
      </c>
      <c r="E368" s="140" t="e">
        <f>VLOOKUP(S368,Data!$B:$E,4,FALSE)</f>
        <v>#N/A</v>
      </c>
      <c r="F368" s="140" t="e">
        <f>VLOOKUP(T368,Data!$B:$E,4,FALSE)</f>
        <v>#N/A</v>
      </c>
      <c r="G368" s="140" t="e">
        <f>VLOOKUP(U368,Data!$B:$E,4,FALSE)</f>
        <v>#N/A</v>
      </c>
      <c r="H368" s="140" t="e">
        <f>VLOOKUP(V368,Data!$B:$E,4,FALSE)</f>
        <v>#N/A</v>
      </c>
      <c r="I368" s="141" t="e">
        <f>VLOOKUP(W368,Data!$B:$E,4,FALSE)</f>
        <v>#N/A</v>
      </c>
      <c r="O368" s="52" t="s">
        <v>1527</v>
      </c>
      <c r="P368" s="40" t="s">
        <v>1526</v>
      </c>
      <c r="Q368" s="84" t="s">
        <v>1528</v>
      </c>
      <c r="R368" s="84" t="s">
        <v>1529</v>
      </c>
      <c r="S368" s="84" t="s">
        <v>1530</v>
      </c>
      <c r="T368" s="84" t="s">
        <v>1531</v>
      </c>
      <c r="U368" s="84" t="s">
        <v>1532</v>
      </c>
      <c r="V368" s="84" t="s">
        <v>1533</v>
      </c>
      <c r="W368" s="57" t="s">
        <v>1534</v>
      </c>
    </row>
    <row r="369">
      <c r="A369" s="157" t="str">
        <f>Translation!A376</f>
        <v>FRETES</v>
      </c>
      <c r="B369" s="144" t="s">
        <v>1535</v>
      </c>
      <c r="C369" s="140" t="e">
        <f>VLOOKUP(Q369,Data!$B:$E,4,FALSE)</f>
        <v>#N/A</v>
      </c>
      <c r="D369" s="140" t="e">
        <f>VLOOKUP(R369,Data!$B:$E,4,FALSE)</f>
        <v>#N/A</v>
      </c>
      <c r="E369" s="140" t="e">
        <f>VLOOKUP(S369,Data!$B:$E,4,FALSE)</f>
        <v>#N/A</v>
      </c>
      <c r="F369" s="140" t="e">
        <f>VLOOKUP(T369,Data!$B:$E,4,FALSE)</f>
        <v>#N/A</v>
      </c>
      <c r="G369" s="140" t="e">
        <f>VLOOKUP(U369,Data!$B:$E,4,FALSE)</f>
        <v>#N/A</v>
      </c>
      <c r="H369" s="140" t="e">
        <f>VLOOKUP(V369,Data!$B:$E,4,FALSE)</f>
        <v>#N/A</v>
      </c>
      <c r="I369" s="141" t="e">
        <f>VLOOKUP(W369,Data!$B:$E,4,FALSE)</f>
        <v>#N/A</v>
      </c>
      <c r="O369" s="52" t="s">
        <v>1536</v>
      </c>
      <c r="P369" s="40" t="s">
        <v>1535</v>
      </c>
      <c r="Q369" s="84" t="s">
        <v>1537</v>
      </c>
      <c r="R369" s="84" t="s">
        <v>1538</v>
      </c>
      <c r="S369" s="84" t="s">
        <v>1539</v>
      </c>
      <c r="T369" s="84" t="s">
        <v>1540</v>
      </c>
      <c r="U369" s="84" t="s">
        <v>1541</v>
      </c>
      <c r="V369" s="84" t="s">
        <v>1542</v>
      </c>
      <c r="W369" s="57" t="s">
        <v>1543</v>
      </c>
    </row>
    <row r="370">
      <c r="A370" s="157" t="str">
        <f>Translation!A377</f>
        <v>PROPAGANDA E PROMOÇÃO</v>
      </c>
      <c r="B370" s="144" t="s">
        <v>1544</v>
      </c>
      <c r="C370" s="140" t="e">
        <f>VLOOKUP(Q370,Data!$B:$E,4,FALSE)</f>
        <v>#N/A</v>
      </c>
      <c r="D370" s="140" t="e">
        <f>VLOOKUP(R370,Data!$B:$E,4,FALSE)</f>
        <v>#N/A</v>
      </c>
      <c r="E370" s="140" t="e">
        <f>VLOOKUP(S370,Data!$B:$E,4,FALSE)</f>
        <v>#N/A</v>
      </c>
      <c r="F370" s="140" t="e">
        <f>VLOOKUP(T370,Data!$B:$E,4,FALSE)</f>
        <v>#N/A</v>
      </c>
      <c r="G370" s="140" t="e">
        <f>VLOOKUP(U370,Data!$B:$E,4,FALSE)</f>
        <v>#N/A</v>
      </c>
      <c r="H370" s="140" t="e">
        <f>VLOOKUP(V370,Data!$B:$E,4,FALSE)</f>
        <v>#N/A</v>
      </c>
      <c r="I370" s="141" t="e">
        <f>VLOOKUP(W370,Data!$B:$E,4,FALSE)</f>
        <v>#N/A</v>
      </c>
      <c r="O370" s="52" t="s">
        <v>1545</v>
      </c>
      <c r="P370" s="40" t="s">
        <v>1544</v>
      </c>
      <c r="Q370" s="84" t="s">
        <v>1546</v>
      </c>
      <c r="R370" s="84" t="s">
        <v>1547</v>
      </c>
      <c r="S370" s="84" t="s">
        <v>1548</v>
      </c>
      <c r="T370" s="84" t="s">
        <v>1549</v>
      </c>
      <c r="U370" s="84" t="s">
        <v>1550</v>
      </c>
      <c r="V370" s="84" t="s">
        <v>1551</v>
      </c>
      <c r="W370" s="57" t="s">
        <v>1552</v>
      </c>
    </row>
    <row r="371">
      <c r="A371" s="157" t="str">
        <f>Translation!A378</f>
        <v>IMPOSTOS, TAXAS E CONTRIBUIÇÕES(EXCETO IRPJ E CSLL)</v>
      </c>
      <c r="B371" s="144" t="s">
        <v>1553</v>
      </c>
      <c r="C371" s="140" t="e">
        <f>VLOOKUP(Q371,Data!$B:$E,4,FALSE)</f>
        <v>#N/A</v>
      </c>
      <c r="D371" s="140" t="e">
        <f>VLOOKUP(R371,Data!$B:$E,4,FALSE)</f>
        <v>#N/A</v>
      </c>
      <c r="E371" s="140" t="e">
        <f>VLOOKUP(S371,Data!$B:$E,4,FALSE)</f>
        <v>#N/A</v>
      </c>
      <c r="F371" s="140" t="e">
        <f>VLOOKUP(T371,Data!$B:$E,4,FALSE)</f>
        <v>#N/A</v>
      </c>
      <c r="G371" s="140" t="e">
        <f>VLOOKUP(U371,Data!$B:$E,4,FALSE)</f>
        <v>#N/A</v>
      </c>
      <c r="H371" s="140" t="e">
        <f>VLOOKUP(V371,Data!$B:$E,4,FALSE)</f>
        <v>#N/A</v>
      </c>
      <c r="I371" s="141" t="e">
        <f>VLOOKUP(W371,Data!$B:$E,4,FALSE)</f>
        <v>#N/A</v>
      </c>
      <c r="O371" s="52" t="s">
        <v>1554</v>
      </c>
      <c r="P371" s="40" t="s">
        <v>1553</v>
      </c>
      <c r="Q371" s="84" t="s">
        <v>1555</v>
      </c>
      <c r="R371" s="84" t="s">
        <v>1556</v>
      </c>
      <c r="S371" s="84" t="s">
        <v>1557</v>
      </c>
      <c r="T371" s="84" t="s">
        <v>1558</v>
      </c>
      <c r="U371" s="84" t="s">
        <v>1559</v>
      </c>
      <c r="V371" s="84" t="s">
        <v>1560</v>
      </c>
      <c r="W371" s="57" t="s">
        <v>1561</v>
      </c>
    </row>
    <row r="372">
      <c r="A372" s="157" t="str">
        <f>Translation!A379</f>
        <v>SEGUROS DE VEÍCULOS</v>
      </c>
      <c r="B372" s="144" t="s">
        <v>1562</v>
      </c>
      <c r="C372" s="140" t="e">
        <f>VLOOKUP(Q372,Data!$B:$E,4,FALSE)</f>
        <v>#N/A</v>
      </c>
      <c r="D372" s="140" t="e">
        <f>VLOOKUP(R372,Data!$B:$E,4,FALSE)</f>
        <v>#N/A</v>
      </c>
      <c r="E372" s="140" t="e">
        <f>VLOOKUP(S372,Data!$B:$E,4,FALSE)</f>
        <v>#N/A</v>
      </c>
      <c r="F372" s="140" t="e">
        <f>VLOOKUP(T372,Data!$B:$E,4,FALSE)</f>
        <v>#N/A</v>
      </c>
      <c r="G372" s="140" t="e">
        <f>VLOOKUP(U372,Data!$B:$E,4,FALSE)</f>
        <v>#N/A</v>
      </c>
      <c r="H372" s="140" t="e">
        <f>VLOOKUP(V372,Data!$B:$E,4,FALSE)</f>
        <v>#N/A</v>
      </c>
      <c r="I372" s="141" t="e">
        <f>VLOOKUP(W372,Data!$B:$E,4,FALSE)</f>
        <v>#N/A</v>
      </c>
      <c r="O372" s="52" t="s">
        <v>1563</v>
      </c>
      <c r="P372" s="40" t="s">
        <v>1562</v>
      </c>
      <c r="Q372" s="84" t="s">
        <v>1564</v>
      </c>
      <c r="R372" s="84" t="s">
        <v>1565</v>
      </c>
      <c r="S372" s="84" t="s">
        <v>1566</v>
      </c>
      <c r="T372" s="84" t="s">
        <v>1567</v>
      </c>
      <c r="U372" s="84" t="s">
        <v>1568</v>
      </c>
      <c r="V372" s="84" t="s">
        <v>1569</v>
      </c>
      <c r="W372" s="57" t="s">
        <v>1570</v>
      </c>
    </row>
    <row r="373">
      <c r="A373" s="157" t="str">
        <f>Translation!A380</f>
        <v>DESPESAS COM VEÍCULOS (CONSERVAÇÃO, USO E REPAROS)</v>
      </c>
      <c r="B373" s="144" t="s">
        <v>1571</v>
      </c>
      <c r="C373" s="140" t="e">
        <f>VLOOKUP(Q373,Data!$B:$E,4,FALSE)</f>
        <v>#N/A</v>
      </c>
      <c r="D373" s="140" t="e">
        <f>VLOOKUP(R373,Data!$B:$E,4,FALSE)</f>
        <v>#N/A</v>
      </c>
      <c r="E373" s="140" t="e">
        <f>VLOOKUP(S373,Data!$B:$E,4,FALSE)</f>
        <v>#N/A</v>
      </c>
      <c r="F373" s="140" t="e">
        <f>VLOOKUP(T373,Data!$B:$E,4,FALSE)</f>
        <v>#N/A</v>
      </c>
      <c r="G373" s="140" t="e">
        <f>VLOOKUP(U373,Data!$B:$E,4,FALSE)</f>
        <v>#N/A</v>
      </c>
      <c r="H373" s="140" t="e">
        <f>VLOOKUP(V373,Data!$B:$E,4,FALSE)</f>
        <v>#N/A</v>
      </c>
      <c r="I373" s="141" t="e">
        <f>VLOOKUP(W373,Data!$B:$E,4,FALSE)</f>
        <v>#N/A</v>
      </c>
      <c r="O373" s="52" t="s">
        <v>1572</v>
      </c>
      <c r="P373" s="40" t="s">
        <v>1571</v>
      </c>
      <c r="Q373" s="84" t="s">
        <v>1573</v>
      </c>
      <c r="R373" s="84" t="s">
        <v>1574</v>
      </c>
      <c r="S373" s="84" t="s">
        <v>1575</v>
      </c>
      <c r="T373" s="84" t="s">
        <v>1576</v>
      </c>
      <c r="U373" s="84" t="s">
        <v>1577</v>
      </c>
      <c r="V373" s="84" t="s">
        <v>1578</v>
      </c>
      <c r="W373" s="57" t="s">
        <v>1579</v>
      </c>
    </row>
    <row r="374">
      <c r="A374" s="157" t="str">
        <f>Translation!A381</f>
        <v>PRESTAÇÃO DE SERVIÇOS DE P.F. SEM VÍNC. EMPREGATÍCIO</v>
      </c>
      <c r="B374" s="144" t="s">
        <v>1580</v>
      </c>
      <c r="C374" s="140" t="e">
        <f>VLOOKUP(Q374,Data!$B:$E,4,FALSE)</f>
        <v>#N/A</v>
      </c>
      <c r="D374" s="140" t="e">
        <f>VLOOKUP(R374,Data!$B:$E,4,FALSE)</f>
        <v>#N/A</v>
      </c>
      <c r="E374" s="140" t="e">
        <f>VLOOKUP(S374,Data!$B:$E,4,FALSE)</f>
        <v>#N/A</v>
      </c>
      <c r="F374" s="140" t="e">
        <f>VLOOKUP(T374,Data!$B:$E,4,FALSE)</f>
        <v>#N/A</v>
      </c>
      <c r="G374" s="140" t="e">
        <f>VLOOKUP(U374,Data!$B:$E,4,FALSE)</f>
        <v>#N/A</v>
      </c>
      <c r="H374" s="140" t="e">
        <f>VLOOKUP(V374,Data!$B:$E,4,FALSE)</f>
        <v>#N/A</v>
      </c>
      <c r="I374" s="141" t="e">
        <f>VLOOKUP(W374,Data!$B:$E,4,FALSE)</f>
        <v>#N/A</v>
      </c>
      <c r="O374" s="52" t="s">
        <v>1581</v>
      </c>
      <c r="P374" s="40" t="s">
        <v>1580</v>
      </c>
      <c r="Q374" s="84" t="s">
        <v>1582</v>
      </c>
      <c r="R374" s="84" t="s">
        <v>1583</v>
      </c>
      <c r="S374" s="84" t="s">
        <v>1584</v>
      </c>
      <c r="T374" s="84" t="s">
        <v>1585</v>
      </c>
      <c r="U374" s="84" t="s">
        <v>1586</v>
      </c>
      <c r="V374" s="84" t="s">
        <v>1587</v>
      </c>
      <c r="W374" s="57" t="s">
        <v>1588</v>
      </c>
    </row>
    <row r="375">
      <c r="A375" s="157" t="str">
        <f>Translation!A382</f>
        <v>PRESTAÇÃO DE SERVIÇOS PESSOA JURÍDICA</v>
      </c>
      <c r="B375" s="144" t="s">
        <v>1589</v>
      </c>
      <c r="C375" s="140" t="e">
        <f>VLOOKUP(Q375,Data!$B:$E,4,FALSE)</f>
        <v>#N/A</v>
      </c>
      <c r="D375" s="140" t="e">
        <f>VLOOKUP(R375,Data!$B:$E,4,FALSE)</f>
        <v>#N/A</v>
      </c>
      <c r="E375" s="140" t="e">
        <f>VLOOKUP(S375,Data!$B:$E,4,FALSE)</f>
        <v>#N/A</v>
      </c>
      <c r="F375" s="140" t="e">
        <f>VLOOKUP(T375,Data!$B:$E,4,FALSE)</f>
        <v>#N/A</v>
      </c>
      <c r="G375" s="140" t="e">
        <f>VLOOKUP(U375,Data!$B:$E,4,FALSE)</f>
        <v>#N/A</v>
      </c>
      <c r="H375" s="140" t="e">
        <f>VLOOKUP(V375,Data!$B:$E,4,FALSE)</f>
        <v>#N/A</v>
      </c>
      <c r="I375" s="141" t="e">
        <f>VLOOKUP(W375,Data!$B:$E,4,FALSE)</f>
        <v>#N/A</v>
      </c>
      <c r="O375" s="52" t="s">
        <v>1590</v>
      </c>
      <c r="P375" s="40" t="s">
        <v>1589</v>
      </c>
      <c r="Q375" s="84" t="s">
        <v>1591</v>
      </c>
      <c r="R375" s="84" t="s">
        <v>1592</v>
      </c>
      <c r="S375" s="84" t="s">
        <v>1593</v>
      </c>
      <c r="T375" s="84" t="s">
        <v>1594</v>
      </c>
      <c r="U375" s="84" t="s">
        <v>1595</v>
      </c>
      <c r="V375" s="84" t="s">
        <v>1596</v>
      </c>
      <c r="W375" s="57" t="s">
        <v>1597</v>
      </c>
    </row>
    <row r="376">
      <c r="A376" s="157" t="str">
        <f>Translation!A383</f>
        <v>CORTESIAS COMERCIAIS</v>
      </c>
      <c r="B376" s="144" t="s">
        <v>1598</v>
      </c>
      <c r="C376" s="140" t="e">
        <f>VLOOKUP(Q376,Data!$B:$E,4,FALSE)</f>
        <v>#N/A</v>
      </c>
      <c r="D376" s="140" t="e">
        <f>VLOOKUP(R376,Data!$B:$E,4,FALSE)</f>
        <v>#N/A</v>
      </c>
      <c r="E376" s="140" t="e">
        <f>VLOOKUP(S376,Data!$B:$E,4,FALSE)</f>
        <v>#N/A</v>
      </c>
      <c r="F376" s="140" t="e">
        <f>VLOOKUP(T376,Data!$B:$E,4,FALSE)</f>
        <v>#N/A</v>
      </c>
      <c r="G376" s="140" t="e">
        <f>VLOOKUP(U376,Data!$B:$E,4,FALSE)</f>
        <v>#N/A</v>
      </c>
      <c r="H376" s="140" t="e">
        <f>VLOOKUP(V376,Data!$B:$E,4,FALSE)</f>
        <v>#N/A</v>
      </c>
      <c r="I376" s="141" t="e">
        <f>VLOOKUP(W376,Data!$B:$E,4,FALSE)</f>
        <v>#N/A</v>
      </c>
      <c r="O376" s="52" t="s">
        <v>1599</v>
      </c>
      <c r="P376" s="40" t="s">
        <v>1598</v>
      </c>
      <c r="Q376" s="84" t="s">
        <v>1600</v>
      </c>
      <c r="R376" s="84" t="s">
        <v>1601</v>
      </c>
      <c r="S376" s="84" t="s">
        <v>1602</v>
      </c>
      <c r="T376" s="84" t="s">
        <v>1603</v>
      </c>
      <c r="U376" s="84" t="s">
        <v>1604</v>
      </c>
      <c r="V376" s="84" t="s">
        <v>1605</v>
      </c>
      <c r="W376" s="57" t="s">
        <v>1606</v>
      </c>
    </row>
    <row r="377">
      <c r="A377" s="157" t="str">
        <f>Translation!A384</f>
        <v>CONTRIBUIÇÕES E DOAÇÕES</v>
      </c>
      <c r="B377" s="144" t="s">
        <v>1607</v>
      </c>
      <c r="C377" s="140" t="e">
        <f>VLOOKUP(Q377,Data!$B:$E,4,FALSE)</f>
        <v>#N/A</v>
      </c>
      <c r="D377" s="140" t="e">
        <f>VLOOKUP(R377,Data!$B:$E,4,FALSE)</f>
        <v>#N/A</v>
      </c>
      <c r="E377" s="140" t="e">
        <f>VLOOKUP(S377,Data!$B:$E,4,FALSE)</f>
        <v>#N/A</v>
      </c>
      <c r="F377" s="140" t="e">
        <f>VLOOKUP(T377,Data!$B:$E,4,FALSE)</f>
        <v>#N/A</v>
      </c>
      <c r="G377" s="140" t="e">
        <f>VLOOKUP(U377,Data!$B:$E,4,FALSE)</f>
        <v>#N/A</v>
      </c>
      <c r="H377" s="140" t="e">
        <f>VLOOKUP(V377,Data!$B:$E,4,FALSE)</f>
        <v>#N/A</v>
      </c>
      <c r="I377" s="141" t="e">
        <f>VLOOKUP(W377,Data!$B:$E,4,FALSE)</f>
        <v>#N/A</v>
      </c>
      <c r="O377" s="52" t="s">
        <v>1608</v>
      </c>
      <c r="P377" s="40" t="s">
        <v>1607</v>
      </c>
      <c r="Q377" s="84" t="s">
        <v>1609</v>
      </c>
      <c r="R377" s="84" t="s">
        <v>1610</v>
      </c>
      <c r="S377" s="84" t="s">
        <v>1611</v>
      </c>
      <c r="T377" s="84" t="s">
        <v>1612</v>
      </c>
      <c r="U377" s="84" t="s">
        <v>1613</v>
      </c>
      <c r="V377" s="84" t="s">
        <v>1614</v>
      </c>
      <c r="W377" s="57" t="s">
        <v>1615</v>
      </c>
    </row>
    <row r="378">
      <c r="A378" s="157" t="str">
        <f>Translation!A385</f>
        <v>PERDAS EM OPERAÇÕES DE CRÉDITO</v>
      </c>
      <c r="B378" s="144" t="s">
        <v>1616</v>
      </c>
      <c r="C378" s="140" t="e">
        <f>VLOOKUP(Q378,Data!$B:$E,4,FALSE)</f>
        <v>#N/A</v>
      </c>
      <c r="D378" s="140" t="e">
        <f>VLOOKUP(R378,Data!$B:$E,4,FALSE)</f>
        <v>#N/A</v>
      </c>
      <c r="E378" s="140" t="e">
        <f>VLOOKUP(S378,Data!$B:$E,4,FALSE)</f>
        <v>#N/A</v>
      </c>
      <c r="F378" s="140" t="e">
        <f>VLOOKUP(T378,Data!$B:$E,4,FALSE)</f>
        <v>#N/A</v>
      </c>
      <c r="G378" s="140" t="e">
        <f>VLOOKUP(U378,Data!$B:$E,4,FALSE)</f>
        <v>#N/A</v>
      </c>
      <c r="H378" s="140" t="e">
        <f>VLOOKUP(V378,Data!$B:$E,4,FALSE)</f>
        <v>#N/A</v>
      </c>
      <c r="I378" s="141" t="e">
        <f>VLOOKUP(W378,Data!$B:$E,4,FALSE)</f>
        <v>#N/A</v>
      </c>
      <c r="O378" s="52" t="s">
        <v>1617</v>
      </c>
      <c r="P378" s="40" t="s">
        <v>1616</v>
      </c>
      <c r="Q378" s="84" t="s">
        <v>1618</v>
      </c>
      <c r="R378" s="84" t="s">
        <v>1619</v>
      </c>
      <c r="S378" s="84" t="s">
        <v>1620</v>
      </c>
      <c r="T378" s="84" t="s">
        <v>1621</v>
      </c>
      <c r="U378" s="84" t="s">
        <v>1622</v>
      </c>
      <c r="V378" s="84" t="s">
        <v>1623</v>
      </c>
      <c r="W378" s="57" t="s">
        <v>1624</v>
      </c>
    </row>
    <row r="379">
      <c r="A379" s="157" t="str">
        <f>Translation!A386</f>
        <v>PERDAS DE ESTOQUE</v>
      </c>
      <c r="B379" s="144" t="s">
        <v>1625</v>
      </c>
      <c r="C379" s="140" t="e">
        <f>VLOOKUP(Q379,Data!$B:$E,4,FALSE)</f>
        <v>#N/A</v>
      </c>
      <c r="D379" s="140" t="e">
        <f>VLOOKUP(R379,Data!$B:$E,4,FALSE)</f>
        <v>#N/A</v>
      </c>
      <c r="E379" s="140" t="e">
        <f>VLOOKUP(S379,Data!$B:$E,4,FALSE)</f>
        <v>#N/A</v>
      </c>
      <c r="F379" s="140" t="e">
        <f>VLOOKUP(T379,Data!$B:$E,4,FALSE)</f>
        <v>#N/A</v>
      </c>
      <c r="G379" s="140" t="e">
        <f>VLOOKUP(U379,Data!$B:$E,4,FALSE)</f>
        <v>#N/A</v>
      </c>
      <c r="H379" s="140" t="e">
        <f>VLOOKUP(V379,Data!$B:$E,4,FALSE)</f>
        <v>#N/A</v>
      </c>
      <c r="I379" s="141" t="e">
        <f>VLOOKUP(W379,Data!$B:$E,4,FALSE)</f>
        <v>#N/A</v>
      </c>
      <c r="O379" s="52" t="s">
        <v>1626</v>
      </c>
      <c r="P379" s="40" t="s">
        <v>1625</v>
      </c>
      <c r="Q379" s="84" t="s">
        <v>1627</v>
      </c>
      <c r="R379" s="84" t="s">
        <v>1628</v>
      </c>
      <c r="S379" s="84" t="s">
        <v>1629</v>
      </c>
      <c r="T379" s="84" t="s">
        <v>1630</v>
      </c>
      <c r="U379" s="84" t="s">
        <v>1631</v>
      </c>
      <c r="V379" s="84" t="s">
        <v>1632</v>
      </c>
      <c r="W379" s="57" t="s">
        <v>1633</v>
      </c>
    </row>
    <row r="380">
      <c r="A380" s="157" t="str">
        <f>Translation!A387</f>
        <v>OUTRAS DESPESAS GERAIS</v>
      </c>
      <c r="B380" s="144" t="s">
        <v>1634</v>
      </c>
      <c r="C380" s="140" t="e">
        <f>VLOOKUP(Q380,Data!$B:$E,4,FALSE)</f>
        <v>#N/A</v>
      </c>
      <c r="D380" s="140" t="e">
        <f>VLOOKUP(R380,Data!$B:$E,4,FALSE)</f>
        <v>#N/A</v>
      </c>
      <c r="E380" s="140" t="e">
        <f>VLOOKUP(S380,Data!$B:$E,4,FALSE)</f>
        <v>#N/A</v>
      </c>
      <c r="F380" s="140" t="e">
        <f>VLOOKUP(T380,Data!$B:$E,4,FALSE)</f>
        <v>#N/A</v>
      </c>
      <c r="G380" s="140" t="e">
        <f>VLOOKUP(U380,Data!$B:$E,4,FALSE)</f>
        <v>#N/A</v>
      </c>
      <c r="H380" s="140" t="e">
        <f>VLOOKUP(V380,Data!$B:$E,4,FALSE)</f>
        <v>#N/A</v>
      </c>
      <c r="I380" s="141" t="e">
        <f>VLOOKUP(W380,Data!$B:$E,4,FALSE)</f>
        <v>#N/A</v>
      </c>
      <c r="O380" s="52" t="s">
        <v>1635</v>
      </c>
      <c r="P380" s="40" t="s">
        <v>1634</v>
      </c>
      <c r="Q380" s="84" t="s">
        <v>1636</v>
      </c>
      <c r="R380" s="84" t="s">
        <v>1637</v>
      </c>
      <c r="S380" s="84" t="s">
        <v>1638</v>
      </c>
      <c r="T380" s="84" t="s">
        <v>1639</v>
      </c>
      <c r="U380" s="84" t="s">
        <v>1640</v>
      </c>
      <c r="V380" s="84" t="s">
        <v>1641</v>
      </c>
      <c r="W380" s="57" t="s">
        <v>1642</v>
      </c>
    </row>
    <row r="381">
      <c r="A381" s="159" t="str">
        <f>Translation!A388</f>
        <v>TOTAL DE DESPESAS GERAIS (C)</v>
      </c>
      <c r="B381" s="144" t="s">
        <v>1643</v>
      </c>
      <c r="C381" s="141" t="e">
        <f>VLOOKUP(Q381,Data!$B:$E,4,FALSE)</f>
        <v>#N/A</v>
      </c>
      <c r="D381" s="141" t="e">
        <f>VLOOKUP(R381,Data!$B:$E,4,FALSE)</f>
        <v>#N/A</v>
      </c>
      <c r="E381" s="141" t="e">
        <f>VLOOKUP(S381,Data!$B:$E,4,FALSE)</f>
        <v>#N/A</v>
      </c>
      <c r="F381" s="141" t="e">
        <f>VLOOKUP(T381,Data!$B:$E,4,FALSE)</f>
        <v>#N/A</v>
      </c>
      <c r="G381" s="141" t="e">
        <f>VLOOKUP(U381,Data!$B:$E,4,FALSE)</f>
        <v>#N/A</v>
      </c>
      <c r="H381" s="141" t="e">
        <f>VLOOKUP(V381,Data!$B:$E,4,FALSE)</f>
        <v>#N/A</v>
      </c>
      <c r="I381" s="141" t="e">
        <f>VLOOKUP(W381,Data!$B:$E,4,FALSE)</f>
        <v>#N/A</v>
      </c>
      <c r="O381" s="54" t="s">
        <v>714</v>
      </c>
      <c r="P381" s="40" t="s">
        <v>1643</v>
      </c>
      <c r="Q381" s="57" t="s">
        <v>1644</v>
      </c>
      <c r="R381" s="57" t="s">
        <v>1645</v>
      </c>
      <c r="S381" s="57" t="s">
        <v>1646</v>
      </c>
      <c r="T381" s="57" t="s">
        <v>1647</v>
      </c>
      <c r="U381" s="57" t="s">
        <v>1648</v>
      </c>
      <c r="V381" s="57" t="s">
        <v>1649</v>
      </c>
      <c r="W381" s="57" t="s">
        <v>1650</v>
      </c>
    </row>
    <row r="382">
      <c r="A382" s="159" t="str">
        <f>Translation!A389</f>
        <v>RECUPERAÇÃO DE DESPESAS (D)</v>
      </c>
      <c r="B382" s="144" t="s">
        <v>1651</v>
      </c>
      <c r="C382" s="141" t="e">
        <f>VLOOKUP(Q382,Data!$B:$E,4,FALSE)</f>
        <v>#N/A</v>
      </c>
      <c r="D382" s="141" t="e">
        <f>VLOOKUP(R382,Data!$B:$E,4,FALSE)</f>
        <v>#N/A</v>
      </c>
      <c r="E382" s="141" t="e">
        <f>VLOOKUP(S382,Data!$B:$E,4,FALSE)</f>
        <v>#N/A</v>
      </c>
      <c r="F382" s="141" t="e">
        <f>VLOOKUP(T382,Data!$B:$E,4,FALSE)</f>
        <v>#N/A</v>
      </c>
      <c r="G382" s="141" t="e">
        <f>VLOOKUP(U382,Data!$B:$E,4,FALSE)</f>
        <v>#N/A</v>
      </c>
      <c r="H382" s="141" t="e">
        <f>VLOOKUP(V382,Data!$B:$E,4,FALSE)</f>
        <v>#N/A</v>
      </c>
      <c r="I382" s="141" t="e">
        <f>VLOOKUP(W382,Data!$B:$E,4,FALSE)</f>
        <v>#N/A</v>
      </c>
      <c r="O382" s="54" t="s">
        <v>1652</v>
      </c>
      <c r="P382" s="40" t="s">
        <v>1651</v>
      </c>
      <c r="Q382" s="57" t="s">
        <v>1653</v>
      </c>
      <c r="R382" s="57" t="s">
        <v>1654</v>
      </c>
      <c r="S382" s="57" t="s">
        <v>1655</v>
      </c>
      <c r="T382" s="57" t="s">
        <v>1656</v>
      </c>
      <c r="U382" s="57" t="s">
        <v>1657</v>
      </c>
      <c r="V382" s="57" t="s">
        <v>1658</v>
      </c>
      <c r="W382" s="57" t="s">
        <v>1659</v>
      </c>
    </row>
    <row r="383">
      <c r="A383" s="159" t="str">
        <f>Translation!A390</f>
        <v>TOTAL DE DESPESAS FIXAS (A + B + C - D)</v>
      </c>
      <c r="B383" s="144" t="s">
        <v>1660</v>
      </c>
      <c r="C383" s="141" t="e">
        <f>VLOOKUP(Q383,Data!$B:$E,4,FALSE)</f>
        <v>#N/A</v>
      </c>
      <c r="D383" s="141" t="e">
        <f>VLOOKUP(R383,Data!$B:$E,4,FALSE)</f>
        <v>#N/A</v>
      </c>
      <c r="E383" s="141" t="e">
        <f>VLOOKUP(S383,Data!$B:$E,4,FALSE)</f>
        <v>#N/A</v>
      </c>
      <c r="F383" s="141" t="e">
        <f>VLOOKUP(T383,Data!$B:$E,4,FALSE)</f>
        <v>#N/A</v>
      </c>
      <c r="G383" s="141" t="e">
        <f>VLOOKUP(U383,Data!$B:$E,4,FALSE)</f>
        <v>#N/A</v>
      </c>
      <c r="H383" s="141" t="e">
        <f>VLOOKUP(V383,Data!$B:$E,4,FALSE)</f>
        <v>#N/A</v>
      </c>
      <c r="I383" s="141" t="e">
        <f>VLOOKUP(W383,Data!$B:$E,4,FALSE)</f>
        <v>#N/A</v>
      </c>
      <c r="O383" s="54" t="s">
        <v>1661</v>
      </c>
      <c r="P383" s="40" t="s">
        <v>1660</v>
      </c>
      <c r="Q383" s="57" t="s">
        <v>1662</v>
      </c>
      <c r="R383" s="57" t="s">
        <v>1663</v>
      </c>
      <c r="S383" s="57" t="s">
        <v>1664</v>
      </c>
      <c r="T383" s="57" t="s">
        <v>1665</v>
      </c>
      <c r="U383" s="57" t="s">
        <v>1666</v>
      </c>
      <c r="V383" s="57" t="s">
        <v>1667</v>
      </c>
      <c r="W383" s="57" t="s">
        <v>1668</v>
      </c>
    </row>
    <row r="384">
      <c r="A384" s="155" t="str">
        <f>Translation!A391</f>
        <v>DESPESAS NÃO-OPERACIONAIS</v>
      </c>
      <c r="B384" s="144" t="str">
        <f>Translation!$G$32</f>
        <v>CONTA</v>
      </c>
      <c r="C384" s="121" t="str">
        <f>Translation!$G$23</f>
        <v>NOVOS</v>
      </c>
      <c r="D384" s="121" t="str">
        <f>Translation!$G$24</f>
        <v>USADOS</v>
      </c>
      <c r="E384" s="121" t="str">
        <f>Translation!$G$25</f>
        <v>F &amp; I</v>
      </c>
      <c r="F384" s="121" t="str">
        <f>Translation!$G$26</f>
        <v>PEÇAS E ACESS.</v>
      </c>
      <c r="G384" s="121" t="str">
        <f>Translation!$G$27</f>
        <v>SERVIÇO</v>
      </c>
      <c r="H384" s="121" t="str">
        <f>Translation!$G$28</f>
        <v>ADM</v>
      </c>
      <c r="I384" s="121" t="str">
        <f>Translation!$G$29</f>
        <v>TOTAL</v>
      </c>
      <c r="O384" s="50" t="s">
        <v>1669</v>
      </c>
      <c r="P384" s="40" t="str">
        <f>Translation!$G$32</f>
        <v>CONTA</v>
      </c>
      <c r="Q384" s="79" t="s">
        <v>1305</v>
      </c>
      <c r="R384" s="79" t="s">
        <v>1306</v>
      </c>
      <c r="S384" s="79" t="s">
        <v>1307</v>
      </c>
      <c r="T384" s="79" t="s">
        <v>1308</v>
      </c>
      <c r="U384" s="79" t="s">
        <v>1309</v>
      </c>
      <c r="V384" s="79" t="s">
        <v>1310</v>
      </c>
      <c r="W384" s="79" t="s">
        <v>1311</v>
      </c>
    </row>
    <row r="385">
      <c r="A385" s="157" t="str">
        <f>Translation!A392</f>
        <v>DOAÇÕES A ENTIDADES CIVIS</v>
      </c>
      <c r="B385" s="144" t="s">
        <v>1670</v>
      </c>
      <c r="C385" s="140" t="e">
        <f>VLOOKUP(Q385,Data!$B:$E,4,FALSE)</f>
        <v>#N/A</v>
      </c>
      <c r="D385" s="140" t="e">
        <f>VLOOKUP(R385,Data!$B:$E,4,FALSE)</f>
        <v>#N/A</v>
      </c>
      <c r="E385" s="140" t="e">
        <f>VLOOKUP(S385,Data!$B:$E,4,FALSE)</f>
        <v>#N/A</v>
      </c>
      <c r="F385" s="140" t="e">
        <f>VLOOKUP(T385,Data!$B:$E,4,FALSE)</f>
        <v>#N/A</v>
      </c>
      <c r="G385" s="140" t="e">
        <f>VLOOKUP(U385,Data!$B:$E,4,FALSE)</f>
        <v>#N/A</v>
      </c>
      <c r="H385" s="140" t="e">
        <f>VLOOKUP(V385,Data!$B:$E,4,FALSE)</f>
        <v>#N/A</v>
      </c>
      <c r="I385" s="141" t="e">
        <f>VLOOKUP(W385,Data!$B:$E,4,FALSE)</f>
        <v>#N/A</v>
      </c>
      <c r="O385" s="52" t="s">
        <v>1671</v>
      </c>
      <c r="P385" s="40" t="s">
        <v>1670</v>
      </c>
      <c r="Q385" s="84" t="s">
        <v>1672</v>
      </c>
      <c r="R385" s="84" t="s">
        <v>1673</v>
      </c>
      <c r="S385" s="84" t="s">
        <v>1674</v>
      </c>
      <c r="T385" s="84" t="s">
        <v>1675</v>
      </c>
      <c r="U385" s="84" t="s">
        <v>1676</v>
      </c>
      <c r="V385" s="84" t="s">
        <v>1677</v>
      </c>
      <c r="W385" s="57" t="s">
        <v>1678</v>
      </c>
    </row>
    <row r="386">
      <c r="A386" s="157" t="str">
        <f>Translation!A393</f>
        <v>DOAÇÕES INSTIT. ENSINO E PESQUISA (LEI 9249/1995)</v>
      </c>
      <c r="B386" s="144" t="s">
        <v>1679</v>
      </c>
      <c r="C386" s="140" t="e">
        <f>VLOOKUP(Q386,Data!$B:$E,4,FALSE)</f>
        <v>#N/A</v>
      </c>
      <c r="D386" s="140" t="e">
        <f>VLOOKUP(R386,Data!$B:$E,4,FALSE)</f>
        <v>#N/A</v>
      </c>
      <c r="E386" s="140" t="e">
        <f>VLOOKUP(S386,Data!$B:$E,4,FALSE)</f>
        <v>#N/A</v>
      </c>
      <c r="F386" s="140" t="e">
        <f>VLOOKUP(T386,Data!$B:$E,4,FALSE)</f>
        <v>#N/A</v>
      </c>
      <c r="G386" s="140" t="e">
        <f>VLOOKUP(U386,Data!$B:$E,4,FALSE)</f>
        <v>#N/A</v>
      </c>
      <c r="H386" s="140" t="e">
        <f>VLOOKUP(V386,Data!$B:$E,4,FALSE)</f>
        <v>#N/A</v>
      </c>
      <c r="I386" s="141" t="e">
        <f>VLOOKUP(W386,Data!$B:$E,4,FALSE)</f>
        <v>#N/A</v>
      </c>
      <c r="O386" s="52" t="s">
        <v>1680</v>
      </c>
      <c r="P386" s="40" t="s">
        <v>1679</v>
      </c>
      <c r="Q386" s="84" t="s">
        <v>1681</v>
      </c>
      <c r="R386" s="84" t="s">
        <v>1682</v>
      </c>
      <c r="S386" s="84" t="s">
        <v>1683</v>
      </c>
      <c r="T386" s="84" t="s">
        <v>1684</v>
      </c>
      <c r="U386" s="84" t="s">
        <v>1685</v>
      </c>
      <c r="V386" s="84" t="s">
        <v>1686</v>
      </c>
      <c r="W386" s="57" t="s">
        <v>1687</v>
      </c>
    </row>
    <row r="387">
      <c r="A387" s="157" t="str">
        <f>Translation!A394</f>
        <v>DOAÇÕES A PATROC. DE CARÁTER CULT. E ARTÍST. (LEI 8313)</v>
      </c>
      <c r="B387" s="144" t="s">
        <v>1688</v>
      </c>
      <c r="C387" s="140" t="e">
        <f>VLOOKUP(Q387,Data!$B:$E,4,FALSE)</f>
        <v>#N/A</v>
      </c>
      <c r="D387" s="140" t="e">
        <f>VLOOKUP(R387,Data!$B:$E,4,FALSE)</f>
        <v>#N/A</v>
      </c>
      <c r="E387" s="140" t="e">
        <f>VLOOKUP(S387,Data!$B:$E,4,FALSE)</f>
        <v>#N/A</v>
      </c>
      <c r="F387" s="140" t="e">
        <f>VLOOKUP(T387,Data!$B:$E,4,FALSE)</f>
        <v>#N/A</v>
      </c>
      <c r="G387" s="140" t="e">
        <f>VLOOKUP(U387,Data!$B:$E,4,FALSE)</f>
        <v>#N/A</v>
      </c>
      <c r="H387" s="140" t="e">
        <f>VLOOKUP(V387,Data!$B:$E,4,FALSE)</f>
        <v>#N/A</v>
      </c>
      <c r="I387" s="141" t="e">
        <f>VLOOKUP(W387,Data!$B:$E,4,FALSE)</f>
        <v>#N/A</v>
      </c>
      <c r="O387" s="52" t="s">
        <v>1689</v>
      </c>
      <c r="P387" s="40" t="s">
        <v>1688</v>
      </c>
      <c r="Q387" s="84" t="s">
        <v>1690</v>
      </c>
      <c r="R387" s="84" t="s">
        <v>1691</v>
      </c>
      <c r="S387" s="84" t="s">
        <v>1692</v>
      </c>
      <c r="T387" s="84" t="s">
        <v>1693</v>
      </c>
      <c r="U387" s="84" t="s">
        <v>1694</v>
      </c>
      <c r="V387" s="84" t="s">
        <v>1695</v>
      </c>
      <c r="W387" s="57" t="s">
        <v>1696</v>
      </c>
    </row>
    <row r="388">
      <c r="A388" s="157" t="str">
        <f>Translation!A395</f>
        <v>OUTRAS DESPESAS NÃO-OPERACIONAIS</v>
      </c>
      <c r="B388" s="144" t="s">
        <v>1697</v>
      </c>
      <c r="C388" s="140" t="e">
        <f>VLOOKUP(Q388,Data!$B:$E,4,FALSE)</f>
        <v>#N/A</v>
      </c>
      <c r="D388" s="140" t="e">
        <f>VLOOKUP(R388,Data!$B:$E,4,FALSE)</f>
        <v>#N/A</v>
      </c>
      <c r="E388" s="140" t="e">
        <f>VLOOKUP(S388,Data!$B:$E,4,FALSE)</f>
        <v>#N/A</v>
      </c>
      <c r="F388" s="140" t="e">
        <f>VLOOKUP(T388,Data!$B:$E,4,FALSE)</f>
        <v>#N/A</v>
      </c>
      <c r="G388" s="140" t="e">
        <f>VLOOKUP(U388,Data!$B:$E,4,FALSE)</f>
        <v>#N/A</v>
      </c>
      <c r="H388" s="140" t="e">
        <f>VLOOKUP(V388,Data!$B:$E,4,FALSE)</f>
        <v>#N/A</v>
      </c>
      <c r="I388" s="141" t="e">
        <f>VLOOKUP(W388,Data!$B:$E,4,FALSE)</f>
        <v>#N/A</v>
      </c>
      <c r="O388" s="52" t="s">
        <v>1698</v>
      </c>
      <c r="P388" s="40" t="s">
        <v>1697</v>
      </c>
      <c r="Q388" s="84" t="s">
        <v>1699</v>
      </c>
      <c r="R388" s="84" t="s">
        <v>1700</v>
      </c>
      <c r="S388" s="84" t="s">
        <v>1701</v>
      </c>
      <c r="T388" s="84" t="s">
        <v>1702</v>
      </c>
      <c r="U388" s="84" t="s">
        <v>1703</v>
      </c>
      <c r="V388" s="84" t="s">
        <v>1704</v>
      </c>
      <c r="W388" s="57" t="s">
        <v>1705</v>
      </c>
    </row>
    <row r="389">
      <c r="A389" s="159" t="str">
        <f>Translation!A396</f>
        <v>TOTAL DE DESPESAS NÃO-OPERACIONAIS</v>
      </c>
      <c r="B389" s="144" t="s">
        <v>1706</v>
      </c>
      <c r="C389" s="141" t="e">
        <f>VLOOKUP(Q389,Data!$B:$E,4,FALSE)</f>
        <v>#N/A</v>
      </c>
      <c r="D389" s="141" t="e">
        <f>VLOOKUP(R389,Data!$B:$E,4,FALSE)</f>
        <v>#N/A</v>
      </c>
      <c r="E389" s="141" t="e">
        <f>VLOOKUP(S389,Data!$B:$E,4,FALSE)</f>
        <v>#N/A</v>
      </c>
      <c r="F389" s="141" t="e">
        <f>VLOOKUP(T389,Data!$B:$E,4,FALSE)</f>
        <v>#N/A</v>
      </c>
      <c r="G389" s="141" t="e">
        <f>VLOOKUP(U389,Data!$B:$E,4,FALSE)</f>
        <v>#N/A</v>
      </c>
      <c r="H389" s="141" t="e">
        <f>VLOOKUP(V389,Data!$B:$E,4,FALSE)</f>
        <v>#N/A</v>
      </c>
      <c r="I389" s="141" t="e">
        <f>VLOOKUP(W389,Data!$B:$E,4,FALSE)</f>
        <v>#N/A</v>
      </c>
      <c r="O389" s="54" t="s">
        <v>724</v>
      </c>
      <c r="P389" s="40" t="s">
        <v>1706</v>
      </c>
      <c r="Q389" s="57" t="s">
        <v>1707</v>
      </c>
      <c r="R389" s="57" t="s">
        <v>1708</v>
      </c>
      <c r="S389" s="57" t="s">
        <v>1709</v>
      </c>
      <c r="T389" s="57" t="s">
        <v>1710</v>
      </c>
      <c r="U389" s="57" t="s">
        <v>1711</v>
      </c>
      <c r="V389" s="57" t="s">
        <v>1712</v>
      </c>
      <c r="W389" s="57" t="s">
        <v>1713</v>
      </c>
    </row>
    <row r="390">
      <c r="A390" s="155" t="str">
        <f>Translation!A397</f>
        <v>DESPESAS FINANCEIRAS</v>
      </c>
      <c r="B390" s="144" t="str">
        <f>Translation!$G$32</f>
        <v>CONTA</v>
      </c>
      <c r="C390" s="121" t="str">
        <f>Translation!$G$23</f>
        <v>NOVOS</v>
      </c>
      <c r="D390" s="121" t="str">
        <f>Translation!$G$24</f>
        <v>USADOS</v>
      </c>
      <c r="E390" s="121" t="str">
        <f>Translation!$G$25</f>
        <v>F &amp; I</v>
      </c>
      <c r="F390" s="121" t="str">
        <f>Translation!$G$26</f>
        <v>PEÇAS E ACESS.</v>
      </c>
      <c r="G390" s="121" t="str">
        <f>Translation!$G$27</f>
        <v>SERVIÇO</v>
      </c>
      <c r="H390" s="121" t="str">
        <f>Translation!$G$28</f>
        <v>ADM</v>
      </c>
      <c r="I390" s="121" t="str">
        <f>Translation!$G$29</f>
        <v>TOTAL</v>
      </c>
      <c r="O390" s="50" t="s">
        <v>1714</v>
      </c>
      <c r="P390" s="40" t="str">
        <f>Translation!$G$32</f>
        <v>CONTA</v>
      </c>
      <c r="Q390" s="79" t="s">
        <v>1305</v>
      </c>
      <c r="R390" s="79" t="s">
        <v>1306</v>
      </c>
      <c r="S390" s="79" t="s">
        <v>1307</v>
      </c>
      <c r="T390" s="79" t="s">
        <v>1308</v>
      </c>
      <c r="U390" s="79" t="s">
        <v>1309</v>
      </c>
      <c r="V390" s="79" t="s">
        <v>1310</v>
      </c>
      <c r="W390" s="79" t="s">
        <v>1311</v>
      </c>
    </row>
    <row r="391">
      <c r="A391" s="158" t="str">
        <f>Translation!A398</f>
        <v>IOF</v>
      </c>
      <c r="B391" s="144" t="s">
        <v>1715</v>
      </c>
      <c r="C391" s="140" t="e">
        <f>VLOOKUP(Q391,Data!$B:$E,4,FALSE)</f>
        <v>#N/A</v>
      </c>
      <c r="D391" s="140" t="e">
        <f>VLOOKUP(R391,Data!$B:$E,4,FALSE)</f>
        <v>#N/A</v>
      </c>
      <c r="E391" s="140" t="e">
        <f>VLOOKUP(S391,Data!$B:$E,4,FALSE)</f>
        <v>#N/A</v>
      </c>
      <c r="F391" s="140" t="e">
        <f>VLOOKUP(T391,Data!$B:$E,4,FALSE)</f>
        <v>#N/A</v>
      </c>
      <c r="G391" s="140" t="e">
        <f>VLOOKUP(U391,Data!$B:$E,4,FALSE)</f>
        <v>#N/A</v>
      </c>
      <c r="H391" s="140" t="e">
        <f>VLOOKUP(V391,Data!$B:$E,4,FALSE)</f>
        <v>#N/A</v>
      </c>
      <c r="I391" s="141" t="e">
        <f>VLOOKUP(W391,Data!$B:$E,4,FALSE)</f>
        <v>#N/A</v>
      </c>
      <c r="O391" s="53" t="s">
        <v>1716</v>
      </c>
      <c r="P391" s="40" t="s">
        <v>1715</v>
      </c>
      <c r="Q391" s="84" t="s">
        <v>1717</v>
      </c>
      <c r="R391" s="84" t="s">
        <v>1718</v>
      </c>
      <c r="S391" s="84" t="s">
        <v>1719</v>
      </c>
      <c r="T391" s="84" t="s">
        <v>1720</v>
      </c>
      <c r="U391" s="84" t="s">
        <v>1721</v>
      </c>
      <c r="V391" s="84" t="s">
        <v>1722</v>
      </c>
      <c r="W391" s="57" t="s">
        <v>1723</v>
      </c>
    </row>
    <row r="392">
      <c r="A392" s="158" t="str">
        <f>Translation!A399</f>
        <v>JUROS LINHA DE CRÉDITO BANCO YAMAHA</v>
      </c>
      <c r="B392" s="144" t="s">
        <v>1724</v>
      </c>
      <c r="C392" s="140" t="e">
        <f>VLOOKUP(Q392,Data!$B:$E,4,FALSE)</f>
        <v>#N/A</v>
      </c>
      <c r="D392" s="140" t="e">
        <f>VLOOKUP(R392,Data!$B:$E,4,FALSE)</f>
        <v>#N/A</v>
      </c>
      <c r="E392" s="122"/>
      <c r="F392" s="122"/>
      <c r="G392" s="122"/>
      <c r="H392" s="122"/>
      <c r="I392" s="141" t="e">
        <f>VLOOKUP(W392,Data!$B:$E,4,FALSE)</f>
        <v>#N/A</v>
      </c>
      <c r="O392" s="53" t="s">
        <v>1725</v>
      </c>
      <c r="P392" s="40" t="s">
        <v>1724</v>
      </c>
      <c r="Q392" s="84" t="s">
        <v>1726</v>
      </c>
      <c r="R392" s="84" t="s">
        <v>1727</v>
      </c>
      <c r="S392" s="94"/>
      <c r="T392" s="94"/>
      <c r="U392" s="94"/>
      <c r="V392" s="94"/>
      <c r="W392" s="57" t="s">
        <v>1728</v>
      </c>
    </row>
    <row r="393">
      <c r="A393" s="158" t="str">
        <f>Translation!A400</f>
        <v>JUROS PASSIVOS</v>
      </c>
      <c r="B393" s="144" t="s">
        <v>1729</v>
      </c>
      <c r="C393" s="140" t="e">
        <f>VLOOKUP(Q393,Data!$B:$E,4,FALSE)</f>
        <v>#N/A</v>
      </c>
      <c r="D393" s="140" t="e">
        <f>VLOOKUP(R393,Data!$B:$E,4,FALSE)</f>
        <v>#N/A</v>
      </c>
      <c r="E393" s="140" t="e">
        <f>VLOOKUP(S393,Data!$B:$E,4,FALSE)</f>
        <v>#N/A</v>
      </c>
      <c r="F393" s="140" t="e">
        <f>VLOOKUP(T393,Data!$B:$E,4,FALSE)</f>
        <v>#N/A</v>
      </c>
      <c r="G393" s="140" t="e">
        <f>VLOOKUP(U393,Data!$B:$E,4,FALSE)</f>
        <v>#N/A</v>
      </c>
      <c r="H393" s="140" t="e">
        <f>VLOOKUP(V393,Data!$B:$E,4,FALSE)</f>
        <v>#N/A</v>
      </c>
      <c r="I393" s="141" t="e">
        <f>VLOOKUP(W393,Data!$B:$E,4,FALSE)</f>
        <v>#N/A</v>
      </c>
      <c r="O393" s="53" t="s">
        <v>1730</v>
      </c>
      <c r="P393" s="40" t="s">
        <v>1729</v>
      </c>
      <c r="Q393" s="84" t="s">
        <v>1731</v>
      </c>
      <c r="R393" s="84" t="s">
        <v>1732</v>
      </c>
      <c r="S393" s="84" t="s">
        <v>1733</v>
      </c>
      <c r="T393" s="84" t="s">
        <v>1734</v>
      </c>
      <c r="U393" s="84" t="s">
        <v>1735</v>
      </c>
      <c r="V393" s="84" t="s">
        <v>1736</v>
      </c>
      <c r="W393" s="57" t="s">
        <v>1737</v>
      </c>
    </row>
    <row r="394">
      <c r="A394" s="157" t="str">
        <f>Translation!A401</f>
        <v>JUROS DE MORA</v>
      </c>
      <c r="B394" s="144" t="s">
        <v>1738</v>
      </c>
      <c r="C394" s="140" t="e">
        <f>VLOOKUP(Q394,Data!$B:$E,4,FALSE)</f>
        <v>#N/A</v>
      </c>
      <c r="D394" s="140" t="e">
        <f>VLOOKUP(R394,Data!$B:$E,4,FALSE)</f>
        <v>#N/A</v>
      </c>
      <c r="E394" s="140" t="e">
        <f>VLOOKUP(S394,Data!$B:$E,4,FALSE)</f>
        <v>#N/A</v>
      </c>
      <c r="F394" s="140" t="e">
        <f>VLOOKUP(T394,Data!$B:$E,4,FALSE)</f>
        <v>#N/A</v>
      </c>
      <c r="G394" s="140" t="e">
        <f>VLOOKUP(U394,Data!$B:$E,4,FALSE)</f>
        <v>#N/A</v>
      </c>
      <c r="H394" s="140" t="e">
        <f>VLOOKUP(V394,Data!$B:$E,4,FALSE)</f>
        <v>#N/A</v>
      </c>
      <c r="I394" s="141" t="e">
        <f>VLOOKUP(W394,Data!$B:$E,4,FALSE)</f>
        <v>#N/A</v>
      </c>
      <c r="O394" s="52" t="s">
        <v>743</v>
      </c>
      <c r="P394" s="40" t="s">
        <v>1738</v>
      </c>
      <c r="Q394" s="84" t="s">
        <v>1739</v>
      </c>
      <c r="R394" s="84" t="s">
        <v>1740</v>
      </c>
      <c r="S394" s="84" t="s">
        <v>1741</v>
      </c>
      <c r="T394" s="84" t="s">
        <v>1742</v>
      </c>
      <c r="U394" s="84" t="s">
        <v>1743</v>
      </c>
      <c r="V394" s="84" t="s">
        <v>1744</v>
      </c>
      <c r="W394" s="57" t="s">
        <v>1745</v>
      </c>
    </row>
    <row r="395">
      <c r="A395" s="157" t="str">
        <f>Translation!A402</f>
        <v>DESCONTOS CONCEDIDOS</v>
      </c>
      <c r="B395" s="144" t="s">
        <v>1746</v>
      </c>
      <c r="C395" s="140" t="e">
        <f>VLOOKUP(Q395,Data!$B:$E,4,FALSE)</f>
        <v>#N/A</v>
      </c>
      <c r="D395" s="140" t="e">
        <f>VLOOKUP(R395,Data!$B:$E,4,FALSE)</f>
        <v>#N/A</v>
      </c>
      <c r="E395" s="140" t="e">
        <f>VLOOKUP(S395,Data!$B:$E,4,FALSE)</f>
        <v>#N/A</v>
      </c>
      <c r="F395" s="140" t="e">
        <f>VLOOKUP(T395,Data!$B:$E,4,FALSE)</f>
        <v>#N/A</v>
      </c>
      <c r="G395" s="140" t="e">
        <f>VLOOKUP(U395,Data!$B:$E,4,FALSE)</f>
        <v>#N/A</v>
      </c>
      <c r="H395" s="140" t="e">
        <f>VLOOKUP(V395,Data!$B:$E,4,FALSE)</f>
        <v>#N/A</v>
      </c>
      <c r="I395" s="141" t="e">
        <f>VLOOKUP(W395,Data!$B:$E,4,FALSE)</f>
        <v>#N/A</v>
      </c>
      <c r="O395" s="52" t="s">
        <v>1747</v>
      </c>
      <c r="P395" s="40" t="s">
        <v>1746</v>
      </c>
      <c r="Q395" s="84" t="s">
        <v>1748</v>
      </c>
      <c r="R395" s="84" t="s">
        <v>1749</v>
      </c>
      <c r="S395" s="84" t="s">
        <v>1750</v>
      </c>
      <c r="T395" s="84" t="s">
        <v>1751</v>
      </c>
      <c r="U395" s="84" t="s">
        <v>1752</v>
      </c>
      <c r="V395" s="84" t="s">
        <v>1753</v>
      </c>
      <c r="W395" s="57" t="s">
        <v>1754</v>
      </c>
    </row>
    <row r="396">
      <c r="A396" s="157" t="str">
        <f>Translation!A403</f>
        <v>MULTAS E ENCARGOS FINANCEIROS</v>
      </c>
      <c r="B396" s="144" t="s">
        <v>1755</v>
      </c>
      <c r="C396" s="140" t="e">
        <f>VLOOKUP(Q396,Data!$B:$E,4,FALSE)</f>
        <v>#N/A</v>
      </c>
      <c r="D396" s="140" t="e">
        <f>VLOOKUP(R396,Data!$B:$E,4,FALSE)</f>
        <v>#N/A</v>
      </c>
      <c r="E396" s="122"/>
      <c r="F396" s="140" t="e">
        <f>VLOOKUP(T396,Data!$B:$E,4,FALSE)</f>
        <v>#N/A</v>
      </c>
      <c r="G396" s="140" t="e">
        <f>VLOOKUP(U396,Data!$B:$E,4,FALSE)</f>
        <v>#N/A</v>
      </c>
      <c r="H396" s="140" t="e">
        <f>VLOOKUP(V396,Data!$B:$E,4,FALSE)</f>
        <v>#N/A</v>
      </c>
      <c r="I396" s="141" t="e">
        <f>VLOOKUP(W396,Data!$B:$E,4,FALSE)</f>
        <v>#N/A</v>
      </c>
      <c r="O396" s="52" t="s">
        <v>1756</v>
      </c>
      <c r="P396" s="40" t="s">
        <v>1755</v>
      </c>
      <c r="Q396" s="84" t="s">
        <v>1757</v>
      </c>
      <c r="R396" s="84" t="s">
        <v>1758</v>
      </c>
      <c r="S396" s="94"/>
      <c r="T396" s="84" t="s">
        <v>1759</v>
      </c>
      <c r="U396" s="84" t="s">
        <v>1760</v>
      </c>
      <c r="V396" s="84" t="s">
        <v>1761</v>
      </c>
      <c r="W396" s="57" t="s">
        <v>1762</v>
      </c>
    </row>
    <row r="397">
      <c r="A397" s="157" t="str">
        <f>Translation!A404</f>
        <v>TARIFA BANCÁRIA</v>
      </c>
      <c r="B397" s="144" t="s">
        <v>1763</v>
      </c>
      <c r="C397" s="140" t="e">
        <f>VLOOKUP(Q397,Data!$B:$E,4,FALSE)</f>
        <v>#N/A</v>
      </c>
      <c r="D397" s="140" t="e">
        <f>VLOOKUP(R397,Data!$B:$E,4,FALSE)</f>
        <v>#N/A</v>
      </c>
      <c r="E397" s="140" t="e">
        <f>VLOOKUP(S397,Data!$B:$E,4,FALSE)</f>
        <v>#N/A</v>
      </c>
      <c r="F397" s="140" t="e">
        <f>VLOOKUP(T397,Data!$B:$E,4,FALSE)</f>
        <v>#N/A</v>
      </c>
      <c r="G397" s="140" t="e">
        <f>VLOOKUP(U397,Data!$B:$E,4,FALSE)</f>
        <v>#N/A</v>
      </c>
      <c r="H397" s="140" t="e">
        <f>VLOOKUP(V397,Data!$B:$E,4,FALSE)</f>
        <v>#N/A</v>
      </c>
      <c r="I397" s="141" t="e">
        <f>VLOOKUP(W397,Data!$B:$E,4,FALSE)</f>
        <v>#N/A</v>
      </c>
      <c r="O397" s="52" t="s">
        <v>1764</v>
      </c>
      <c r="P397" s="40" t="s">
        <v>1763</v>
      </c>
      <c r="Q397" s="84" t="s">
        <v>1765</v>
      </c>
      <c r="R397" s="84" t="s">
        <v>1766</v>
      </c>
      <c r="S397" s="84" t="s">
        <v>1767</v>
      </c>
      <c r="T397" s="84" t="s">
        <v>1768</v>
      </c>
      <c r="U397" s="84" t="s">
        <v>1769</v>
      </c>
      <c r="V397" s="84" t="s">
        <v>1770</v>
      </c>
      <c r="W397" s="57" t="s">
        <v>1771</v>
      </c>
    </row>
    <row r="398">
      <c r="A398" s="157" t="str">
        <f>Translation!A405</f>
        <v>DESPESAS COM CARTÃO DE CRÉDITO</v>
      </c>
      <c r="B398" s="144" t="s">
        <v>1772</v>
      </c>
      <c r="C398" s="140" t="e">
        <f>VLOOKUP(Q398,Data!$B:$E,4,FALSE)</f>
        <v>#N/A</v>
      </c>
      <c r="D398" s="140" t="e">
        <f>VLOOKUP(R398,Data!$B:$E,4,FALSE)</f>
        <v>#N/A</v>
      </c>
      <c r="E398" s="140" t="e">
        <f>VLOOKUP(S398,Data!$B:$E,4,FALSE)</f>
        <v>#N/A</v>
      </c>
      <c r="F398" s="140" t="e">
        <f>VLOOKUP(T398,Data!$B:$E,4,FALSE)</f>
        <v>#N/A</v>
      </c>
      <c r="G398" s="140" t="e">
        <f>VLOOKUP(U398,Data!$B:$E,4,FALSE)</f>
        <v>#N/A</v>
      </c>
      <c r="H398" s="140" t="e">
        <f>VLOOKUP(V398,Data!$B:$E,4,FALSE)</f>
        <v>#N/A</v>
      </c>
      <c r="I398" s="141" t="e">
        <f>VLOOKUP(W398,Data!$B:$E,4,FALSE)</f>
        <v>#N/A</v>
      </c>
      <c r="O398" s="52" t="s">
        <v>1773</v>
      </c>
      <c r="P398" s="40" t="s">
        <v>1772</v>
      </c>
      <c r="Q398" s="84" t="s">
        <v>1774</v>
      </c>
      <c r="R398" s="84" t="s">
        <v>1775</v>
      </c>
      <c r="S398" s="84" t="s">
        <v>1776</v>
      </c>
      <c r="T398" s="84" t="s">
        <v>1777</v>
      </c>
      <c r="U398" s="84" t="s">
        <v>1778</v>
      </c>
      <c r="V398" s="84" t="s">
        <v>1779</v>
      </c>
      <c r="W398" s="57" t="s">
        <v>1780</v>
      </c>
    </row>
    <row r="399">
      <c r="A399" s="159" t="str">
        <f>Translation!A406</f>
        <v>TOTAL DE DESPESAS FINANCEIRAS</v>
      </c>
      <c r="B399" s="144" t="s">
        <v>1781</v>
      </c>
      <c r="C399" s="141" t="e">
        <f>VLOOKUP(Q399,Data!$B:$E,4,FALSE)</f>
        <v>#N/A</v>
      </c>
      <c r="D399" s="141" t="e">
        <f>VLOOKUP(R399,Data!$B:$E,4,FALSE)</f>
        <v>#N/A</v>
      </c>
      <c r="E399" s="141" t="e">
        <f>VLOOKUP(S399,Data!$B:$E,4,FALSE)</f>
        <v>#N/A</v>
      </c>
      <c r="F399" s="141" t="e">
        <f>VLOOKUP(T399,Data!$B:$E,4,FALSE)</f>
        <v>#N/A</v>
      </c>
      <c r="G399" s="141" t="e">
        <f>VLOOKUP(U399,Data!$B:$E,4,FALSE)</f>
        <v>#N/A</v>
      </c>
      <c r="H399" s="141" t="e">
        <f>VLOOKUP(V399,Data!$B:$E,4,FALSE)</f>
        <v>#N/A</v>
      </c>
      <c r="I399" s="141" t="e">
        <f>VLOOKUP(W399,Data!$B:$E,4,FALSE)</f>
        <v>#N/A</v>
      </c>
      <c r="O399" s="54" t="s">
        <v>727</v>
      </c>
      <c r="P399" s="40" t="s">
        <v>1781</v>
      </c>
      <c r="Q399" s="57" t="s">
        <v>1782</v>
      </c>
      <c r="R399" s="57" t="s">
        <v>1783</v>
      </c>
      <c r="S399" s="57" t="s">
        <v>1784</v>
      </c>
      <c r="T399" s="57" t="s">
        <v>1785</v>
      </c>
      <c r="U399" s="57" t="s">
        <v>1786</v>
      </c>
      <c r="V399" s="57" t="s">
        <v>1787</v>
      </c>
      <c r="W399" s="57" t="s">
        <v>1788</v>
      </c>
    </row>
    <row r="400">
      <c r="A400" s="155" t="str">
        <f>Translation!A407</f>
        <v>RECEITAS NÃO-OPERACIONAIS</v>
      </c>
      <c r="B400" s="144" t="str">
        <f>Translation!$G$32</f>
        <v>CONTA</v>
      </c>
      <c r="C400" s="121" t="str">
        <f>Translation!$G$23</f>
        <v>NOVOS</v>
      </c>
      <c r="D400" s="121" t="str">
        <f>Translation!$G$24</f>
        <v>USADOS</v>
      </c>
      <c r="E400" s="121" t="str">
        <f>Translation!$G$25</f>
        <v>F &amp; I</v>
      </c>
      <c r="F400" s="121" t="str">
        <f>Translation!$G$26</f>
        <v>PEÇAS E ACESS.</v>
      </c>
      <c r="G400" s="121" t="str">
        <f>Translation!$G$27</f>
        <v>SERVIÇO</v>
      </c>
      <c r="H400" s="121" t="str">
        <f>Translation!$G$28</f>
        <v>ADM</v>
      </c>
      <c r="I400" s="121" t="str">
        <f>Translation!$G$29</f>
        <v>TOTAL</v>
      </c>
      <c r="O400" s="50" t="s">
        <v>1789</v>
      </c>
      <c r="P400" s="40" t="str">
        <f>Translation!$G$32</f>
        <v>CONTA</v>
      </c>
      <c r="Q400" s="79" t="s">
        <v>1305</v>
      </c>
      <c r="R400" s="79" t="s">
        <v>1306</v>
      </c>
      <c r="S400" s="79" t="s">
        <v>1307</v>
      </c>
      <c r="T400" s="79" t="s">
        <v>1308</v>
      </c>
      <c r="U400" s="79" t="s">
        <v>1309</v>
      </c>
      <c r="V400" s="79" t="s">
        <v>1310</v>
      </c>
      <c r="W400" s="79" t="s">
        <v>1311</v>
      </c>
    </row>
    <row r="401">
      <c r="A401" s="158" t="str">
        <f>Translation!A408</f>
        <v>RECEITAS DIVERSAS</v>
      </c>
      <c r="B401" s="144" t="s">
        <v>1790</v>
      </c>
      <c r="C401" s="140" t="e">
        <f>VLOOKUP(Q401,Data!$B:$E,4,FALSE)</f>
        <v>#N/A</v>
      </c>
      <c r="D401" s="140" t="e">
        <f>VLOOKUP(R401,Data!$B:$E,4,FALSE)</f>
        <v>#N/A</v>
      </c>
      <c r="E401" s="140" t="e">
        <f>VLOOKUP(S401,Data!$B:$E,4,FALSE)</f>
        <v>#N/A</v>
      </c>
      <c r="F401" s="140" t="e">
        <f>VLOOKUP(T401,Data!$B:$E,4,FALSE)</f>
        <v>#N/A</v>
      </c>
      <c r="G401" s="140" t="e">
        <f>VLOOKUP(U401,Data!$B:$E,4,FALSE)</f>
        <v>#N/A</v>
      </c>
      <c r="H401" s="140" t="e">
        <f>VLOOKUP(V401,Data!$B:$E,4,FALSE)</f>
        <v>#N/A</v>
      </c>
      <c r="I401" s="141" t="e">
        <f>VLOOKUP(W401,Data!$B:$E,4,FALSE)</f>
        <v>#N/A</v>
      </c>
      <c r="O401" s="53" t="s">
        <v>1791</v>
      </c>
      <c r="P401" s="40" t="s">
        <v>1790</v>
      </c>
      <c r="Q401" s="84" t="s">
        <v>1792</v>
      </c>
      <c r="R401" s="84" t="s">
        <v>1793</v>
      </c>
      <c r="S401" s="84" t="s">
        <v>1794</v>
      </c>
      <c r="T401" s="84" t="s">
        <v>1795</v>
      </c>
      <c r="U401" s="84" t="s">
        <v>1796</v>
      </c>
      <c r="V401" s="84" t="s">
        <v>1797</v>
      </c>
      <c r="W401" s="57" t="s">
        <v>1798</v>
      </c>
    </row>
    <row r="402">
      <c r="A402" s="158" t="str">
        <f>Translation!A409</f>
        <v>REEMBOLSO DE EMPLACAMENTOS</v>
      </c>
      <c r="B402" s="144" t="s">
        <v>1799</v>
      </c>
      <c r="C402" s="140" t="e">
        <f>VLOOKUP(Q402,Data!$B:$E,4,FALSE)</f>
        <v>#N/A</v>
      </c>
      <c r="D402" s="140" t="e">
        <f>VLOOKUP(R402,Data!$B:$E,4,FALSE)</f>
        <v>#N/A</v>
      </c>
      <c r="E402" s="122"/>
      <c r="F402" s="122"/>
      <c r="G402" s="122"/>
      <c r="H402" s="122"/>
      <c r="I402" s="141" t="e">
        <f>VLOOKUP(W402,Data!$B:$E,4,FALSE)</f>
        <v>#N/A</v>
      </c>
      <c r="O402" s="53" t="s">
        <v>1800</v>
      </c>
      <c r="P402" s="40" t="s">
        <v>1799</v>
      </c>
      <c r="Q402" s="84" t="s">
        <v>1801</v>
      </c>
      <c r="R402" s="84" t="s">
        <v>1802</v>
      </c>
      <c r="S402" s="94"/>
      <c r="T402" s="94"/>
      <c r="U402" s="94"/>
      <c r="V402" s="94"/>
      <c r="W402" s="57" t="s">
        <v>1803</v>
      </c>
    </row>
    <row r="403">
      <c r="A403" s="158" t="str">
        <f>Translation!A410</f>
        <v>RECEITAS COM ALIENAÇÃO DE BENS</v>
      </c>
      <c r="B403" s="144" t="s">
        <v>1804</v>
      </c>
      <c r="C403" s="140" t="e">
        <f>VLOOKUP(Q403,Data!$B:$E,4,FALSE)</f>
        <v>#N/A</v>
      </c>
      <c r="D403" s="140" t="e">
        <f>VLOOKUP(R403,Data!$B:$E,4,FALSE)</f>
        <v>#N/A</v>
      </c>
      <c r="E403" s="140" t="e">
        <f>VLOOKUP(S403,Data!$B:$E,4,FALSE)</f>
        <v>#N/A</v>
      </c>
      <c r="F403" s="140" t="e">
        <f>VLOOKUP(T403,Data!$B:$E,4,FALSE)</f>
        <v>#N/A</v>
      </c>
      <c r="G403" s="140" t="e">
        <f>VLOOKUP(U403,Data!$B:$E,4,FALSE)</f>
        <v>#N/A</v>
      </c>
      <c r="H403" s="140" t="e">
        <f>VLOOKUP(V403,Data!$B:$E,4,FALSE)</f>
        <v>#N/A</v>
      </c>
      <c r="I403" s="141" t="e">
        <f>VLOOKUP(W403,Data!$B:$E,4,FALSE)</f>
        <v>#N/A</v>
      </c>
      <c r="O403" s="53" t="s">
        <v>1805</v>
      </c>
      <c r="P403" s="40" t="s">
        <v>1804</v>
      </c>
      <c r="Q403" s="84" t="s">
        <v>1806</v>
      </c>
      <c r="R403" s="84" t="s">
        <v>1807</v>
      </c>
      <c r="S403" s="84" t="s">
        <v>1808</v>
      </c>
      <c r="T403" s="84" t="s">
        <v>1809</v>
      </c>
      <c r="U403" s="84" t="s">
        <v>1810</v>
      </c>
      <c r="V403" s="84" t="s">
        <v>1811</v>
      </c>
      <c r="W403" s="57" t="s">
        <v>1812</v>
      </c>
    </row>
    <row r="404">
      <c r="A404" s="159" t="str">
        <f>Translation!A411</f>
        <v>TOTAL DE RECEITAS NÃO-OPERACIONAIS</v>
      </c>
      <c r="B404" s="144" t="s">
        <v>1813</v>
      </c>
      <c r="C404" s="141" t="e">
        <f>VLOOKUP(Q404,Data!$B:$E,4,FALSE)</f>
        <v>#N/A</v>
      </c>
      <c r="D404" s="141" t="e">
        <f>VLOOKUP(R404,Data!$B:$E,4,FALSE)</f>
        <v>#N/A</v>
      </c>
      <c r="E404" s="141" t="e">
        <f>VLOOKUP(S404,Data!$B:$E,4,FALSE)</f>
        <v>#N/A</v>
      </c>
      <c r="F404" s="141" t="e">
        <f>VLOOKUP(T404,Data!$B:$E,4,FALSE)</f>
        <v>#N/A</v>
      </c>
      <c r="G404" s="141" t="e">
        <f>VLOOKUP(U404,Data!$B:$E,4,FALSE)</f>
        <v>#N/A</v>
      </c>
      <c r="H404" s="141" t="e">
        <f>VLOOKUP(V404,Data!$B:$E,4,FALSE)</f>
        <v>#N/A</v>
      </c>
      <c r="I404" s="141" t="e">
        <f>VLOOKUP(W404,Data!$B:$E,4,FALSE)</f>
        <v>#N/A</v>
      </c>
      <c r="O404" s="54" t="s">
        <v>730</v>
      </c>
      <c r="P404" s="40" t="s">
        <v>1813</v>
      </c>
      <c r="Q404" s="57" t="s">
        <v>1814</v>
      </c>
      <c r="R404" s="57" t="s">
        <v>1815</v>
      </c>
      <c r="S404" s="57" t="s">
        <v>1816</v>
      </c>
      <c r="T404" s="57" t="s">
        <v>1817</v>
      </c>
      <c r="U404" s="57" t="s">
        <v>1818</v>
      </c>
      <c r="V404" s="57" t="s">
        <v>1819</v>
      </c>
      <c r="W404" s="57" t="s">
        <v>1820</v>
      </c>
    </row>
    <row r="405">
      <c r="A405" s="155" t="str">
        <f>Translation!A412</f>
        <v>RECEITAS FINANCEIRAS</v>
      </c>
      <c r="B405" s="144" t="str">
        <f>Translation!$G$32</f>
        <v>CONTA</v>
      </c>
      <c r="C405" s="121" t="str">
        <f>Translation!$G$23</f>
        <v>NOVOS</v>
      </c>
      <c r="D405" s="121" t="str">
        <f>Translation!$G$24</f>
        <v>USADOS</v>
      </c>
      <c r="E405" s="121" t="str">
        <f>Translation!$G$25</f>
        <v>F &amp; I</v>
      </c>
      <c r="F405" s="121" t="str">
        <f>Translation!$G$26</f>
        <v>PEÇAS E ACESS.</v>
      </c>
      <c r="G405" s="121" t="str">
        <f>Translation!$G$27</f>
        <v>SERVIÇO</v>
      </c>
      <c r="H405" s="121" t="str">
        <f>Translation!$G$28</f>
        <v>ADM</v>
      </c>
      <c r="I405" s="121" t="str">
        <f>Translation!$G$29</f>
        <v>TOTAL</v>
      </c>
      <c r="O405" s="50" t="s">
        <v>1821</v>
      </c>
      <c r="P405" s="40" t="str">
        <f>Translation!$G$32</f>
        <v>CONTA</v>
      </c>
      <c r="Q405" s="79" t="s">
        <v>1305</v>
      </c>
      <c r="R405" s="79" t="s">
        <v>1306</v>
      </c>
      <c r="S405" s="79" t="s">
        <v>1307</v>
      </c>
      <c r="T405" s="79" t="s">
        <v>1308</v>
      </c>
      <c r="U405" s="79" t="s">
        <v>1309</v>
      </c>
      <c r="V405" s="79" t="s">
        <v>1310</v>
      </c>
      <c r="W405" s="79" t="s">
        <v>1311</v>
      </c>
    </row>
    <row r="406">
      <c r="A406" s="158" t="str">
        <f>Translation!A413</f>
        <v>RENDIMENTO SOBRE APLICAÇÕES</v>
      </c>
      <c r="B406" s="144" t="s">
        <v>1822</v>
      </c>
      <c r="C406" s="140" t="e">
        <f>VLOOKUP(Q406,Data!$B:$E,4,FALSE)</f>
        <v>#N/A</v>
      </c>
      <c r="D406" s="140" t="e">
        <f>VLOOKUP(R406,Data!$B:$E,4,FALSE)</f>
        <v>#N/A</v>
      </c>
      <c r="E406" s="140" t="e">
        <f>VLOOKUP(S406,Data!$B:$E,4,FALSE)</f>
        <v>#N/A</v>
      </c>
      <c r="F406" s="140" t="e">
        <f>VLOOKUP(T406,Data!$B:$E,4,FALSE)</f>
        <v>#N/A</v>
      </c>
      <c r="G406" s="140" t="e">
        <f>VLOOKUP(U406,Data!$B:$E,4,FALSE)</f>
        <v>#N/A</v>
      </c>
      <c r="H406" s="140" t="e">
        <f>VLOOKUP(V406,Data!$B:$E,4,FALSE)</f>
        <v>#N/A</v>
      </c>
      <c r="I406" s="141" t="e">
        <f>VLOOKUP(W406,Data!$B:$E,4,FALSE)</f>
        <v>#N/A</v>
      </c>
      <c r="O406" s="53" t="s">
        <v>1823</v>
      </c>
      <c r="P406" s="40" t="s">
        <v>1822</v>
      </c>
      <c r="Q406" s="84" t="s">
        <v>1824</v>
      </c>
      <c r="R406" s="84" t="s">
        <v>1825</v>
      </c>
      <c r="S406" s="84" t="s">
        <v>1826</v>
      </c>
      <c r="T406" s="84" t="s">
        <v>1827</v>
      </c>
      <c r="U406" s="84" t="s">
        <v>1828</v>
      </c>
      <c r="V406" s="84" t="s">
        <v>1829</v>
      </c>
      <c r="W406" s="57" t="s">
        <v>1830</v>
      </c>
    </row>
    <row r="407">
      <c r="A407" s="158" t="str">
        <f>Translation!A414</f>
        <v>DESCONTOS OBTIDOS</v>
      </c>
      <c r="B407" s="144" t="s">
        <v>1831</v>
      </c>
      <c r="C407" s="140" t="e">
        <f>VLOOKUP(Q407,Data!$B:$E,4,FALSE)</f>
        <v>#N/A</v>
      </c>
      <c r="D407" s="140" t="e">
        <f>VLOOKUP(R407,Data!$B:$E,4,FALSE)</f>
        <v>#N/A</v>
      </c>
      <c r="E407" s="140" t="e">
        <f>VLOOKUP(S407,Data!$B:$E,4,FALSE)</f>
        <v>#N/A</v>
      </c>
      <c r="F407" s="140" t="e">
        <f>VLOOKUP(T407,Data!$B:$E,4,FALSE)</f>
        <v>#N/A</v>
      </c>
      <c r="G407" s="140" t="e">
        <f>VLOOKUP(U407,Data!$B:$E,4,FALSE)</f>
        <v>#N/A</v>
      </c>
      <c r="H407" s="140" t="e">
        <f>VLOOKUP(V407,Data!$B:$E,4,FALSE)</f>
        <v>#N/A</v>
      </c>
      <c r="I407" s="141" t="e">
        <f>VLOOKUP(W407,Data!$B:$E,4,FALSE)</f>
        <v>#N/A</v>
      </c>
      <c r="O407" s="53" t="s">
        <v>1832</v>
      </c>
      <c r="P407" s="40" t="s">
        <v>1831</v>
      </c>
      <c r="Q407" s="84" t="s">
        <v>1833</v>
      </c>
      <c r="R407" s="84" t="s">
        <v>1834</v>
      </c>
      <c r="S407" s="84" t="s">
        <v>1835</v>
      </c>
      <c r="T407" s="84" t="s">
        <v>1836</v>
      </c>
      <c r="U407" s="84" t="s">
        <v>1837</v>
      </c>
      <c r="V407" s="84" t="s">
        <v>1838</v>
      </c>
      <c r="W407" s="57" t="s">
        <v>1839</v>
      </c>
    </row>
    <row r="408">
      <c r="A408" s="158" t="str">
        <f>Translation!A415</f>
        <v>COMISSÕES / BONIFICAÇÕES DIVERSAS</v>
      </c>
      <c r="B408" s="144" t="s">
        <v>1840</v>
      </c>
      <c r="C408" s="140" t="e">
        <f>VLOOKUP(Q408,Data!$B:$E,4,FALSE)</f>
        <v>#N/A</v>
      </c>
      <c r="D408" s="140" t="e">
        <f>VLOOKUP(R408,Data!$B:$E,4,FALSE)</f>
        <v>#N/A</v>
      </c>
      <c r="E408" s="122"/>
      <c r="F408" s="122"/>
      <c r="G408" s="122"/>
      <c r="H408" s="122"/>
      <c r="I408" s="141" t="e">
        <f>VLOOKUP(W408,Data!$B:$E,4,FALSE)</f>
        <v>#N/A</v>
      </c>
      <c r="O408" s="53" t="s">
        <v>1841</v>
      </c>
      <c r="P408" s="40" t="s">
        <v>1840</v>
      </c>
      <c r="Q408" s="80" t="s">
        <v>1842</v>
      </c>
      <c r="R408" s="80" t="s">
        <v>1843</v>
      </c>
      <c r="S408" s="95"/>
      <c r="T408" s="95"/>
      <c r="U408" s="95"/>
      <c r="V408" s="95"/>
      <c r="W408" s="57" t="s">
        <v>1844</v>
      </c>
    </row>
    <row r="409">
      <c r="A409" s="159" t="str">
        <f>Translation!A416</f>
        <v>TOTAL DE RECEITAS FINANCEIRAS</v>
      </c>
      <c r="B409" s="144" t="s">
        <v>1845</v>
      </c>
      <c r="C409" s="141" t="e">
        <f>VLOOKUP(Q409,Data!$B:$E,4,FALSE)</f>
        <v>#N/A</v>
      </c>
      <c r="D409" s="141" t="e">
        <f>VLOOKUP(R409,Data!$B:$E,4,FALSE)</f>
        <v>#N/A</v>
      </c>
      <c r="E409" s="141" t="e">
        <f>VLOOKUP(S409,Data!$B:$E,4,FALSE)</f>
        <v>#N/A</v>
      </c>
      <c r="F409" s="141" t="e">
        <f>VLOOKUP(T409,Data!$B:$E,4,FALSE)</f>
        <v>#N/A</v>
      </c>
      <c r="G409" s="141" t="e">
        <f>VLOOKUP(U409,Data!$B:$E,4,FALSE)</f>
        <v>#N/A</v>
      </c>
      <c r="H409" s="141" t="e">
        <f>VLOOKUP(V409,Data!$B:$E,4,FALSE)</f>
        <v>#N/A</v>
      </c>
      <c r="I409" s="141" t="e">
        <f>VLOOKUP(W409,Data!$B:$E,4,FALSE)</f>
        <v>#N/A</v>
      </c>
      <c r="O409" s="54" t="s">
        <v>733</v>
      </c>
      <c r="P409" s="40" t="s">
        <v>1845</v>
      </c>
      <c r="Q409" s="57" t="s">
        <v>1846</v>
      </c>
      <c r="R409" s="57" t="s">
        <v>1847</v>
      </c>
      <c r="S409" s="57" t="s">
        <v>1848</v>
      </c>
      <c r="T409" s="57" t="s">
        <v>1849</v>
      </c>
      <c r="U409" s="57" t="s">
        <v>1850</v>
      </c>
      <c r="V409" s="57" t="s">
        <v>1851</v>
      </c>
      <c r="W409" s="57" t="s">
        <v>1852</v>
      </c>
    </row>
    <row r="410">
      <c r="A410" s="155" t="str">
        <f>Translation!A417</f>
        <v>RESULTADO ANTES DO IRPJ/CSLL</v>
      </c>
      <c r="B410" s="144" t="str">
        <f>Translation!$G$32</f>
        <v>CONTA</v>
      </c>
      <c r="C410" s="121" t="str">
        <f>Translation!$G$23</f>
        <v>NOVOS</v>
      </c>
      <c r="D410" s="121" t="str">
        <f>Translation!$G$24</f>
        <v>USADOS</v>
      </c>
      <c r="E410" s="121" t="str">
        <f>Translation!$G$25</f>
        <v>F &amp; I</v>
      </c>
      <c r="F410" s="121" t="str">
        <f>Translation!$G$26</f>
        <v>PEÇAS E ACESS.</v>
      </c>
      <c r="G410" s="121" t="str">
        <f>Translation!$G$27</f>
        <v>SERVIÇO</v>
      </c>
      <c r="H410" s="121" t="str">
        <f>Translation!$G$28</f>
        <v>ADM</v>
      </c>
      <c r="I410" s="121" t="str">
        <f>Translation!$G$29</f>
        <v>TOTAL</v>
      </c>
      <c r="O410" s="50" t="s">
        <v>1853</v>
      </c>
      <c r="P410" s="40" t="str">
        <f>Translation!$G$32</f>
        <v>CONTA</v>
      </c>
      <c r="Q410" s="79" t="s">
        <v>1305</v>
      </c>
      <c r="R410" s="79" t="s">
        <v>1306</v>
      </c>
      <c r="S410" s="79" t="s">
        <v>1307</v>
      </c>
      <c r="T410" s="79" t="s">
        <v>1308</v>
      </c>
      <c r="U410" s="79" t="s">
        <v>1309</v>
      </c>
      <c r="V410" s="79" t="s">
        <v>1310</v>
      </c>
      <c r="W410" s="79" t="s">
        <v>1311</v>
      </c>
    </row>
    <row r="411">
      <c r="A411" s="159" t="str">
        <f>Translation!A418</f>
        <v>RESULTADO ANTES DO IRPJ/CSLL</v>
      </c>
      <c r="B411" s="144" t="s">
        <v>1854</v>
      </c>
      <c r="C411" s="141" t="e">
        <f>VLOOKUP(Q411,Data!$B:$E,4,FALSE)</f>
        <v>#N/A</v>
      </c>
      <c r="D411" s="141" t="e">
        <f>VLOOKUP(R411,Data!$B:$E,4,FALSE)</f>
        <v>#N/A</v>
      </c>
      <c r="E411" s="141" t="e">
        <f>VLOOKUP(S411,Data!$B:$E,4,FALSE)</f>
        <v>#N/A</v>
      </c>
      <c r="F411" s="141" t="e">
        <f>VLOOKUP(T411,Data!$B:$E,4,FALSE)</f>
        <v>#N/A</v>
      </c>
      <c r="G411" s="141" t="e">
        <f>VLOOKUP(U411,Data!$B:$E,4,FALSE)</f>
        <v>#N/A</v>
      </c>
      <c r="H411" s="141" t="e">
        <f>VLOOKUP(V411,Data!$B:$E,4,FALSE)</f>
        <v>#N/A</v>
      </c>
      <c r="I411" s="141" t="e">
        <f>VLOOKUP(W411,Data!$B:$E,4,FALSE)</f>
        <v>#N/A</v>
      </c>
      <c r="O411" s="139" t="s">
        <v>1853</v>
      </c>
      <c r="P411" s="40" t="s">
        <v>1854</v>
      </c>
      <c r="Q411" s="57" t="s">
        <v>1855</v>
      </c>
      <c r="R411" s="57" t="s">
        <v>1856</v>
      </c>
      <c r="S411" s="57" t="s">
        <v>1857</v>
      </c>
      <c r="T411" s="57" t="s">
        <v>1858</v>
      </c>
      <c r="U411" s="57" t="s">
        <v>1859</v>
      </c>
      <c r="V411" s="57" t="s">
        <v>1860</v>
      </c>
      <c r="W411" s="57" t="s">
        <v>1861</v>
      </c>
    </row>
    <row r="412">
      <c r="A412" s="155" t="str">
        <f>Translation!A419</f>
        <v>ESTATÍSTICA DE PESSOAL - NÚMERO DE FUNCIONÁRIOS</v>
      </c>
      <c r="B412" s="144" t="str">
        <f>Translation!$G$32</f>
        <v>CONTA</v>
      </c>
      <c r="C412" s="121" t="str">
        <f>Translation!$G$16</f>
        <v>NOVOS</v>
      </c>
      <c r="D412" s="121" t="str">
        <f>Translation!$G$17</f>
        <v>USADOS</v>
      </c>
      <c r="E412" s="121" t="str">
        <f>Translation!$G$18</f>
        <v>F &amp; I</v>
      </c>
      <c r="F412" s="121" t="str">
        <f>Translation!$G$19</f>
        <v>PEÇAS E ACESS.</v>
      </c>
      <c r="G412" s="121" t="str">
        <f>Translation!$G$20</f>
        <v>SERVIÇO</v>
      </c>
      <c r="H412" s="121" t="str">
        <f>Translation!$G$21</f>
        <v>ADM</v>
      </c>
      <c r="I412" s="121" t="str">
        <f>Translation!$G$22</f>
        <v>TOTAL</v>
      </c>
      <c r="O412" s="50" t="s">
        <v>1862</v>
      </c>
      <c r="P412" s="40" t="str">
        <f>Translation!$G$32</f>
        <v>CONTA</v>
      </c>
      <c r="Q412" s="79" t="s">
        <v>1863</v>
      </c>
      <c r="R412" s="79" t="s">
        <v>1864</v>
      </c>
      <c r="S412" s="79" t="s">
        <v>1865</v>
      </c>
      <c r="T412" s="79" t="s">
        <v>1866</v>
      </c>
      <c r="U412" s="79" t="s">
        <v>1867</v>
      </c>
      <c r="V412" s="79" t="s">
        <v>1868</v>
      </c>
      <c r="W412" s="79" t="s">
        <v>1869</v>
      </c>
    </row>
    <row r="413">
      <c r="A413" s="158" t="str">
        <f>Translation!A420</f>
        <v>GERENTES</v>
      </c>
      <c r="B413" s="144" t="s">
        <v>1870</v>
      </c>
      <c r="C413" s="140" t="e">
        <f>VLOOKUP(Q413,Data!$B:$E,4,FALSE)</f>
        <v>#N/A</v>
      </c>
      <c r="D413" s="140" t="e">
        <f>VLOOKUP(R413,Data!$B:$E,4,FALSE)</f>
        <v>#N/A</v>
      </c>
      <c r="E413" s="140" t="e">
        <f>VLOOKUP(S413,Data!$B:$E,4,FALSE)</f>
        <v>#N/A</v>
      </c>
      <c r="F413" s="140" t="e">
        <f>VLOOKUP(T413,Data!$B:$E,4,FALSE)</f>
        <v>#N/A</v>
      </c>
      <c r="G413" s="140" t="e">
        <f>VLOOKUP(U413,Data!$B:$E,4,FALSE)</f>
        <v>#N/A</v>
      </c>
      <c r="H413" s="140" t="e">
        <f>VLOOKUP(V413,Data!$B:$E,4,FALSE)</f>
        <v>#N/A</v>
      </c>
      <c r="I413" s="141" t="e">
        <f>VLOOKUP(W413,Data!$B:$E,4,FALSE)</f>
        <v>#N/A</v>
      </c>
      <c r="O413" s="53" t="s">
        <v>1871</v>
      </c>
      <c r="P413" s="40" t="s">
        <v>1870</v>
      </c>
      <c r="Q413" s="80" t="s">
        <v>1872</v>
      </c>
      <c r="R413" s="80" t="s">
        <v>1873</v>
      </c>
      <c r="S413" s="80" t="s">
        <v>1874</v>
      </c>
      <c r="T413" s="80" t="s">
        <v>1875</v>
      </c>
      <c r="U413" s="80" t="s">
        <v>1876</v>
      </c>
      <c r="V413" s="80" t="s">
        <v>1877</v>
      </c>
      <c r="W413" s="57" t="s">
        <v>1878</v>
      </c>
    </row>
    <row r="414">
      <c r="A414" s="158" t="str">
        <f>Translation!A421</f>
        <v>SUPERVISOR</v>
      </c>
      <c r="B414" s="144" t="s">
        <v>1879</v>
      </c>
      <c r="C414" s="140" t="e">
        <f>VLOOKUP(Q414,Data!$B:$E,4,FALSE)</f>
        <v>#N/A</v>
      </c>
      <c r="D414" s="140" t="e">
        <f>VLOOKUP(R414,Data!$B:$E,4,FALSE)</f>
        <v>#N/A</v>
      </c>
      <c r="E414" s="140" t="e">
        <f>VLOOKUP(S414,Data!$B:$E,4,FALSE)</f>
        <v>#N/A</v>
      </c>
      <c r="F414" s="140" t="e">
        <f>VLOOKUP(T414,Data!$B:$E,4,FALSE)</f>
        <v>#N/A</v>
      </c>
      <c r="G414" s="140" t="e">
        <f>VLOOKUP(U414,Data!$B:$E,4,FALSE)</f>
        <v>#N/A</v>
      </c>
      <c r="H414" s="140" t="e">
        <f>VLOOKUP(V414,Data!$B:$E,4,FALSE)</f>
        <v>#N/A</v>
      </c>
      <c r="I414" s="141" t="e">
        <f>VLOOKUP(W414,Data!$B:$E,4,FALSE)</f>
        <v>#N/A</v>
      </c>
      <c r="O414" s="53" t="s">
        <v>1880</v>
      </c>
      <c r="P414" s="40" t="s">
        <v>1879</v>
      </c>
      <c r="Q414" s="80" t="s">
        <v>1881</v>
      </c>
      <c r="R414" s="80" t="s">
        <v>1882</v>
      </c>
      <c r="S414" s="80" t="s">
        <v>1883</v>
      </c>
      <c r="T414" s="80" t="s">
        <v>1884</v>
      </c>
      <c r="U414" s="80" t="s">
        <v>1885</v>
      </c>
      <c r="V414" s="80" t="s">
        <v>1886</v>
      </c>
      <c r="W414" s="57" t="s">
        <v>1887</v>
      </c>
    </row>
    <row r="415">
      <c r="A415" s="158" t="str">
        <f>Translation!A422</f>
        <v>VENDEDORES EXTERNOS</v>
      </c>
      <c r="B415" s="144" t="s">
        <v>1888</v>
      </c>
      <c r="C415" s="140" t="e">
        <f>VLOOKUP(Q415,Data!$B:$E,4,FALSE)</f>
        <v>#N/A</v>
      </c>
      <c r="D415" s="140" t="e">
        <f>VLOOKUP(R415,Data!$B:$E,4,FALSE)</f>
        <v>#N/A</v>
      </c>
      <c r="E415" s="140" t="e">
        <f>VLOOKUP(S415,Data!$B:$E,4,FALSE)</f>
        <v>#N/A</v>
      </c>
      <c r="F415" s="140" t="e">
        <f>VLOOKUP(T415,Data!$B:$E,4,FALSE)</f>
        <v>#N/A</v>
      </c>
      <c r="G415" s="140" t="e">
        <f>VLOOKUP(U415,Data!$B:$E,4,FALSE)</f>
        <v>#N/A</v>
      </c>
      <c r="H415" s="140" t="e">
        <f>VLOOKUP(V415,Data!$B:$E,4,FALSE)</f>
        <v>#N/A</v>
      </c>
      <c r="I415" s="141" t="e">
        <f>VLOOKUP(W415,Data!$B:$E,4,FALSE)</f>
        <v>#N/A</v>
      </c>
      <c r="O415" s="53" t="s">
        <v>1889</v>
      </c>
      <c r="P415" s="40" t="s">
        <v>1888</v>
      </c>
      <c r="Q415" s="80" t="s">
        <v>1890</v>
      </c>
      <c r="R415" s="80" t="s">
        <v>1891</v>
      </c>
      <c r="S415" s="80" t="s">
        <v>1892</v>
      </c>
      <c r="T415" s="80" t="s">
        <v>1893</v>
      </c>
      <c r="U415" s="80" t="s">
        <v>1894</v>
      </c>
      <c r="V415" s="80" t="s">
        <v>1895</v>
      </c>
      <c r="W415" s="57" t="s">
        <v>1896</v>
      </c>
    </row>
    <row r="416">
      <c r="A416" s="158" t="str">
        <f>Translation!A423</f>
        <v>VENDEDORES INTERNOS</v>
      </c>
      <c r="B416" s="144" t="s">
        <v>1897</v>
      </c>
      <c r="C416" s="140" t="e">
        <f>VLOOKUP(Q416,Data!$B:$E,4,FALSE)</f>
        <v>#N/A</v>
      </c>
      <c r="D416" s="140" t="e">
        <f>VLOOKUP(R416,Data!$B:$E,4,FALSE)</f>
        <v>#N/A</v>
      </c>
      <c r="E416" s="140" t="e">
        <f>VLOOKUP(S416,Data!$B:$E,4,FALSE)</f>
        <v>#N/A</v>
      </c>
      <c r="F416" s="140" t="e">
        <f>VLOOKUP(T416,Data!$B:$E,4,FALSE)</f>
        <v>#N/A</v>
      </c>
      <c r="G416" s="140" t="e">
        <f>VLOOKUP(U416,Data!$B:$E,4,FALSE)</f>
        <v>#N/A</v>
      </c>
      <c r="H416" s="140" t="e">
        <f>VLOOKUP(V416,Data!$B:$E,4,FALSE)</f>
        <v>#N/A</v>
      </c>
      <c r="I416" s="141" t="e">
        <f>VLOOKUP(W416,Data!$B:$E,4,FALSE)</f>
        <v>#N/A</v>
      </c>
      <c r="O416" s="53" t="s">
        <v>1898</v>
      </c>
      <c r="P416" s="40" t="s">
        <v>1897</v>
      </c>
      <c r="Q416" s="80" t="s">
        <v>1899</v>
      </c>
      <c r="R416" s="80" t="s">
        <v>1900</v>
      </c>
      <c r="S416" s="80" t="s">
        <v>1901</v>
      </c>
      <c r="T416" s="80" t="s">
        <v>1902</v>
      </c>
      <c r="U416" s="80" t="s">
        <v>1903</v>
      </c>
      <c r="V416" s="80" t="s">
        <v>1904</v>
      </c>
      <c r="W416" s="57" t="s">
        <v>1905</v>
      </c>
    </row>
    <row r="417">
      <c r="A417" s="158" t="str">
        <f>Translation!A424</f>
        <v>ADMINISTRATIVOS</v>
      </c>
      <c r="B417" s="144" t="s">
        <v>1906</v>
      </c>
      <c r="C417" s="140" t="e">
        <f>VLOOKUP(Q417,Data!$B:$E,4,FALSE)</f>
        <v>#N/A</v>
      </c>
      <c r="D417" s="140" t="e">
        <f>VLOOKUP(R417,Data!$B:$E,4,FALSE)</f>
        <v>#N/A</v>
      </c>
      <c r="E417" s="140" t="e">
        <f>VLOOKUP(S417,Data!$B:$E,4,FALSE)</f>
        <v>#N/A</v>
      </c>
      <c r="F417" s="140" t="e">
        <f>VLOOKUP(T417,Data!$B:$E,4,FALSE)</f>
        <v>#N/A</v>
      </c>
      <c r="G417" s="140" t="e">
        <f>VLOOKUP(U417,Data!$B:$E,4,FALSE)</f>
        <v>#N/A</v>
      </c>
      <c r="H417" s="140" t="e">
        <f>VLOOKUP(V417,Data!$B:$E,4,FALSE)</f>
        <v>#N/A</v>
      </c>
      <c r="I417" s="141" t="e">
        <f>VLOOKUP(W417,Data!$B:$E,4,FALSE)</f>
        <v>#N/A</v>
      </c>
      <c r="O417" s="53" t="s">
        <v>1907</v>
      </c>
      <c r="P417" s="40" t="s">
        <v>1906</v>
      </c>
      <c r="Q417" s="80" t="s">
        <v>1908</v>
      </c>
      <c r="R417" s="80" t="s">
        <v>1909</v>
      </c>
      <c r="S417" s="80" t="s">
        <v>1910</v>
      </c>
      <c r="T417" s="80" t="s">
        <v>1911</v>
      </c>
      <c r="U417" s="80" t="s">
        <v>1912</v>
      </c>
      <c r="V417" s="80" t="s">
        <v>1913</v>
      </c>
      <c r="W417" s="57" t="s">
        <v>1914</v>
      </c>
    </row>
    <row r="418">
      <c r="A418" s="158" t="str">
        <f>Translation!A425</f>
        <v>RECEPCIONISTA</v>
      </c>
      <c r="B418" s="144" t="s">
        <v>1915</v>
      </c>
      <c r="C418" s="140" t="e">
        <f>VLOOKUP(Q418,Data!$B:$E,4,FALSE)</f>
        <v>#N/A</v>
      </c>
      <c r="D418" s="140" t="e">
        <f>VLOOKUP(R418,Data!$B:$E,4,FALSE)</f>
        <v>#N/A</v>
      </c>
      <c r="E418" s="140" t="e">
        <f>VLOOKUP(S418,Data!$B:$E,4,FALSE)</f>
        <v>#N/A</v>
      </c>
      <c r="F418" s="140" t="e">
        <f>VLOOKUP(T418,Data!$B:$E,4,FALSE)</f>
        <v>#N/A</v>
      </c>
      <c r="G418" s="140" t="e">
        <f>VLOOKUP(U418,Data!$B:$E,4,FALSE)</f>
        <v>#N/A</v>
      </c>
      <c r="H418" s="140" t="e">
        <f>VLOOKUP(V418,Data!$B:$E,4,FALSE)</f>
        <v>#N/A</v>
      </c>
      <c r="I418" s="141" t="e">
        <f>VLOOKUP(W418,Data!$B:$E,4,FALSE)</f>
        <v>#N/A</v>
      </c>
      <c r="O418" s="53" t="s">
        <v>1916</v>
      </c>
      <c r="P418" s="40" t="s">
        <v>1915</v>
      </c>
      <c r="Q418" s="80" t="s">
        <v>1917</v>
      </c>
      <c r="R418" s="80" t="s">
        <v>1918</v>
      </c>
      <c r="S418" s="80" t="s">
        <v>1919</v>
      </c>
      <c r="T418" s="80" t="s">
        <v>1920</v>
      </c>
      <c r="U418" s="80" t="s">
        <v>1921</v>
      </c>
      <c r="V418" s="80" t="s">
        <v>1922</v>
      </c>
      <c r="W418" s="57" t="s">
        <v>1923</v>
      </c>
    </row>
    <row r="419">
      <c r="A419" s="158" t="str">
        <f>Translation!A426</f>
        <v>MECANICOS</v>
      </c>
      <c r="B419" s="144" t="s">
        <v>1924</v>
      </c>
      <c r="C419" s="140" t="e">
        <f>VLOOKUP(Q419,Data!$B:$E,4,FALSE)</f>
        <v>#N/A</v>
      </c>
      <c r="D419" s="140" t="e">
        <f>VLOOKUP(R419,Data!$B:$E,4,FALSE)</f>
        <v>#N/A</v>
      </c>
      <c r="E419" s="140" t="e">
        <f>VLOOKUP(S419,Data!$B:$E,4,FALSE)</f>
        <v>#N/A</v>
      </c>
      <c r="F419" s="140" t="e">
        <f>VLOOKUP(T419,Data!$B:$E,4,FALSE)</f>
        <v>#N/A</v>
      </c>
      <c r="G419" s="140" t="e">
        <f>VLOOKUP(U419,Data!$B:$E,4,FALSE)</f>
        <v>#N/A</v>
      </c>
      <c r="H419" s="140" t="e">
        <f>VLOOKUP(V419,Data!$B:$E,4,FALSE)</f>
        <v>#N/A</v>
      </c>
      <c r="I419" s="141" t="e">
        <f>VLOOKUP(W419,Data!$B:$E,4,FALSE)</f>
        <v>#N/A</v>
      </c>
      <c r="O419" s="53" t="s">
        <v>1925</v>
      </c>
      <c r="P419" s="40" t="s">
        <v>1924</v>
      </c>
      <c r="Q419" s="80" t="s">
        <v>1926</v>
      </c>
      <c r="R419" s="80" t="s">
        <v>1927</v>
      </c>
      <c r="S419" s="80" t="s">
        <v>1928</v>
      </c>
      <c r="T419" s="80" t="s">
        <v>1929</v>
      </c>
      <c r="U419" s="80" t="s">
        <v>1930</v>
      </c>
      <c r="V419" s="80" t="s">
        <v>1931</v>
      </c>
      <c r="W419" s="57" t="s">
        <v>1932</v>
      </c>
    </row>
    <row r="420">
      <c r="A420" s="159" t="str">
        <f>Translation!A427</f>
        <v>TOTAL DE NÚMERO DE FUNCIONÁRIOS</v>
      </c>
      <c r="B420" s="144" t="s">
        <v>1933</v>
      </c>
      <c r="C420" s="141" t="e">
        <f>VLOOKUP(Q420,Data!$B:$E,4,FALSE)</f>
        <v>#N/A</v>
      </c>
      <c r="D420" s="141" t="e">
        <f>VLOOKUP(R420,Data!$B:$E,4,FALSE)</f>
        <v>#N/A</v>
      </c>
      <c r="E420" s="141" t="e">
        <f>VLOOKUP(S420,Data!$B:$E,4,FALSE)</f>
        <v>#N/A</v>
      </c>
      <c r="F420" s="141" t="e">
        <f>VLOOKUP(T420,Data!$B:$E,4,FALSE)</f>
        <v>#N/A</v>
      </c>
      <c r="G420" s="141" t="e">
        <f>VLOOKUP(U420,Data!$B:$E,4,FALSE)</f>
        <v>#N/A</v>
      </c>
      <c r="H420" s="141" t="e">
        <f>VLOOKUP(V420,Data!$B:$E,4,FALSE)</f>
        <v>#N/A</v>
      </c>
      <c r="I420" s="141" t="e">
        <f>VLOOKUP(W420,Data!$B:$E,4,FALSE)</f>
        <v>#N/A</v>
      </c>
      <c r="O420" s="54" t="s">
        <v>1934</v>
      </c>
      <c r="P420" s="40" t="s">
        <v>1933</v>
      </c>
      <c r="Q420" s="57" t="s">
        <v>1935</v>
      </c>
      <c r="R420" s="57" t="s">
        <v>1936</v>
      </c>
      <c r="S420" s="57" t="s">
        <v>1937</v>
      </c>
      <c r="T420" s="57" t="s">
        <v>1938</v>
      </c>
      <c r="U420" s="57" t="s">
        <v>1939</v>
      </c>
      <c r="V420" s="57" t="s">
        <v>1940</v>
      </c>
      <c r="W420" s="57" t="s">
        <v>1941</v>
      </c>
    </row>
    <row r="421">
      <c r="A421" s="37" t="str">
        <f>Translation!A428</f>
        <v>ÁREAS UTILIZADAS ( M2 )</v>
      </c>
      <c r="B421" s="144" t="str">
        <f>Translation!$G$32</f>
        <v>CONTA</v>
      </c>
      <c r="C421" s="121" t="str">
        <f>Translation!$G$16</f>
        <v>NOVOS</v>
      </c>
      <c r="D421" s="121" t="str">
        <f>Translation!$G$17</f>
        <v>USADOS</v>
      </c>
      <c r="E421" s="121" t="str">
        <f>Translation!$G$18</f>
        <v>F &amp; I</v>
      </c>
      <c r="F421" s="121" t="str">
        <f>Translation!$G$19</f>
        <v>PEÇAS E ACESS.</v>
      </c>
      <c r="G421" s="121" t="str">
        <f>Translation!$G$20</f>
        <v>SERVIÇO</v>
      </c>
      <c r="H421" s="121" t="str">
        <f>Translation!$G$21</f>
        <v>ADM</v>
      </c>
      <c r="I421" s="121" t="str">
        <f>Translation!$G$22</f>
        <v>TOTAL</v>
      </c>
      <c r="O421" s="55" t="s">
        <v>1942</v>
      </c>
      <c r="P421" s="40" t="str">
        <f>Translation!$G$32</f>
        <v>CONTA</v>
      </c>
      <c r="Q421" s="79" t="s">
        <v>1863</v>
      </c>
      <c r="R421" s="79" t="s">
        <v>1864</v>
      </c>
      <c r="S421" s="79" t="s">
        <v>1865</v>
      </c>
      <c r="T421" s="79" t="s">
        <v>1866</v>
      </c>
      <c r="U421" s="79" t="s">
        <v>1867</v>
      </c>
      <c r="V421" s="79" t="s">
        <v>1868</v>
      </c>
      <c r="W421" s="79" t="s">
        <v>1869</v>
      </c>
    </row>
    <row r="422">
      <c r="A422" s="158" t="str">
        <f>Translation!A429</f>
        <v>ÁREA DE VENDAS</v>
      </c>
      <c r="B422" s="144" t="s">
        <v>1943</v>
      </c>
      <c r="C422" s="140" t="e">
        <f>VLOOKUP(Q422,Data!$B:$E,4,FALSE)</f>
        <v>#N/A</v>
      </c>
      <c r="D422" s="140" t="e">
        <f>VLOOKUP(R422,Data!$B:$E,4,FALSE)</f>
        <v>#N/A</v>
      </c>
      <c r="E422" s="140" t="e">
        <f>VLOOKUP(S422,Data!$B:$E,4,FALSE)</f>
        <v>#N/A</v>
      </c>
      <c r="F422" s="140" t="e">
        <f>VLOOKUP(T422,Data!$B:$E,4,FALSE)</f>
        <v>#N/A</v>
      </c>
      <c r="G422" s="140" t="e">
        <f>VLOOKUP(U422,Data!$B:$E,4,FALSE)</f>
        <v>#N/A</v>
      </c>
      <c r="H422" s="122"/>
      <c r="I422" s="141" t="e">
        <f>VLOOKUP(W422,Data!$B:$E,4,FALSE)</f>
        <v>#N/A</v>
      </c>
      <c r="O422" s="53" t="s">
        <v>1944</v>
      </c>
      <c r="P422" s="40" t="s">
        <v>1943</v>
      </c>
      <c r="Q422" s="80" t="s">
        <v>1945</v>
      </c>
      <c r="R422" s="80" t="s">
        <v>1946</v>
      </c>
      <c r="S422" s="80" t="s">
        <v>1947</v>
      </c>
      <c r="T422" s="80" t="s">
        <v>1948</v>
      </c>
      <c r="U422" s="80" t="s">
        <v>1949</v>
      </c>
      <c r="V422" s="61"/>
      <c r="W422" s="57" t="s">
        <v>1950</v>
      </c>
    </row>
    <row r="423">
      <c r="A423" s="158" t="str">
        <f>Translation!A430</f>
        <v>ÁREA DE OFICINA</v>
      </c>
      <c r="B423" s="144" t="s">
        <v>1951</v>
      </c>
      <c r="C423" s="122"/>
      <c r="D423" s="122"/>
      <c r="E423" s="122"/>
      <c r="F423" s="122"/>
      <c r="G423" s="140" t="e">
        <f>VLOOKUP(U423,Data!$B:$E,4,FALSE)</f>
        <v>#N/A</v>
      </c>
      <c r="H423" s="122"/>
      <c r="I423" s="141" t="e">
        <f>VLOOKUP(W423,Data!$B:$E,4,FALSE)</f>
        <v>#N/A</v>
      </c>
      <c r="O423" s="53" t="s">
        <v>1952</v>
      </c>
      <c r="P423" s="40" t="s">
        <v>1951</v>
      </c>
      <c r="Q423" s="61"/>
      <c r="R423" s="61"/>
      <c r="S423" s="61"/>
      <c r="T423" s="61"/>
      <c r="U423" s="80" t="s">
        <v>1953</v>
      </c>
      <c r="V423" s="61"/>
      <c r="W423" s="57" t="s">
        <v>1954</v>
      </c>
    </row>
    <row r="424">
      <c r="A424" s="158" t="str">
        <f>Translation!A431</f>
        <v>ÁREA DE PEÇAS E ACESSÓRIOS</v>
      </c>
      <c r="B424" s="144" t="s">
        <v>1955</v>
      </c>
      <c r="C424" s="122"/>
      <c r="D424" s="122"/>
      <c r="E424" s="122"/>
      <c r="F424" s="140" t="e">
        <f>VLOOKUP(T424,Data!$B:$E,4,FALSE)</f>
        <v>#N/A</v>
      </c>
      <c r="G424" s="122"/>
      <c r="H424" s="122"/>
      <c r="I424" s="141" t="e">
        <f>VLOOKUP(W424,Data!$B:$E,4,FALSE)</f>
        <v>#N/A</v>
      </c>
      <c r="O424" s="53" t="s">
        <v>1956</v>
      </c>
      <c r="P424" s="40" t="s">
        <v>1955</v>
      </c>
      <c r="Q424" s="61"/>
      <c r="R424" s="61"/>
      <c r="S424" s="61"/>
      <c r="T424" s="80" t="s">
        <v>1957</v>
      </c>
      <c r="U424" s="61"/>
      <c r="V424" s="61"/>
      <c r="W424" s="57" t="s">
        <v>1958</v>
      </c>
    </row>
    <row r="425">
      <c r="A425" s="158" t="str">
        <f>Translation!A432</f>
        <v>ÁREA DE ADMINISTRAÇÃO</v>
      </c>
      <c r="B425" s="144" t="s">
        <v>1959</v>
      </c>
      <c r="C425" s="122"/>
      <c r="D425" s="122"/>
      <c r="E425" s="122"/>
      <c r="F425" s="122"/>
      <c r="G425" s="122"/>
      <c r="H425" s="140" t="e">
        <f>VLOOKUP(V425,Data!$B:$E,4,FALSE)</f>
        <v>#N/A</v>
      </c>
      <c r="I425" s="141" t="e">
        <f>VLOOKUP(W425,Data!$B:$E,4,FALSE)</f>
        <v>#N/A</v>
      </c>
      <c r="O425" s="53" t="s">
        <v>1960</v>
      </c>
      <c r="P425" s="40" t="s">
        <v>1959</v>
      </c>
      <c r="Q425" s="61"/>
      <c r="R425" s="61"/>
      <c r="S425" s="61"/>
      <c r="T425" s="61"/>
      <c r="U425" s="61"/>
      <c r="V425" s="80" t="s">
        <v>1961</v>
      </c>
      <c r="W425" s="57" t="s">
        <v>1962</v>
      </c>
    </row>
    <row r="426">
      <c r="A426" s="159" t="str">
        <f>Translation!A433</f>
        <v>TOTAL DA ÁREAS UTILIZADAS ( M2 )</v>
      </c>
      <c r="B426" s="144" t="s">
        <v>1963</v>
      </c>
      <c r="C426" s="141" t="e">
        <f>VLOOKUP(Q426,Data!$B:$E,4,FALSE)</f>
        <v>#N/A</v>
      </c>
      <c r="D426" s="141" t="e">
        <f>VLOOKUP(R426,Data!$B:$E,4,FALSE)</f>
        <v>#N/A</v>
      </c>
      <c r="E426" s="141" t="e">
        <f>VLOOKUP(S426,Data!$B:$E,4,FALSE)</f>
        <v>#N/A</v>
      </c>
      <c r="F426" s="141" t="e">
        <f>VLOOKUP(T426,Data!$B:$E,4,FALSE)</f>
        <v>#N/A</v>
      </c>
      <c r="G426" s="141" t="e">
        <f>VLOOKUP(U426,Data!$B:$E,4,FALSE)</f>
        <v>#N/A</v>
      </c>
      <c r="H426" s="141" t="e">
        <f>VLOOKUP(V426,Data!$B:$E,4,FALSE)</f>
        <v>#N/A</v>
      </c>
      <c r="I426" s="141" t="e">
        <f>VLOOKUP(W426,Data!$B:$E,4,FALSE)</f>
        <v>#N/A</v>
      </c>
      <c r="O426" s="54" t="s">
        <v>1964</v>
      </c>
      <c r="P426" s="40" t="s">
        <v>1963</v>
      </c>
      <c r="Q426" s="57" t="s">
        <v>1965</v>
      </c>
      <c r="R426" s="57" t="s">
        <v>1966</v>
      </c>
      <c r="S426" s="57" t="s">
        <v>1967</v>
      </c>
      <c r="T426" s="57" t="s">
        <v>1968</v>
      </c>
      <c r="U426" s="57" t="s">
        <v>1969</v>
      </c>
      <c r="V426" s="57" t="s">
        <v>1970</v>
      </c>
      <c r="W426" s="57" t="s">
        <v>1971</v>
      </c>
    </row>
    <row r="427">
      <c r="A427" s="71" t="str">
        <f>Translation!A7</f>
        <v>BALANÇO</v>
      </c>
      <c r="B427" s="82"/>
      <c r="C427" s="102"/>
      <c r="D427" s="102"/>
      <c r="E427" s="102"/>
      <c r="F427" s="102"/>
      <c r="G427" s="103"/>
      <c r="H427" s="104"/>
      <c r="I427" s="104"/>
      <c r="O427" s="71" t="s">
        <v>1972</v>
      </c>
      <c r="P427" s="82"/>
      <c r="Q427" s="89"/>
      <c r="R427" s="89"/>
      <c r="S427" s="89"/>
      <c r="T427" s="89"/>
      <c r="U427" s="90"/>
      <c r="V427" s="91"/>
      <c r="W427" s="91"/>
    </row>
    <row r="428">
      <c r="A428" s="152" t="str">
        <f>Translation!A435</f>
        <v>ATIVO</v>
      </c>
      <c r="B428" s="144" t="str">
        <f>Translation!$G$32</f>
        <v>CONTA</v>
      </c>
      <c r="C428" s="74" t="str">
        <f>Translation!$G$1</f>
        <v>VALOR</v>
      </c>
      <c r="D428" s="113"/>
      <c r="E428" s="113"/>
      <c r="F428" s="113"/>
      <c r="G428" s="113"/>
      <c r="H428" s="113"/>
      <c r="I428" s="113"/>
      <c r="O428" s="27" t="s">
        <v>1973</v>
      </c>
      <c r="P428" s="40" t="str">
        <f>Translation!$G$32</f>
        <v>CONTA</v>
      </c>
      <c r="Q428" s="79" t="str">
        <f>Translation!$G$1</f>
        <v>VALOR</v>
      </c>
      <c r="R428" s="84"/>
      <c r="S428" s="84"/>
      <c r="T428" s="84"/>
      <c r="U428" s="84"/>
      <c r="V428" s="84"/>
      <c r="W428" s="84"/>
    </row>
    <row r="429">
      <c r="A429" s="148" t="str">
        <f>Translation!A436</f>
        <v>CAIXA</v>
      </c>
      <c r="B429" s="144" t="s">
        <v>1974</v>
      </c>
      <c r="C429" s="140" t="e">
        <f>VLOOKUP(Q429,Data!$B:$E,4,FALSE)</f>
        <v>#N/A</v>
      </c>
      <c r="D429" s="114"/>
      <c r="E429" s="114"/>
      <c r="F429" s="114"/>
      <c r="G429" s="114"/>
      <c r="H429" s="113"/>
      <c r="I429" s="113"/>
      <c r="O429" s="29" t="s">
        <v>1975</v>
      </c>
      <c r="P429" s="40" t="s">
        <v>1974</v>
      </c>
      <c r="Q429" s="80" t="s">
        <v>1976</v>
      </c>
      <c r="R429" s="83"/>
      <c r="S429" s="83"/>
      <c r="T429" s="83"/>
      <c r="U429" s="83"/>
      <c r="V429" s="84"/>
      <c r="W429" s="84"/>
    </row>
    <row r="430">
      <c r="A430" s="148" t="str">
        <f>Translation!A437</f>
        <v>BANCOS</v>
      </c>
      <c r="B430" s="144" t="s">
        <v>1977</v>
      </c>
      <c r="C430" s="140" t="e">
        <f>VLOOKUP(Q430,Data!$B:$E,4,FALSE)</f>
        <v>#N/A</v>
      </c>
      <c r="D430" s="114"/>
      <c r="E430" s="114"/>
      <c r="F430" s="114"/>
      <c r="G430" s="114"/>
      <c r="H430" s="113"/>
      <c r="I430" s="113"/>
      <c r="O430" s="29" t="s">
        <v>1978</v>
      </c>
      <c r="P430" s="40" t="s">
        <v>1977</v>
      </c>
      <c r="Q430" s="80" t="s">
        <v>1979</v>
      </c>
      <c r="R430" s="83"/>
      <c r="S430" s="83"/>
      <c r="T430" s="83"/>
      <c r="U430" s="83"/>
      <c r="V430" s="84"/>
      <c r="W430" s="84"/>
    </row>
    <row r="431">
      <c r="A431" s="148" t="str">
        <f>Translation!A438</f>
        <v>CONTA CORRENTE</v>
      </c>
      <c r="B431" s="144" t="s">
        <v>1980</v>
      </c>
      <c r="C431" s="140" t="e">
        <f>VLOOKUP(Q431,Data!$B:$E,4,FALSE)</f>
        <v>#N/A</v>
      </c>
      <c r="D431" s="114"/>
      <c r="E431" s="114"/>
      <c r="F431" s="114"/>
      <c r="G431" s="114"/>
      <c r="H431" s="113"/>
      <c r="I431" s="113"/>
      <c r="O431" s="29" t="s">
        <v>1981</v>
      </c>
      <c r="P431" s="40" t="s">
        <v>1980</v>
      </c>
      <c r="Q431" s="80" t="s">
        <v>1982</v>
      </c>
      <c r="R431" s="83"/>
      <c r="S431" s="83"/>
      <c r="T431" s="83"/>
      <c r="U431" s="83"/>
      <c r="V431" s="84"/>
      <c r="W431" s="84"/>
    </row>
    <row r="432">
      <c r="A432" s="157" t="str">
        <f>Translation!A439</f>
        <v>INVESTIMENTOS / APLICAÇÕES</v>
      </c>
      <c r="B432" s="144" t="s">
        <v>1983</v>
      </c>
      <c r="C432" s="140" t="e">
        <f>VLOOKUP(Q432,Data!$B:$E,4,FALSE)</f>
        <v>#N/A</v>
      </c>
      <c r="D432" s="118"/>
      <c r="E432" s="118"/>
      <c r="F432" s="117"/>
      <c r="G432" s="117"/>
      <c r="H432" s="113"/>
      <c r="I432" s="113"/>
      <c r="O432" s="52" t="s">
        <v>1984</v>
      </c>
      <c r="P432" s="40" t="s">
        <v>1983</v>
      </c>
      <c r="Q432" s="80" t="s">
        <v>1985</v>
      </c>
      <c r="R432" s="88"/>
      <c r="S432" s="88"/>
      <c r="T432" s="87"/>
      <c r="U432" s="87"/>
      <c r="V432" s="84"/>
      <c r="W432" s="84"/>
    </row>
    <row r="433">
      <c r="A433" s="151" t="str">
        <f>Translation!A440</f>
        <v>TOTAL DE CAIXA E BANCOS</v>
      </c>
      <c r="B433" s="144" t="s">
        <v>1986</v>
      </c>
      <c r="C433" s="141" t="e">
        <f>VLOOKUP(Q433,Data!$B:$E,4,FALSE)</f>
        <v>#N/A</v>
      </c>
      <c r="D433" s="118"/>
      <c r="E433" s="118"/>
      <c r="F433" s="117"/>
      <c r="G433" s="117"/>
      <c r="H433" s="113"/>
      <c r="I433" s="113"/>
      <c r="O433" s="48" t="s">
        <v>1987</v>
      </c>
      <c r="P433" s="40" t="s">
        <v>1986</v>
      </c>
      <c r="Q433" s="57" t="s">
        <v>1988</v>
      </c>
      <c r="R433" s="88"/>
      <c r="S433" s="88"/>
      <c r="T433" s="87"/>
      <c r="U433" s="87"/>
      <c r="V433" s="84"/>
      <c r="W433" s="84"/>
    </row>
    <row r="434">
      <c r="A434" s="148" t="str">
        <f>Translation!A441</f>
        <v>DUPLICATAS A RECEBER</v>
      </c>
      <c r="B434" s="144" t="s">
        <v>1989</v>
      </c>
      <c r="C434" s="140" t="e">
        <f>VLOOKUP(Q434,Data!$B:$E,4,FALSE)</f>
        <v>#N/A</v>
      </c>
      <c r="D434" s="113"/>
      <c r="E434" s="113"/>
      <c r="F434" s="113"/>
      <c r="G434" s="113"/>
      <c r="H434" s="113"/>
      <c r="I434" s="113"/>
      <c r="O434" s="29" t="s">
        <v>1990</v>
      </c>
      <c r="P434" s="40" t="s">
        <v>1989</v>
      </c>
      <c r="Q434" s="80" t="s">
        <v>1991</v>
      </c>
      <c r="R434" s="84"/>
      <c r="S434" s="84"/>
      <c r="T434" s="84"/>
      <c r="U434" s="84"/>
      <c r="V434" s="84"/>
      <c r="W434" s="84"/>
    </row>
    <row r="435">
      <c r="A435" s="148" t="str">
        <f>Translation!A442</f>
        <v>CHEQUES EM COBRANÇA</v>
      </c>
      <c r="B435" s="144" t="s">
        <v>1992</v>
      </c>
      <c r="C435" s="140" t="e">
        <f>VLOOKUP(Q435,Data!$B:$E,4,FALSE)</f>
        <v>#N/A</v>
      </c>
      <c r="D435" s="113"/>
      <c r="E435" s="113"/>
      <c r="F435" s="113"/>
      <c r="G435" s="113"/>
      <c r="H435" s="113"/>
      <c r="I435" s="113"/>
      <c r="O435" s="29" t="s">
        <v>1993</v>
      </c>
      <c r="P435" s="40" t="s">
        <v>1992</v>
      </c>
      <c r="Q435" s="80" t="s">
        <v>1994</v>
      </c>
      <c r="R435" s="84"/>
      <c r="S435" s="84"/>
      <c r="T435" s="84"/>
      <c r="U435" s="84"/>
      <c r="V435" s="84"/>
      <c r="W435" s="84"/>
    </row>
    <row r="436">
      <c r="A436" s="148" t="str">
        <f>Translation!A443</f>
        <v>CLIENTES DIVERSOS</v>
      </c>
      <c r="B436" s="144" t="s">
        <v>1995</v>
      </c>
      <c r="C436" s="140" t="e">
        <f>VLOOKUP(Q436,Data!$B:$E,4,FALSE)</f>
        <v>#N/A</v>
      </c>
      <c r="D436" s="113"/>
      <c r="E436" s="113"/>
      <c r="F436" s="113"/>
      <c r="G436" s="113"/>
      <c r="H436" s="113"/>
      <c r="I436" s="113"/>
      <c r="O436" s="29" t="s">
        <v>1996</v>
      </c>
      <c r="P436" s="40" t="s">
        <v>1995</v>
      </c>
      <c r="Q436" s="80" t="s">
        <v>1997</v>
      </c>
      <c r="R436" s="84"/>
      <c r="S436" s="84"/>
      <c r="T436" s="84"/>
      <c r="U436" s="84"/>
      <c r="V436" s="84"/>
      <c r="W436" s="84"/>
    </row>
    <row r="437">
      <c r="A437" s="148" t="str">
        <f>Translation!A444</f>
        <v>CARTÕES DE CRÉDITO</v>
      </c>
      <c r="B437" s="144" t="s">
        <v>1998</v>
      </c>
      <c r="C437" s="140" t="e">
        <f>VLOOKUP(Q437,Data!$B:$E,4,FALSE)</f>
        <v>#N/A</v>
      </c>
      <c r="D437" s="113"/>
      <c r="E437" s="113"/>
      <c r="F437" s="113"/>
      <c r="G437" s="113"/>
      <c r="H437" s="113"/>
      <c r="I437" s="113"/>
      <c r="O437" s="29" t="s">
        <v>1999</v>
      </c>
      <c r="P437" s="40" t="s">
        <v>1998</v>
      </c>
      <c r="Q437" s="80" t="s">
        <v>2000</v>
      </c>
      <c r="R437" s="84"/>
      <c r="S437" s="84"/>
      <c r="T437" s="84"/>
      <c r="U437" s="84"/>
      <c r="V437" s="84"/>
      <c r="W437" s="84"/>
    </row>
    <row r="438">
      <c r="A438" s="148" t="str">
        <f>Translation!A445</f>
        <v>CHEQUES PRÉ-DATADOS</v>
      </c>
      <c r="B438" s="144" t="s">
        <v>2001</v>
      </c>
      <c r="C438" s="140" t="e">
        <f>VLOOKUP(Q438,Data!$B:$E,4,FALSE)</f>
        <v>#N/A</v>
      </c>
      <c r="D438" s="114"/>
      <c r="E438" s="114"/>
      <c r="F438" s="114"/>
      <c r="G438" s="114"/>
      <c r="H438" s="113"/>
      <c r="I438" s="113"/>
      <c r="O438" s="29" t="s">
        <v>2002</v>
      </c>
      <c r="P438" s="40" t="s">
        <v>2001</v>
      </c>
      <c r="Q438" s="80" t="s">
        <v>2003</v>
      </c>
      <c r="R438" s="83"/>
      <c r="S438" s="83"/>
      <c r="T438" s="83"/>
      <c r="U438" s="83"/>
      <c r="V438" s="84"/>
      <c r="W438" s="84"/>
    </row>
    <row r="439">
      <c r="A439" s="148" t="str">
        <f>Translation!A446</f>
        <v>PROVISÃO PARA DEVEDORES DUVIDOSOS (-)</v>
      </c>
      <c r="B439" s="144" t="s">
        <v>2004</v>
      </c>
      <c r="C439" s="140" t="e">
        <f>VLOOKUP(Q439,Data!$B:$E,4,FALSE)</f>
        <v>#N/A</v>
      </c>
      <c r="D439" s="114"/>
      <c r="E439" s="114"/>
      <c r="F439" s="114"/>
      <c r="G439" s="114"/>
      <c r="H439" s="113"/>
      <c r="I439" s="113"/>
      <c r="O439" s="29" t="s">
        <v>2005</v>
      </c>
      <c r="P439" s="40" t="s">
        <v>2004</v>
      </c>
      <c r="Q439" s="80" t="s">
        <v>2006</v>
      </c>
      <c r="R439" s="83"/>
      <c r="S439" s="83"/>
      <c r="T439" s="83"/>
      <c r="U439" s="83"/>
      <c r="V439" s="84"/>
      <c r="W439" s="84"/>
    </row>
    <row r="440">
      <c r="A440" s="157" t="str">
        <f>Translation!A447</f>
        <v>DUPLICATAS / CHEQUES DESCONTADOS (-)</v>
      </c>
      <c r="B440" s="144" t="s">
        <v>2007</v>
      </c>
      <c r="C440" s="140" t="e">
        <f>VLOOKUP(Q440,Data!$B:$E,4,FALSE)</f>
        <v>#N/A</v>
      </c>
      <c r="D440" s="118"/>
      <c r="E440" s="118"/>
      <c r="F440" s="117"/>
      <c r="G440" s="117"/>
      <c r="H440" s="113"/>
      <c r="I440" s="113"/>
      <c r="O440" s="52" t="s">
        <v>2008</v>
      </c>
      <c r="P440" s="40" t="s">
        <v>2007</v>
      </c>
      <c r="Q440" s="80" t="s">
        <v>2009</v>
      </c>
      <c r="R440" s="88"/>
      <c r="S440" s="88"/>
      <c r="T440" s="87"/>
      <c r="U440" s="87"/>
      <c r="V440" s="84"/>
      <c r="W440" s="84"/>
    </row>
    <row r="441">
      <c r="A441" s="151" t="str">
        <f>Translation!A448</f>
        <v>TOTAL DE CONTAS A RECEBER</v>
      </c>
      <c r="B441" s="144" t="s">
        <v>2010</v>
      </c>
      <c r="C441" s="141" t="e">
        <f>VLOOKUP(Q441,Data!$B:$E,4,FALSE)</f>
        <v>#N/A</v>
      </c>
      <c r="D441" s="118"/>
      <c r="E441" s="118"/>
      <c r="F441" s="117"/>
      <c r="G441" s="117"/>
      <c r="H441" s="113"/>
      <c r="I441" s="113"/>
      <c r="O441" s="48" t="s">
        <v>2011</v>
      </c>
      <c r="P441" s="40" t="s">
        <v>2010</v>
      </c>
      <c r="Q441" s="57" t="s">
        <v>2012</v>
      </c>
      <c r="R441" s="88"/>
      <c r="S441" s="88"/>
      <c r="T441" s="87"/>
      <c r="U441" s="87"/>
      <c r="V441" s="84"/>
      <c r="W441" s="84"/>
    </row>
    <row r="442">
      <c r="A442" s="148" t="str">
        <f>Translation!A449</f>
        <v>ADIANTAMENTOS A FORNECEDORES</v>
      </c>
      <c r="B442" s="144" t="s">
        <v>2013</v>
      </c>
      <c r="C442" s="140" t="e">
        <f>VLOOKUP(Q442,Data!$B:$E,4,FALSE)</f>
        <v>#N/A</v>
      </c>
      <c r="D442" s="113"/>
      <c r="E442" s="113"/>
      <c r="F442" s="113"/>
      <c r="G442" s="113"/>
      <c r="H442" s="113"/>
      <c r="I442" s="113"/>
      <c r="O442" s="29" t="s">
        <v>2014</v>
      </c>
      <c r="P442" s="40" t="s">
        <v>2013</v>
      </c>
      <c r="Q442" s="80" t="s">
        <v>2015</v>
      </c>
      <c r="R442" s="84"/>
      <c r="S442" s="84"/>
      <c r="T442" s="84"/>
      <c r="U442" s="84"/>
      <c r="V442" s="84"/>
      <c r="W442" s="84"/>
    </row>
    <row r="443">
      <c r="A443" s="148" t="str">
        <f>Translation!A450</f>
        <v>IMPOSTOS A RECUPERAR</v>
      </c>
      <c r="B443" s="144" t="s">
        <v>2016</v>
      </c>
      <c r="C443" s="140" t="e">
        <f>VLOOKUP(Q443,Data!$B:$E,4,FALSE)</f>
        <v>#N/A</v>
      </c>
      <c r="D443" s="118"/>
      <c r="E443" s="118"/>
      <c r="F443" s="117"/>
      <c r="G443" s="117"/>
      <c r="H443" s="113"/>
      <c r="I443" s="113"/>
      <c r="O443" s="29" t="s">
        <v>2017</v>
      </c>
      <c r="P443" s="40" t="s">
        <v>2016</v>
      </c>
      <c r="Q443" s="80" t="s">
        <v>2018</v>
      </c>
      <c r="R443" s="88"/>
      <c r="S443" s="88"/>
      <c r="T443" s="87"/>
      <c r="U443" s="87"/>
      <c r="V443" s="84"/>
      <c r="W443" s="84"/>
    </row>
    <row r="444">
      <c r="A444" s="148" t="str">
        <f>Translation!A451</f>
        <v>DESPESAS ANTECIPADAS</v>
      </c>
      <c r="B444" s="144" t="s">
        <v>2019</v>
      </c>
      <c r="C444" s="140" t="e">
        <f>VLOOKUP(Q444,Data!$B:$E,4,FALSE)</f>
        <v>#N/A</v>
      </c>
      <c r="D444" s="114"/>
      <c r="E444" s="114"/>
      <c r="F444" s="114"/>
      <c r="G444" s="114"/>
      <c r="H444" s="113"/>
      <c r="I444" s="113"/>
      <c r="O444" s="29" t="s">
        <v>2020</v>
      </c>
      <c r="P444" s="40" t="s">
        <v>2019</v>
      </c>
      <c r="Q444" s="80" t="s">
        <v>2021</v>
      </c>
      <c r="R444" s="83"/>
      <c r="S444" s="83"/>
      <c r="T444" s="83"/>
      <c r="U444" s="83"/>
      <c r="V444" s="84"/>
      <c r="W444" s="84"/>
    </row>
    <row r="445">
      <c r="A445" s="148" t="str">
        <f>Translation!A452</f>
        <v>OUTRAS CONTAS A RECEBER</v>
      </c>
      <c r="B445" s="144" t="s">
        <v>2022</v>
      </c>
      <c r="C445" s="140" t="e">
        <f>VLOOKUP(Q445,Data!$B:$E,4,FALSE)</f>
        <v>#N/A</v>
      </c>
      <c r="D445" s="114"/>
      <c r="E445" s="114"/>
      <c r="F445" s="114"/>
      <c r="G445" s="114"/>
      <c r="H445" s="113"/>
      <c r="I445" s="113"/>
      <c r="O445" s="29" t="s">
        <v>2023</v>
      </c>
      <c r="P445" s="40" t="s">
        <v>2022</v>
      </c>
      <c r="Q445" s="80" t="s">
        <v>2024</v>
      </c>
      <c r="R445" s="83"/>
      <c r="S445" s="83"/>
      <c r="T445" s="83"/>
      <c r="U445" s="83"/>
      <c r="V445" s="84"/>
      <c r="W445" s="84"/>
    </row>
    <row r="446">
      <c r="A446" s="151" t="str">
        <f>Translation!A453</f>
        <v>TOTAL DO ATIVO CIRCULANTE</v>
      </c>
      <c r="B446" s="144" t="s">
        <v>2025</v>
      </c>
      <c r="C446" s="141" t="e">
        <f>VLOOKUP(Q446,Data!$B:$E,4,FALSE)</f>
        <v>#N/A</v>
      </c>
      <c r="D446" s="115"/>
      <c r="E446" s="115"/>
      <c r="F446" s="115"/>
      <c r="G446" s="116"/>
      <c r="H446" s="115"/>
      <c r="I446" s="115"/>
      <c r="O446" s="48" t="s">
        <v>2026</v>
      </c>
      <c r="P446" s="40" t="s">
        <v>2025</v>
      </c>
      <c r="Q446" s="57" t="s">
        <v>2027</v>
      </c>
      <c r="R446" s="85"/>
      <c r="S446" s="85"/>
      <c r="T446" s="85"/>
      <c r="U446" s="86"/>
      <c r="V446" s="85"/>
      <c r="W446" s="85"/>
    </row>
    <row r="447">
      <c r="A447" s="149" t="str">
        <f>Translation!A454</f>
        <v>ESTOQUES (PRÓPRIOS, NÃO CONSIGNADOS)</v>
      </c>
      <c r="B447" s="144" t="str">
        <f>Translation!$G$32</f>
        <v>CONTA</v>
      </c>
      <c r="C447" s="74" t="str">
        <f>Translation!$G$1</f>
        <v>VALOR</v>
      </c>
      <c r="D447" s="114"/>
      <c r="E447" s="114"/>
      <c r="F447" s="114"/>
      <c r="G447" s="114"/>
      <c r="H447" s="113"/>
      <c r="I447" s="113"/>
      <c r="O447" s="27" t="s">
        <v>2028</v>
      </c>
      <c r="P447" s="40" t="str">
        <f>Translation!$G$32</f>
        <v>CONTA</v>
      </c>
      <c r="Q447" s="79" t="str">
        <f>Translation!$G$1</f>
        <v>VALOR</v>
      </c>
      <c r="R447" s="83"/>
      <c r="S447" s="83"/>
      <c r="T447" s="83"/>
      <c r="U447" s="83"/>
      <c r="V447" s="84"/>
      <c r="W447" s="84"/>
    </row>
    <row r="448">
      <c r="A448" s="148" t="str">
        <f>Translation!A455</f>
        <v>VEÍCULOS NOVOS</v>
      </c>
      <c r="B448" s="144" t="s">
        <v>2029</v>
      </c>
      <c r="C448" s="140" t="e">
        <f>VLOOKUP(Q448,Data!$B:$E,4,FALSE)</f>
        <v>#N/A</v>
      </c>
      <c r="D448" s="114"/>
      <c r="E448" s="114"/>
      <c r="F448" s="114"/>
      <c r="G448" s="114"/>
      <c r="H448" s="113"/>
      <c r="I448" s="113"/>
      <c r="O448" s="29" t="s">
        <v>2030</v>
      </c>
      <c r="P448" s="40" t="s">
        <v>2029</v>
      </c>
      <c r="Q448" s="80" t="s">
        <v>2031</v>
      </c>
      <c r="R448" s="83"/>
      <c r="S448" s="83"/>
      <c r="T448" s="83"/>
      <c r="U448" s="83"/>
      <c r="V448" s="84"/>
      <c r="W448" s="84"/>
    </row>
    <row r="449">
      <c r="A449" s="148" t="str">
        <f>Translation!A456</f>
        <v>VEÍCULOS USADOS</v>
      </c>
      <c r="B449" s="144" t="s">
        <v>2032</v>
      </c>
      <c r="C449" s="140" t="e">
        <f>VLOOKUP(Q449,Data!$B:$E,4,FALSE)</f>
        <v>#N/A</v>
      </c>
      <c r="D449" s="114"/>
      <c r="E449" s="114"/>
      <c r="F449" s="114"/>
      <c r="G449" s="114"/>
      <c r="H449" s="113"/>
      <c r="I449" s="113"/>
      <c r="O449" s="29" t="s">
        <v>2033</v>
      </c>
      <c r="P449" s="40" t="s">
        <v>2032</v>
      </c>
      <c r="Q449" s="80" t="s">
        <v>2034</v>
      </c>
      <c r="R449" s="83"/>
      <c r="S449" s="83"/>
      <c r="T449" s="83"/>
      <c r="U449" s="83"/>
      <c r="V449" s="84"/>
      <c r="W449" s="84"/>
    </row>
    <row r="450">
      <c r="A450" s="148" t="str">
        <f>Translation!A457</f>
        <v>PEÇAS E ACESSÓRIOS</v>
      </c>
      <c r="B450" s="144" t="s">
        <v>2035</v>
      </c>
      <c r="C450" s="140" t="e">
        <f>VLOOKUP(Q450,Data!$B:$E,4,FALSE)</f>
        <v>#N/A</v>
      </c>
      <c r="D450" s="118"/>
      <c r="E450" s="118"/>
      <c r="F450" s="117"/>
      <c r="G450" s="117"/>
      <c r="H450" s="113"/>
      <c r="I450" s="113"/>
      <c r="O450" s="29" t="s">
        <v>2036</v>
      </c>
      <c r="P450" s="40" t="s">
        <v>2035</v>
      </c>
      <c r="Q450" s="80" t="s">
        <v>2037</v>
      </c>
      <c r="R450" s="88"/>
      <c r="S450" s="88"/>
      <c r="T450" s="87"/>
      <c r="U450" s="87"/>
      <c r="V450" s="84"/>
      <c r="W450" s="84"/>
    </row>
    <row r="451">
      <c r="A451" s="148" t="str">
        <f>Translation!A458</f>
        <v>OUTROS ESTOQUES</v>
      </c>
      <c r="B451" s="144" t="s">
        <v>2038</v>
      </c>
      <c r="C451" s="140" t="e">
        <f>VLOOKUP(Q451,Data!$B:$E,4,FALSE)</f>
        <v>#N/A</v>
      </c>
      <c r="D451" s="118"/>
      <c r="E451" s="118"/>
      <c r="F451" s="117"/>
      <c r="G451" s="117"/>
      <c r="H451" s="113"/>
      <c r="I451" s="113"/>
      <c r="O451" s="29" t="s">
        <v>2039</v>
      </c>
      <c r="P451" s="40" t="s">
        <v>2038</v>
      </c>
      <c r="Q451" s="80" t="s">
        <v>2040</v>
      </c>
      <c r="R451" s="88"/>
      <c r="S451" s="88"/>
      <c r="T451" s="87"/>
      <c r="U451" s="87"/>
      <c r="V451" s="84"/>
      <c r="W451" s="84"/>
    </row>
    <row r="452">
      <c r="A452" s="151" t="str">
        <f>Translation!A459</f>
        <v>TOTAL DO ESTOQUE</v>
      </c>
      <c r="B452" s="144" t="s">
        <v>2041</v>
      </c>
      <c r="C452" s="141" t="e">
        <f>VLOOKUP(Q452,Data!$B:$E,4,FALSE)</f>
        <v>#N/A</v>
      </c>
      <c r="D452" s="113"/>
      <c r="E452" s="113"/>
      <c r="F452" s="113"/>
      <c r="G452" s="113"/>
      <c r="H452" s="113"/>
      <c r="I452" s="113"/>
      <c r="O452" s="48" t="s">
        <v>2042</v>
      </c>
      <c r="P452" s="40" t="s">
        <v>2041</v>
      </c>
      <c r="Q452" s="57" t="s">
        <v>2043</v>
      </c>
      <c r="R452" s="84"/>
      <c r="S452" s="84"/>
      <c r="T452" s="84"/>
      <c r="U452" s="84"/>
      <c r="V452" s="84"/>
      <c r="W452" s="84"/>
    </row>
    <row r="453">
      <c r="A453" s="149" t="str">
        <f>Translation!A460</f>
        <v>REALIZÁVEL A LONGO PRAZO</v>
      </c>
      <c r="B453" s="144" t="str">
        <f>Translation!$G$32</f>
        <v>CONTA</v>
      </c>
      <c r="C453" s="74" t="str">
        <f>Translation!$G$1</f>
        <v>VALOR</v>
      </c>
      <c r="D453" s="113"/>
      <c r="E453" s="113"/>
      <c r="F453" s="113"/>
      <c r="G453" s="113"/>
      <c r="H453" s="113"/>
      <c r="I453" s="113"/>
      <c r="O453" s="27" t="s">
        <v>2044</v>
      </c>
      <c r="P453" s="40" t="str">
        <f>Translation!$G$32</f>
        <v>CONTA</v>
      </c>
      <c r="Q453" s="79" t="str">
        <f>Translation!$G$1</f>
        <v>VALOR</v>
      </c>
      <c r="R453" s="84"/>
      <c r="S453" s="84"/>
      <c r="T453" s="84"/>
      <c r="U453" s="84"/>
      <c r="V453" s="84"/>
      <c r="W453" s="84"/>
    </row>
    <row r="454">
      <c r="A454" s="148" t="str">
        <f>Translation!A461</f>
        <v>EMPRÉSTIMOS / MÚTUOS COM SÓCIOS</v>
      </c>
      <c r="B454" s="144" t="s">
        <v>2045</v>
      </c>
      <c r="C454" s="140" t="e">
        <f>VLOOKUP(Q454,Data!$B:$E,4,FALSE)</f>
        <v>#N/A</v>
      </c>
      <c r="D454" s="115"/>
      <c r="E454" s="115"/>
      <c r="F454" s="115"/>
      <c r="G454" s="116"/>
      <c r="H454" s="115"/>
      <c r="I454" s="115"/>
      <c r="O454" s="29" t="s">
        <v>2046</v>
      </c>
      <c r="P454" s="40" t="s">
        <v>2045</v>
      </c>
      <c r="Q454" s="80" t="s">
        <v>2047</v>
      </c>
      <c r="R454" s="85"/>
      <c r="S454" s="85"/>
      <c r="T454" s="85"/>
      <c r="U454" s="86"/>
      <c r="V454" s="85"/>
      <c r="W454" s="85"/>
    </row>
    <row r="455">
      <c r="A455" s="148" t="str">
        <f>Translation!A462</f>
        <v>CONTAS A RECEBER DE COLIGADAS</v>
      </c>
      <c r="B455" s="144" t="s">
        <v>2048</v>
      </c>
      <c r="C455" s="140" t="e">
        <f>VLOOKUP(Q455,Data!$B:$E,4,FALSE)</f>
        <v>#N/A</v>
      </c>
      <c r="D455" s="114"/>
      <c r="E455" s="114"/>
      <c r="F455" s="114"/>
      <c r="G455" s="114"/>
      <c r="H455" s="113"/>
      <c r="I455" s="113"/>
      <c r="O455" s="29" t="s">
        <v>2049</v>
      </c>
      <c r="P455" s="40" t="s">
        <v>2048</v>
      </c>
      <c r="Q455" s="80" t="s">
        <v>2050</v>
      </c>
      <c r="R455" s="83"/>
      <c r="S455" s="83"/>
      <c r="T455" s="83"/>
      <c r="U455" s="83"/>
      <c r="V455" s="84"/>
      <c r="W455" s="84"/>
    </row>
    <row r="456">
      <c r="A456" s="148" t="str">
        <f>Translation!A463</f>
        <v>DEPÓSITOS JUDICIAIS</v>
      </c>
      <c r="B456" s="144" t="s">
        <v>2051</v>
      </c>
      <c r="C456" s="140" t="e">
        <f>VLOOKUP(Q456,Data!$B:$E,4,FALSE)</f>
        <v>#N/A</v>
      </c>
      <c r="D456" s="114"/>
      <c r="E456" s="114"/>
      <c r="F456" s="114"/>
      <c r="G456" s="114"/>
      <c r="H456" s="113"/>
      <c r="I456" s="113"/>
      <c r="O456" s="29" t="s">
        <v>2052</v>
      </c>
      <c r="P456" s="40" t="s">
        <v>2051</v>
      </c>
      <c r="Q456" s="80" t="s">
        <v>2053</v>
      </c>
      <c r="R456" s="83"/>
      <c r="S456" s="83"/>
      <c r="T456" s="83"/>
      <c r="U456" s="83"/>
      <c r="V456" s="84"/>
      <c r="W456" s="84"/>
    </row>
    <row r="457">
      <c r="A457" s="148" t="str">
        <f>Translation!A464</f>
        <v>TRANSFERÊNCIAS ENTRE MATRIZ E FILIAIS</v>
      </c>
      <c r="B457" s="144" t="s">
        <v>2054</v>
      </c>
      <c r="C457" s="140" t="e">
        <f>VLOOKUP(Q457,Data!$B:$E,4,FALSE)</f>
        <v>#N/A</v>
      </c>
      <c r="D457" s="114"/>
      <c r="E457" s="114"/>
      <c r="F457" s="114"/>
      <c r="G457" s="114"/>
      <c r="H457" s="113"/>
      <c r="I457" s="113"/>
      <c r="O457" s="29" t="s">
        <v>2055</v>
      </c>
      <c r="P457" s="40" t="s">
        <v>2054</v>
      </c>
      <c r="Q457" s="80" t="s">
        <v>2056</v>
      </c>
      <c r="R457" s="83"/>
      <c r="S457" s="83"/>
      <c r="T457" s="83"/>
      <c r="U457" s="83"/>
      <c r="V457" s="84"/>
      <c r="W457" s="84"/>
    </row>
    <row r="458">
      <c r="A458" s="148" t="str">
        <f>Translation!A465</f>
        <v>OUTROS VALORES A RECEBER</v>
      </c>
      <c r="B458" s="144" t="s">
        <v>2057</v>
      </c>
      <c r="C458" s="140" t="e">
        <f>VLOOKUP(Q458,Data!$B:$E,4,FALSE)</f>
        <v>#N/A</v>
      </c>
      <c r="D458" s="118"/>
      <c r="E458" s="118"/>
      <c r="F458" s="117"/>
      <c r="G458" s="117"/>
      <c r="H458" s="113"/>
      <c r="I458" s="113"/>
      <c r="O458" s="29" t="s">
        <v>2058</v>
      </c>
      <c r="P458" s="40" t="s">
        <v>2057</v>
      </c>
      <c r="Q458" s="80" t="s">
        <v>2059</v>
      </c>
      <c r="R458" s="88"/>
      <c r="S458" s="88"/>
      <c r="T458" s="87"/>
      <c r="U458" s="87"/>
      <c r="V458" s="84"/>
      <c r="W458" s="84"/>
    </row>
    <row r="459">
      <c r="A459" s="151" t="str">
        <f>Translation!A466</f>
        <v>TOTAL DO REALIZÁVEL A LONGO PRAZO</v>
      </c>
      <c r="B459" s="144" t="s">
        <v>2060</v>
      </c>
      <c r="C459" s="141" t="e">
        <f>VLOOKUP(Q459,Data!$B:$E,4,FALSE)</f>
        <v>#N/A</v>
      </c>
      <c r="D459" s="118"/>
      <c r="E459" s="118"/>
      <c r="F459" s="117"/>
      <c r="G459" s="117"/>
      <c r="H459" s="113"/>
      <c r="I459" s="113"/>
      <c r="O459" s="48" t="s">
        <v>2061</v>
      </c>
      <c r="P459" s="40" t="s">
        <v>2060</v>
      </c>
      <c r="Q459" s="57" t="s">
        <v>2062</v>
      </c>
      <c r="R459" s="88"/>
      <c r="S459" s="88"/>
      <c r="T459" s="87"/>
      <c r="U459" s="87"/>
      <c r="V459" s="84"/>
      <c r="W459" s="84"/>
    </row>
    <row r="460">
      <c r="A460" s="151" t="str">
        <f>Translation!A467</f>
        <v>TOTAL DO ATIVO NÃO-CIRCULANTE</v>
      </c>
      <c r="B460" s="144" t="s">
        <v>2063</v>
      </c>
      <c r="C460" s="141" t="e">
        <f>VLOOKUP(Q460,Data!$B:$E,4,FALSE)</f>
        <v>#N/A</v>
      </c>
      <c r="D460" s="113"/>
      <c r="E460" s="113"/>
      <c r="F460" s="113"/>
      <c r="G460" s="113"/>
      <c r="H460" s="113"/>
      <c r="I460" s="113"/>
      <c r="O460" s="48" t="s">
        <v>2064</v>
      </c>
      <c r="P460" s="40" t="s">
        <v>2063</v>
      </c>
      <c r="Q460" s="57" t="s">
        <v>2065</v>
      </c>
      <c r="R460" s="84"/>
      <c r="S460" s="84"/>
      <c r="T460" s="84"/>
      <c r="U460" s="84"/>
      <c r="V460" s="84"/>
      <c r="W460" s="84"/>
    </row>
    <row r="461">
      <c r="A461" s="149" t="str">
        <f>Translation!A468</f>
        <v>ATIVO PERMANENTE</v>
      </c>
      <c r="B461" s="144" t="str">
        <f>Translation!$G$32</f>
        <v>CONTA</v>
      </c>
      <c r="C461" s="74" t="str">
        <f>Translation!$G$1</f>
        <v>VALOR</v>
      </c>
      <c r="D461" s="118"/>
      <c r="E461" s="118"/>
      <c r="F461" s="117"/>
      <c r="G461" s="117"/>
      <c r="H461" s="113"/>
      <c r="I461" s="113"/>
      <c r="O461" s="27" t="s">
        <v>2066</v>
      </c>
      <c r="P461" s="40" t="str">
        <f>Translation!$G$32</f>
        <v>CONTA</v>
      </c>
      <c r="Q461" s="79" t="str">
        <f>Translation!$G$1</f>
        <v>VALOR</v>
      </c>
      <c r="R461" s="88"/>
      <c r="S461" s="88"/>
      <c r="T461" s="87"/>
      <c r="U461" s="87"/>
      <c r="V461" s="84"/>
      <c r="W461" s="84"/>
    </row>
    <row r="462">
      <c r="A462" s="148" t="str">
        <f>Translation!A469</f>
        <v>PARTIC. EM EMPR. CONTROLADAS E COLIGADAS</v>
      </c>
      <c r="B462" s="144" t="s">
        <v>2067</v>
      </c>
      <c r="C462" s="140" t="e">
        <f>VLOOKUP(Q462,Data!$B:$E,4,FALSE)</f>
        <v>#N/A</v>
      </c>
      <c r="D462" s="114"/>
      <c r="E462" s="114"/>
      <c r="F462" s="114"/>
      <c r="G462" s="114"/>
      <c r="H462" s="113"/>
      <c r="I462" s="113"/>
      <c r="O462" s="29" t="s">
        <v>2068</v>
      </c>
      <c r="P462" s="40" t="s">
        <v>2067</v>
      </c>
      <c r="Q462" s="80" t="s">
        <v>2069</v>
      </c>
      <c r="R462" s="83"/>
      <c r="S462" s="83"/>
      <c r="T462" s="83"/>
      <c r="U462" s="83"/>
      <c r="V462" s="84"/>
      <c r="W462" s="84"/>
    </row>
    <row r="463">
      <c r="A463" s="148" t="str">
        <f>Translation!A470</f>
        <v>PARTIC. INCENTIVOS FISCAIS E OUTROS</v>
      </c>
      <c r="B463" s="144" t="s">
        <v>2070</v>
      </c>
      <c r="C463" s="140" t="e">
        <f>VLOOKUP(Q463,Data!$B:$E,4,FALSE)</f>
        <v>#N/A</v>
      </c>
      <c r="D463" s="114"/>
      <c r="E463" s="114"/>
      <c r="F463" s="114"/>
      <c r="G463" s="114"/>
      <c r="H463" s="113"/>
      <c r="I463" s="113"/>
      <c r="O463" s="29" t="s">
        <v>2071</v>
      </c>
      <c r="P463" s="40" t="s">
        <v>2070</v>
      </c>
      <c r="Q463" s="80" t="s">
        <v>2072</v>
      </c>
      <c r="R463" s="83"/>
      <c r="S463" s="83"/>
      <c r="T463" s="83"/>
      <c r="U463" s="83"/>
      <c r="V463" s="84"/>
      <c r="W463" s="84"/>
    </row>
    <row r="464">
      <c r="A464" s="151" t="str">
        <f>Translation!A471</f>
        <v>TOTAL DE INVESTIMENTOS</v>
      </c>
      <c r="B464" s="144" t="s">
        <v>2073</v>
      </c>
      <c r="C464" s="141" t="e">
        <f>VLOOKUP(Q464,Data!$B:$E,4,FALSE)</f>
        <v>#N/A</v>
      </c>
      <c r="D464" s="118"/>
      <c r="E464" s="118"/>
      <c r="F464" s="117"/>
      <c r="G464" s="117"/>
      <c r="H464" s="113"/>
      <c r="I464" s="113"/>
      <c r="O464" s="48" t="s">
        <v>2074</v>
      </c>
      <c r="P464" s="40" t="s">
        <v>2073</v>
      </c>
      <c r="Q464" s="57" t="s">
        <v>2075</v>
      </c>
      <c r="R464" s="88"/>
      <c r="S464" s="88"/>
      <c r="T464" s="87"/>
      <c r="U464" s="87"/>
      <c r="V464" s="84"/>
      <c r="W464" s="84"/>
    </row>
    <row r="465">
      <c r="A465" s="148" t="str">
        <f>Translation!A472</f>
        <v>IMÓVEIS</v>
      </c>
      <c r="B465" s="144" t="s">
        <v>2076</v>
      </c>
      <c r="C465" s="140" t="e">
        <f>VLOOKUP(Q465,Data!$B:$E,4,FALSE)</f>
        <v>#N/A</v>
      </c>
      <c r="D465" s="118"/>
      <c r="E465" s="118"/>
      <c r="F465" s="117"/>
      <c r="G465" s="117"/>
      <c r="H465" s="113"/>
      <c r="I465" s="113"/>
      <c r="O465" s="29" t="s">
        <v>2077</v>
      </c>
      <c r="P465" s="40" t="s">
        <v>2076</v>
      </c>
      <c r="Q465" s="80" t="s">
        <v>2078</v>
      </c>
      <c r="R465" s="88"/>
      <c r="S465" s="88"/>
      <c r="T465" s="87"/>
      <c r="U465" s="87"/>
      <c r="V465" s="84"/>
      <c r="W465" s="84"/>
    </row>
    <row r="466">
      <c r="A466" s="148" t="str">
        <f>Translation!A473</f>
        <v>MÓVEIS E UTENSÍLIOS</v>
      </c>
      <c r="B466" s="144" t="s">
        <v>2079</v>
      </c>
      <c r="C466" s="140" t="e">
        <f>VLOOKUP(Q466,Data!$B:$E,4,FALSE)</f>
        <v>#N/A</v>
      </c>
      <c r="D466" s="113"/>
      <c r="E466" s="113"/>
      <c r="F466" s="113"/>
      <c r="G466" s="113"/>
      <c r="H466" s="113"/>
      <c r="I466" s="113"/>
      <c r="O466" s="29" t="s">
        <v>2080</v>
      </c>
      <c r="P466" s="40" t="s">
        <v>2079</v>
      </c>
      <c r="Q466" s="80" t="s">
        <v>2081</v>
      </c>
      <c r="R466" s="84"/>
      <c r="S466" s="84"/>
      <c r="T466" s="84"/>
      <c r="U466" s="84"/>
      <c r="V466" s="84"/>
      <c r="W466" s="84"/>
    </row>
    <row r="467">
      <c r="A467" s="148" t="str">
        <f>Translation!A474</f>
        <v>INSTALAÇÕES</v>
      </c>
      <c r="B467" s="144" t="s">
        <v>2082</v>
      </c>
      <c r="C467" s="140" t="e">
        <f>VLOOKUP(Q467,Data!$B:$E,4,FALSE)</f>
        <v>#N/A</v>
      </c>
      <c r="D467" s="113"/>
      <c r="E467" s="113"/>
      <c r="F467" s="113"/>
      <c r="G467" s="113"/>
      <c r="H467" s="113"/>
      <c r="I467" s="113"/>
      <c r="O467" s="29" t="s">
        <v>2083</v>
      </c>
      <c r="P467" s="40" t="s">
        <v>2082</v>
      </c>
      <c r="Q467" s="80" t="s">
        <v>2084</v>
      </c>
      <c r="R467" s="84"/>
      <c r="S467" s="84"/>
      <c r="T467" s="84"/>
      <c r="U467" s="84"/>
      <c r="V467" s="84"/>
      <c r="W467" s="84"/>
    </row>
    <row r="468">
      <c r="A468" s="148" t="str">
        <f>Translation!A475</f>
        <v>MÁQUINAS E EQUIPAMENTOS</v>
      </c>
      <c r="B468" s="144" t="s">
        <v>2085</v>
      </c>
      <c r="C468" s="140" t="e">
        <f>VLOOKUP(Q468,Data!$B:$E,4,FALSE)</f>
        <v>#N/A</v>
      </c>
      <c r="D468" s="115"/>
      <c r="E468" s="115"/>
      <c r="F468" s="115"/>
      <c r="G468" s="116"/>
      <c r="H468" s="115"/>
      <c r="I468" s="115"/>
      <c r="O468" s="29" t="s">
        <v>2086</v>
      </c>
      <c r="P468" s="40" t="s">
        <v>2085</v>
      </c>
      <c r="Q468" s="80" t="s">
        <v>2087</v>
      </c>
      <c r="R468" s="85"/>
      <c r="S468" s="85"/>
      <c r="T468" s="85"/>
      <c r="U468" s="86"/>
      <c r="V468" s="85"/>
      <c r="W468" s="85"/>
    </row>
    <row r="469">
      <c r="A469" s="148" t="str">
        <f>Translation!A476</f>
        <v>VEÍCULOS DE USO</v>
      </c>
      <c r="B469" s="144" t="s">
        <v>2088</v>
      </c>
      <c r="C469" s="140" t="e">
        <f>VLOOKUP(Q469,Data!$B:$E,4,FALSE)</f>
        <v>#N/A</v>
      </c>
      <c r="D469" s="114"/>
      <c r="E469" s="114"/>
      <c r="F469" s="114"/>
      <c r="G469" s="114"/>
      <c r="H469" s="113"/>
      <c r="I469" s="113"/>
      <c r="O469" s="29" t="s">
        <v>2089</v>
      </c>
      <c r="P469" s="40" t="s">
        <v>2088</v>
      </c>
      <c r="Q469" s="80" t="s">
        <v>2090</v>
      </c>
      <c r="R469" s="83"/>
      <c r="S469" s="83"/>
      <c r="T469" s="83"/>
      <c r="U469" s="83"/>
      <c r="V469" s="84"/>
      <c r="W469" s="84"/>
    </row>
    <row r="470">
      <c r="A470" s="148" t="str">
        <f>Translation!A477</f>
        <v>VEÍCULOS DE TEST-DRIVE</v>
      </c>
      <c r="B470" s="144" t="s">
        <v>2091</v>
      </c>
      <c r="C470" s="140" t="e">
        <f>VLOOKUP(Q470,Data!$B:$E,4,FALSE)</f>
        <v>#N/A</v>
      </c>
      <c r="D470" s="114"/>
      <c r="E470" s="114"/>
      <c r="F470" s="114"/>
      <c r="G470" s="114"/>
      <c r="H470" s="113"/>
      <c r="I470" s="113"/>
      <c r="O470" s="29" t="s">
        <v>2092</v>
      </c>
      <c r="P470" s="40" t="s">
        <v>2091</v>
      </c>
      <c r="Q470" s="80" t="s">
        <v>2093</v>
      </c>
      <c r="R470" s="83"/>
      <c r="S470" s="83"/>
      <c r="T470" s="83"/>
      <c r="U470" s="83"/>
      <c r="V470" s="84"/>
      <c r="W470" s="84"/>
    </row>
    <row r="471">
      <c r="A471" s="148" t="str">
        <f>Translation!A478</f>
        <v>OUTROS</v>
      </c>
      <c r="B471" s="144" t="s">
        <v>2094</v>
      </c>
      <c r="C471" s="140" t="e">
        <f>VLOOKUP(Q471,Data!$B:$E,4,FALSE)</f>
        <v>#N/A</v>
      </c>
      <c r="D471" s="114"/>
      <c r="E471" s="114"/>
      <c r="F471" s="114"/>
      <c r="G471" s="114"/>
      <c r="H471" s="113"/>
      <c r="I471" s="113"/>
      <c r="O471" s="29" t="s">
        <v>2095</v>
      </c>
      <c r="P471" s="40" t="s">
        <v>2094</v>
      </c>
      <c r="Q471" s="80" t="s">
        <v>2096</v>
      </c>
      <c r="R471" s="83"/>
      <c r="S471" s="83"/>
      <c r="T471" s="83"/>
      <c r="U471" s="83"/>
      <c r="V471" s="84"/>
      <c r="W471" s="84"/>
    </row>
    <row r="472">
      <c r="A472" s="148" t="str">
        <f>Translation!A479</f>
        <v>DEPRECIAÇÕES ACUMULADAS (-)</v>
      </c>
      <c r="B472" s="144" t="s">
        <v>2097</v>
      </c>
      <c r="C472" s="140" t="e">
        <f>VLOOKUP(Q472,Data!$B:$E,4,FALSE)</f>
        <v>#N/A</v>
      </c>
      <c r="D472" s="118"/>
      <c r="E472" s="118"/>
      <c r="F472" s="117"/>
      <c r="G472" s="117"/>
      <c r="H472" s="113"/>
      <c r="I472" s="113"/>
      <c r="O472" s="29" t="s">
        <v>2098</v>
      </c>
      <c r="P472" s="40" t="s">
        <v>2097</v>
      </c>
      <c r="Q472" s="80" t="s">
        <v>2099</v>
      </c>
      <c r="R472" s="88"/>
      <c r="S472" s="88"/>
      <c r="T472" s="87"/>
      <c r="U472" s="87"/>
      <c r="V472" s="84"/>
      <c r="W472" s="84"/>
    </row>
    <row r="473">
      <c r="A473" s="151" t="str">
        <f>Translation!A480</f>
        <v>TOTAL DO IMOBILIZADO</v>
      </c>
      <c r="B473" s="144" t="s">
        <v>2100</v>
      </c>
      <c r="C473" s="141" t="e">
        <f>VLOOKUP(Q473,Data!$B:$E,4,FALSE)</f>
        <v>#N/A</v>
      </c>
      <c r="D473" s="118"/>
      <c r="E473" s="118"/>
      <c r="F473" s="117"/>
      <c r="G473" s="117"/>
      <c r="H473" s="113"/>
      <c r="I473" s="113"/>
      <c r="O473" s="48" t="s">
        <v>2101</v>
      </c>
      <c r="P473" s="40" t="s">
        <v>2100</v>
      </c>
      <c r="Q473" s="57" t="s">
        <v>2102</v>
      </c>
      <c r="R473" s="88"/>
      <c r="S473" s="88"/>
      <c r="T473" s="87"/>
      <c r="U473" s="87"/>
      <c r="V473" s="84"/>
      <c r="W473" s="84"/>
    </row>
    <row r="474">
      <c r="A474" s="148" t="str">
        <f>Translation!A481</f>
        <v>PROJETOS / AMORTIZAÇÕES (-)</v>
      </c>
      <c r="B474" s="144" t="s">
        <v>2103</v>
      </c>
      <c r="C474" s="140" t="e">
        <f>VLOOKUP(Q474,Data!$B:$E,4,FALSE)</f>
        <v>#N/A</v>
      </c>
      <c r="D474" s="113"/>
      <c r="E474" s="113"/>
      <c r="F474" s="113"/>
      <c r="G474" s="113"/>
      <c r="H474" s="113"/>
      <c r="I474" s="113"/>
      <c r="O474" s="29" t="s">
        <v>2104</v>
      </c>
      <c r="P474" s="40" t="s">
        <v>2103</v>
      </c>
      <c r="Q474" s="80" t="s">
        <v>2105</v>
      </c>
      <c r="R474" s="84"/>
      <c r="S474" s="84"/>
      <c r="T474" s="84"/>
      <c r="U474" s="84"/>
      <c r="V474" s="84"/>
      <c r="W474" s="84"/>
    </row>
    <row r="475">
      <c r="A475" s="151" t="str">
        <f>Translation!A482</f>
        <v>TOTAL DO DIFERIDO</v>
      </c>
      <c r="B475" s="144" t="s">
        <v>2106</v>
      </c>
      <c r="C475" s="141" t="e">
        <f>VLOOKUP(Q475,Data!$B:$E,4,FALSE)</f>
        <v>#N/A</v>
      </c>
      <c r="D475" s="118"/>
      <c r="E475" s="118"/>
      <c r="F475" s="117"/>
      <c r="G475" s="117"/>
      <c r="H475" s="113"/>
      <c r="I475" s="113"/>
      <c r="O475" s="48" t="s">
        <v>2107</v>
      </c>
      <c r="P475" s="40" t="s">
        <v>2106</v>
      </c>
      <c r="Q475" s="57" t="s">
        <v>2108</v>
      </c>
      <c r="R475" s="88"/>
      <c r="S475" s="88"/>
      <c r="T475" s="87"/>
      <c r="U475" s="87"/>
      <c r="V475" s="84"/>
      <c r="W475" s="84"/>
    </row>
    <row r="476">
      <c r="A476" s="148" t="str">
        <f>Translation!A483</f>
        <v>INTANGÍVEL</v>
      </c>
      <c r="B476" s="144" t="s">
        <v>2109</v>
      </c>
      <c r="C476" s="140" t="e">
        <f>VLOOKUP(Q476,Data!$B:$E,4,FALSE)</f>
        <v>#N/A</v>
      </c>
      <c r="D476" s="114"/>
      <c r="E476" s="114"/>
      <c r="F476" s="114"/>
      <c r="G476" s="114"/>
      <c r="H476" s="113"/>
      <c r="I476" s="113"/>
      <c r="O476" s="29" t="s">
        <v>2110</v>
      </c>
      <c r="P476" s="40" t="s">
        <v>2109</v>
      </c>
      <c r="Q476" s="80" t="s">
        <v>2111</v>
      </c>
      <c r="R476" s="83"/>
      <c r="S476" s="83"/>
      <c r="T476" s="83"/>
      <c r="U476" s="83"/>
      <c r="V476" s="84"/>
      <c r="W476" s="84"/>
    </row>
    <row r="477">
      <c r="A477" s="151" t="str">
        <f>Translation!A484</f>
        <v>TOTAL DO ATIVO PERMANENTE</v>
      </c>
      <c r="B477" s="144" t="s">
        <v>2112</v>
      </c>
      <c r="C477" s="141" t="e">
        <f>VLOOKUP(Q477,Data!$B:$E,4,FALSE)</f>
        <v>#N/A</v>
      </c>
      <c r="D477" s="114"/>
      <c r="E477" s="114"/>
      <c r="F477" s="114"/>
      <c r="G477" s="114"/>
      <c r="H477" s="113"/>
      <c r="I477" s="113"/>
      <c r="O477" s="48" t="s">
        <v>2113</v>
      </c>
      <c r="P477" s="40" t="s">
        <v>2112</v>
      </c>
      <c r="Q477" s="57" t="s">
        <v>2114</v>
      </c>
      <c r="R477" s="83"/>
      <c r="S477" s="83"/>
      <c r="T477" s="83"/>
      <c r="U477" s="83"/>
      <c r="V477" s="84"/>
      <c r="W477" s="84"/>
    </row>
    <row r="478">
      <c r="A478" s="151" t="str">
        <f>Translation!A485</f>
        <v>ATIVO TOTAL</v>
      </c>
      <c r="B478" s="144" t="s">
        <v>2115</v>
      </c>
      <c r="C478" s="141" t="e">
        <f>VLOOKUP(Q478,Data!$B:$E,4,FALSE)</f>
        <v>#N/A</v>
      </c>
      <c r="D478" s="109"/>
      <c r="E478" s="109"/>
      <c r="F478" s="109"/>
      <c r="G478" s="109"/>
      <c r="H478" s="109"/>
      <c r="I478" s="109"/>
      <c r="O478" s="48" t="s">
        <v>2116</v>
      </c>
      <c r="P478" s="40" t="s">
        <v>2115</v>
      </c>
      <c r="Q478" s="57" t="s">
        <v>2117</v>
      </c>
      <c r="R478" s="92"/>
      <c r="S478" s="92"/>
      <c r="T478" s="92"/>
      <c r="U478" s="92"/>
      <c r="V478" s="92"/>
      <c r="W478" s="92"/>
    </row>
    <row r="479">
      <c r="A479" s="149" t="str">
        <f>Translation!A486</f>
        <v>PASSIVO</v>
      </c>
      <c r="B479" s="144" t="str">
        <f>Translation!$G$32</f>
        <v>CONTA</v>
      </c>
      <c r="C479" s="74" t="str">
        <f>Translation!$G$1</f>
        <v>VALOR</v>
      </c>
      <c r="D479" s="118"/>
      <c r="E479" s="118"/>
      <c r="F479" s="117"/>
      <c r="G479" s="117"/>
      <c r="H479" s="113"/>
      <c r="I479" s="113"/>
      <c r="O479" s="27" t="s">
        <v>2118</v>
      </c>
      <c r="P479" s="40" t="str">
        <f>Translation!$G$32</f>
        <v>CONTA</v>
      </c>
      <c r="Q479" s="79" t="str">
        <f>Translation!$G$1</f>
        <v>VALOR</v>
      </c>
      <c r="R479" s="88"/>
      <c r="S479" s="88"/>
      <c r="T479" s="87"/>
      <c r="U479" s="87"/>
      <c r="V479" s="84"/>
      <c r="W479" s="84"/>
    </row>
    <row r="480">
      <c r="A480" s="148" t="str">
        <f>Translation!A487</f>
        <v>CONTAS A PAGAR</v>
      </c>
      <c r="B480" s="144" t="s">
        <v>2119</v>
      </c>
      <c r="C480" s="140" t="e">
        <f>VLOOKUP(Q480,Data!$B:$E,4,FALSE)</f>
        <v>#N/A</v>
      </c>
      <c r="D480" s="118"/>
      <c r="E480" s="118"/>
      <c r="F480" s="117"/>
      <c r="G480" s="117"/>
      <c r="H480" s="113"/>
      <c r="I480" s="113"/>
      <c r="O480" s="29" t="s">
        <v>2120</v>
      </c>
      <c r="P480" s="40" t="s">
        <v>2119</v>
      </c>
      <c r="Q480" s="80" t="s">
        <v>2121</v>
      </c>
      <c r="R480" s="88"/>
      <c r="S480" s="88"/>
      <c r="T480" s="87"/>
      <c r="U480" s="87"/>
      <c r="V480" s="84"/>
      <c r="W480" s="84"/>
    </row>
    <row r="481">
      <c r="A481" s="148" t="str">
        <f>Translation!A488</f>
        <v>INSTITUIÇÕES FINANCEIRAS</v>
      </c>
      <c r="B481" s="144" t="s">
        <v>2122</v>
      </c>
      <c r="C481" s="140" t="e">
        <f>VLOOKUP(Q481,Data!$B:$E,4,FALSE)</f>
        <v>#N/A</v>
      </c>
      <c r="D481" s="113"/>
      <c r="E481" s="113"/>
      <c r="F481" s="113"/>
      <c r="G481" s="113"/>
      <c r="H481" s="113"/>
      <c r="I481" s="113"/>
      <c r="O481" s="29" t="s">
        <v>2123</v>
      </c>
      <c r="P481" s="40" t="s">
        <v>2122</v>
      </c>
      <c r="Q481" s="80" t="s">
        <v>2124</v>
      </c>
      <c r="R481" s="84"/>
      <c r="S481" s="84"/>
      <c r="T481" s="84"/>
      <c r="U481" s="84"/>
      <c r="V481" s="84"/>
      <c r="W481" s="84"/>
    </row>
    <row r="482">
      <c r="A482" s="148" t="str">
        <f>Translation!A489</f>
        <v>FLOOR PLAN</v>
      </c>
      <c r="B482" s="144" t="s">
        <v>2125</v>
      </c>
      <c r="C482" s="140" t="e">
        <f>VLOOKUP(Q482,Data!$B:$E,4,FALSE)</f>
        <v>#N/A</v>
      </c>
      <c r="D482" s="118"/>
      <c r="E482" s="118"/>
      <c r="F482" s="118"/>
      <c r="G482" s="118"/>
      <c r="H482" s="113"/>
      <c r="I482" s="113"/>
      <c r="O482" s="29" t="s">
        <v>735</v>
      </c>
      <c r="P482" s="40" t="s">
        <v>2125</v>
      </c>
      <c r="Q482" s="80" t="s">
        <v>2126</v>
      </c>
      <c r="R482" s="88"/>
      <c r="S482" s="88"/>
      <c r="T482" s="88"/>
      <c r="U482" s="88"/>
      <c r="V482" s="84"/>
      <c r="W482" s="84"/>
    </row>
    <row r="483">
      <c r="A483" s="151" t="str">
        <f>Translation!A490</f>
        <v>TOTAL DO CONTAS A PAGAR</v>
      </c>
      <c r="B483" s="144" t="s">
        <v>2127</v>
      </c>
      <c r="C483" s="141" t="e">
        <f>VLOOKUP(Q483,Data!$B:$E,4,FALSE)</f>
        <v>#N/A</v>
      </c>
      <c r="D483" s="115"/>
      <c r="E483" s="115"/>
      <c r="F483" s="115"/>
      <c r="G483" s="116"/>
      <c r="H483" s="115"/>
      <c r="I483" s="115"/>
      <c r="O483" s="48" t="s">
        <v>2128</v>
      </c>
      <c r="P483" s="40" t="s">
        <v>2127</v>
      </c>
      <c r="Q483" s="57" t="s">
        <v>2129</v>
      </c>
      <c r="R483" s="85"/>
      <c r="S483" s="85"/>
      <c r="T483" s="85"/>
      <c r="U483" s="86"/>
      <c r="V483" s="85"/>
      <c r="W483" s="85"/>
    </row>
    <row r="484">
      <c r="A484" s="148" t="str">
        <f>Translation!A491</f>
        <v>VEÍCULOS</v>
      </c>
      <c r="B484" s="144" t="s">
        <v>2130</v>
      </c>
      <c r="C484" s="140" t="e">
        <f>VLOOKUP(Q484,Data!$B:$E,4,FALSE)</f>
        <v>#N/A</v>
      </c>
      <c r="D484" s="114"/>
      <c r="E484" s="114"/>
      <c r="F484" s="114"/>
      <c r="G484" s="114"/>
      <c r="H484" s="113"/>
      <c r="I484" s="113"/>
      <c r="O484" s="29" t="s">
        <v>2131</v>
      </c>
      <c r="P484" s="40" t="s">
        <v>2130</v>
      </c>
      <c r="Q484" s="80" t="s">
        <v>2132</v>
      </c>
      <c r="R484" s="83"/>
      <c r="S484" s="83"/>
      <c r="T484" s="83"/>
      <c r="U484" s="83"/>
      <c r="V484" s="84"/>
      <c r="W484" s="84"/>
    </row>
    <row r="485">
      <c r="A485" s="148" t="str">
        <f>Translation!A492</f>
        <v>PEÇAS E ACESSÓRIOS</v>
      </c>
      <c r="B485" s="144" t="s">
        <v>2133</v>
      </c>
      <c r="C485" s="140" t="e">
        <f>VLOOKUP(Q485,Data!$B:$E,4,FALSE)</f>
        <v>#N/A</v>
      </c>
      <c r="D485" s="114"/>
      <c r="E485" s="114"/>
      <c r="F485" s="114"/>
      <c r="G485" s="114"/>
      <c r="H485" s="113"/>
      <c r="I485" s="113"/>
      <c r="O485" s="29" t="s">
        <v>2036</v>
      </c>
      <c r="P485" s="40" t="s">
        <v>2133</v>
      </c>
      <c r="Q485" s="80" t="s">
        <v>2134</v>
      </c>
      <c r="R485" s="83"/>
      <c r="S485" s="83"/>
      <c r="T485" s="83"/>
      <c r="U485" s="83"/>
      <c r="V485" s="84"/>
      <c r="W485" s="84"/>
    </row>
    <row r="486">
      <c r="A486" s="148" t="str">
        <f>Translation!A493</f>
        <v>OUTROS</v>
      </c>
      <c r="B486" s="144" t="s">
        <v>2135</v>
      </c>
      <c r="C486" s="140" t="e">
        <f>VLOOKUP(Q486,Data!$B:$E,4,FALSE)</f>
        <v>#N/A</v>
      </c>
      <c r="D486" s="114"/>
      <c r="E486" s="114"/>
      <c r="F486" s="114"/>
      <c r="G486" s="114"/>
      <c r="H486" s="113"/>
      <c r="I486" s="113"/>
      <c r="O486" s="29" t="s">
        <v>2095</v>
      </c>
      <c r="P486" s="40" t="s">
        <v>2135</v>
      </c>
      <c r="Q486" s="80" t="s">
        <v>2136</v>
      </c>
      <c r="R486" s="83"/>
      <c r="S486" s="83"/>
      <c r="T486" s="83"/>
      <c r="U486" s="83"/>
      <c r="V486" s="84"/>
      <c r="W486" s="84"/>
    </row>
    <row r="487">
      <c r="A487" s="151" t="str">
        <f>Translation!A494</f>
        <v>TOTAL DE FORNECEDORES</v>
      </c>
      <c r="B487" s="144" t="s">
        <v>2137</v>
      </c>
      <c r="C487" s="141" t="e">
        <f>VLOOKUP(Q487,Data!$B:$E,4,FALSE)</f>
        <v>#N/A</v>
      </c>
      <c r="D487" s="118"/>
      <c r="E487" s="118"/>
      <c r="F487" s="117"/>
      <c r="G487" s="117"/>
      <c r="H487" s="113"/>
      <c r="I487" s="113"/>
      <c r="O487" s="48" t="s">
        <v>2138</v>
      </c>
      <c r="P487" s="40" t="s">
        <v>2137</v>
      </c>
      <c r="Q487" s="57" t="s">
        <v>2139</v>
      </c>
      <c r="R487" s="88"/>
      <c r="S487" s="88"/>
      <c r="T487" s="87"/>
      <c r="U487" s="87"/>
      <c r="V487" s="84"/>
      <c r="W487" s="84"/>
    </row>
    <row r="488">
      <c r="A488" s="148" t="str">
        <f>Translation!A495</f>
        <v>SALÁRIOS E ENCARGOS</v>
      </c>
      <c r="B488" s="144" t="s">
        <v>2140</v>
      </c>
      <c r="C488" s="140" t="e">
        <f>VLOOKUP(Q488,Data!$B:$E,4,FALSE)</f>
        <v>#N/A</v>
      </c>
      <c r="D488" s="118"/>
      <c r="E488" s="118"/>
      <c r="F488" s="117"/>
      <c r="G488" s="117"/>
      <c r="H488" s="113"/>
      <c r="I488" s="113"/>
      <c r="O488" s="29" t="s">
        <v>2141</v>
      </c>
      <c r="P488" s="40" t="s">
        <v>2140</v>
      </c>
      <c r="Q488" s="80" t="s">
        <v>2142</v>
      </c>
      <c r="R488" s="88"/>
      <c r="S488" s="88"/>
      <c r="T488" s="87"/>
      <c r="U488" s="87"/>
      <c r="V488" s="84"/>
      <c r="W488" s="84"/>
    </row>
    <row r="489">
      <c r="A489" s="148" t="str">
        <f>Translation!A496</f>
        <v>PROVISÕES DE FÉRIAS</v>
      </c>
      <c r="B489" s="144" t="s">
        <v>2143</v>
      </c>
      <c r="C489" s="140" t="e">
        <f>VLOOKUP(Q489,Data!$B:$E,4,FALSE)</f>
        <v>#N/A</v>
      </c>
      <c r="D489" s="118"/>
      <c r="E489" s="118"/>
      <c r="F489" s="117"/>
      <c r="G489" s="117"/>
      <c r="H489" s="113"/>
      <c r="I489" s="113"/>
      <c r="O489" s="29" t="s">
        <v>2144</v>
      </c>
      <c r="P489" s="40" t="s">
        <v>2143</v>
      </c>
      <c r="Q489" s="80" t="s">
        <v>2145</v>
      </c>
      <c r="R489" s="88"/>
      <c r="S489" s="88"/>
      <c r="T489" s="87"/>
      <c r="U489" s="87"/>
      <c r="V489" s="84"/>
      <c r="W489" s="84"/>
    </row>
    <row r="490">
      <c r="A490" s="148" t="str">
        <f>Translation!A497</f>
        <v>PROVISÕES DE 13º SALÁRIO</v>
      </c>
      <c r="B490" s="144" t="s">
        <v>2146</v>
      </c>
      <c r="C490" s="140" t="e">
        <f>VLOOKUP(Q490,Data!$B:$E,4,FALSE)</f>
        <v>#N/A</v>
      </c>
      <c r="D490" s="113"/>
      <c r="E490" s="113"/>
      <c r="F490" s="113"/>
      <c r="G490" s="113"/>
      <c r="H490" s="113"/>
      <c r="I490" s="113"/>
      <c r="O490" s="29" t="s">
        <v>2147</v>
      </c>
      <c r="P490" s="40" t="s">
        <v>2146</v>
      </c>
      <c r="Q490" s="80" t="s">
        <v>2148</v>
      </c>
      <c r="R490" s="84"/>
      <c r="S490" s="84"/>
      <c r="T490" s="84"/>
      <c r="U490" s="84"/>
      <c r="V490" s="84"/>
      <c r="W490" s="84"/>
    </row>
    <row r="491">
      <c r="A491" s="151" t="str">
        <f>Translation!A498</f>
        <v>TOTAL DE OBRIGAÇÕES TRABALHISTAS</v>
      </c>
      <c r="B491" s="144" t="s">
        <v>2149</v>
      </c>
      <c r="C491" s="141" t="e">
        <f>VLOOKUP(Q491,Data!$B:$E,4,FALSE)</f>
        <v>#N/A</v>
      </c>
      <c r="D491" s="118"/>
      <c r="E491" s="118"/>
      <c r="F491" s="117"/>
      <c r="G491" s="117"/>
      <c r="H491" s="113"/>
      <c r="I491" s="113"/>
      <c r="O491" s="48" t="s">
        <v>2150</v>
      </c>
      <c r="P491" s="40" t="s">
        <v>2149</v>
      </c>
      <c r="Q491" s="57" t="s">
        <v>2151</v>
      </c>
      <c r="R491" s="88"/>
      <c r="S491" s="88"/>
      <c r="T491" s="87"/>
      <c r="U491" s="87"/>
      <c r="V491" s="84"/>
      <c r="W491" s="84"/>
    </row>
    <row r="492">
      <c r="A492" s="148" t="str">
        <f>Translation!A499</f>
        <v>ICMS</v>
      </c>
      <c r="B492" s="144" t="s">
        <v>2152</v>
      </c>
      <c r="C492" s="140" t="e">
        <f>VLOOKUP(Q492,Data!$B:$E,4,FALSE)</f>
        <v>#N/A</v>
      </c>
      <c r="D492" s="118"/>
      <c r="E492" s="118"/>
      <c r="F492" s="117"/>
      <c r="G492" s="117"/>
      <c r="H492" s="113"/>
      <c r="I492" s="113"/>
      <c r="O492" s="29" t="s">
        <v>2153</v>
      </c>
      <c r="P492" s="40" t="s">
        <v>2152</v>
      </c>
      <c r="Q492" s="80" t="s">
        <v>2154</v>
      </c>
      <c r="R492" s="88"/>
      <c r="S492" s="88"/>
      <c r="T492" s="87"/>
      <c r="U492" s="87"/>
      <c r="V492" s="84"/>
      <c r="W492" s="84"/>
    </row>
    <row r="493">
      <c r="A493" s="148" t="str">
        <f>Translation!A500</f>
        <v>ISS</v>
      </c>
      <c r="B493" s="144" t="s">
        <v>2155</v>
      </c>
      <c r="C493" s="140" t="e">
        <f>VLOOKUP(Q493,Data!$B:$E,4,FALSE)</f>
        <v>#N/A</v>
      </c>
      <c r="D493" s="115"/>
      <c r="E493" s="115"/>
      <c r="F493" s="115"/>
      <c r="G493" s="116"/>
      <c r="H493" s="115"/>
      <c r="I493" s="115"/>
      <c r="O493" s="29" t="s">
        <v>2156</v>
      </c>
      <c r="P493" s="40" t="s">
        <v>2155</v>
      </c>
      <c r="Q493" s="80" t="s">
        <v>2157</v>
      </c>
      <c r="R493" s="85"/>
      <c r="S493" s="85"/>
      <c r="T493" s="85"/>
      <c r="U493" s="86"/>
      <c r="V493" s="85"/>
      <c r="W493" s="85"/>
    </row>
    <row r="494">
      <c r="A494" s="148" t="str">
        <f>Translation!A501</f>
        <v>PIS</v>
      </c>
      <c r="B494" s="144" t="s">
        <v>2158</v>
      </c>
      <c r="C494" s="140" t="e">
        <f>VLOOKUP(Q494,Data!$B:$E,4,FALSE)</f>
        <v>#N/A</v>
      </c>
      <c r="D494" s="114"/>
      <c r="E494" s="114"/>
      <c r="F494" s="114"/>
      <c r="G494" s="114"/>
      <c r="H494" s="114"/>
      <c r="I494" s="114"/>
      <c r="O494" s="29" t="s">
        <v>2159</v>
      </c>
      <c r="P494" s="40" t="s">
        <v>2158</v>
      </c>
      <c r="Q494" s="80" t="s">
        <v>2160</v>
      </c>
      <c r="R494" s="83"/>
      <c r="S494" s="83"/>
      <c r="T494" s="83"/>
      <c r="U494" s="83"/>
      <c r="V494" s="83"/>
      <c r="W494" s="83"/>
    </row>
    <row r="495">
      <c r="A495" s="148" t="str">
        <f>Translation!A502</f>
        <v>COFINS</v>
      </c>
      <c r="B495" s="144" t="s">
        <v>2161</v>
      </c>
      <c r="C495" s="140" t="e">
        <f>VLOOKUP(Q495,Data!$B:$E,4,FALSE)</f>
        <v>#N/A</v>
      </c>
      <c r="D495" s="114"/>
      <c r="E495" s="114"/>
      <c r="F495" s="114"/>
      <c r="G495" s="114"/>
      <c r="H495" s="114"/>
      <c r="I495" s="114"/>
      <c r="O495" s="29" t="s">
        <v>2162</v>
      </c>
      <c r="P495" s="40" t="s">
        <v>2161</v>
      </c>
      <c r="Q495" s="80" t="s">
        <v>2163</v>
      </c>
      <c r="R495" s="83"/>
      <c r="S495" s="83"/>
      <c r="T495" s="83"/>
      <c r="U495" s="83"/>
      <c r="V495" s="83"/>
      <c r="W495" s="83"/>
    </row>
    <row r="496">
      <c r="A496" s="148" t="str">
        <f>Translation!A503</f>
        <v>CSLL</v>
      </c>
      <c r="B496" s="144" t="s">
        <v>2164</v>
      </c>
      <c r="C496" s="140" t="e">
        <f>VLOOKUP(Q496,Data!$B:$E,4,FALSE)</f>
        <v>#N/A</v>
      </c>
      <c r="D496" s="118"/>
      <c r="E496" s="118"/>
      <c r="F496" s="118"/>
      <c r="G496" s="117"/>
      <c r="H496" s="118"/>
      <c r="I496" s="118"/>
      <c r="O496" s="29" t="s">
        <v>2165</v>
      </c>
      <c r="P496" s="40" t="s">
        <v>2164</v>
      </c>
      <c r="Q496" s="80" t="s">
        <v>2166</v>
      </c>
      <c r="R496" s="88"/>
      <c r="S496" s="88"/>
      <c r="T496" s="88"/>
      <c r="U496" s="87"/>
      <c r="V496" s="88"/>
      <c r="W496" s="88"/>
    </row>
    <row r="497">
      <c r="A497" s="148" t="str">
        <f>Translation!A504</f>
        <v>IRPJ</v>
      </c>
      <c r="B497" s="144" t="s">
        <v>2167</v>
      </c>
      <c r="C497" s="140" t="e">
        <f>VLOOKUP(Q497,Data!$B:$E,4,FALSE)</f>
        <v>#N/A</v>
      </c>
      <c r="D497" s="118"/>
      <c r="E497" s="118"/>
      <c r="F497" s="118"/>
      <c r="G497" s="117"/>
      <c r="H497" s="118"/>
      <c r="I497" s="118"/>
      <c r="O497" s="29" t="s">
        <v>2168</v>
      </c>
      <c r="P497" s="40" t="s">
        <v>2167</v>
      </c>
      <c r="Q497" s="80" t="s">
        <v>2169</v>
      </c>
      <c r="R497" s="88"/>
      <c r="S497" s="88"/>
      <c r="T497" s="88"/>
      <c r="U497" s="87"/>
      <c r="V497" s="88"/>
      <c r="W497" s="88"/>
    </row>
    <row r="498">
      <c r="A498" s="148" t="str">
        <f>Translation!A505</f>
        <v>PARCELAMENTO DE IMPOSTOS</v>
      </c>
      <c r="B498" s="144" t="s">
        <v>2170</v>
      </c>
      <c r="C498" s="140" t="e">
        <f>VLOOKUP(Q498,Data!$B:$E,4,FALSE)</f>
        <v>#N/A</v>
      </c>
      <c r="D498" s="113"/>
      <c r="E498" s="113"/>
      <c r="F498" s="113"/>
      <c r="G498" s="113"/>
      <c r="H498" s="113"/>
      <c r="I498" s="113"/>
      <c r="O498" s="29" t="s">
        <v>2171</v>
      </c>
      <c r="P498" s="40" t="s">
        <v>2170</v>
      </c>
      <c r="Q498" s="80" t="s">
        <v>2172</v>
      </c>
      <c r="R498" s="84"/>
      <c r="S498" s="84"/>
      <c r="T498" s="84"/>
      <c r="U498" s="84"/>
      <c r="V498" s="84"/>
      <c r="W498" s="84"/>
    </row>
    <row r="499">
      <c r="A499" s="148" t="str">
        <f>Translation!A506</f>
        <v>ADIANTAMENTO DE CLIENTES</v>
      </c>
      <c r="B499" s="144" t="s">
        <v>2173</v>
      </c>
      <c r="C499" s="140" t="e">
        <f>VLOOKUP(Q499,Data!$B:$E,4,FALSE)</f>
        <v>#N/A</v>
      </c>
      <c r="D499" s="118"/>
      <c r="E499" s="118"/>
      <c r="F499" s="118"/>
      <c r="G499" s="118"/>
      <c r="H499" s="118"/>
      <c r="I499" s="118"/>
      <c r="O499" s="29" t="s">
        <v>2174</v>
      </c>
      <c r="P499" s="40" t="s">
        <v>2173</v>
      </c>
      <c r="Q499" s="80" t="s">
        <v>2175</v>
      </c>
      <c r="R499" s="88"/>
      <c r="S499" s="88"/>
      <c r="T499" s="88"/>
      <c r="U499" s="88"/>
      <c r="V499" s="88"/>
      <c r="W499" s="88"/>
    </row>
    <row r="500">
      <c r="A500" s="157" t="str">
        <f>Translation!A507</f>
        <v>EMPRÉSTIMOS COM SÓCIOS E COLIGADAS</v>
      </c>
      <c r="B500" s="144" t="s">
        <v>2176</v>
      </c>
      <c r="C500" s="140" t="e">
        <f>VLOOKUP(Q500,Data!$B:$E,4,FALSE)</f>
        <v>#N/A</v>
      </c>
      <c r="D500" s="109"/>
      <c r="E500" s="109"/>
      <c r="F500" s="109"/>
      <c r="G500" s="109"/>
      <c r="H500" s="109"/>
      <c r="I500" s="109"/>
      <c r="O500" s="52" t="s">
        <v>2177</v>
      </c>
      <c r="P500" s="40" t="s">
        <v>2176</v>
      </c>
      <c r="Q500" s="80" t="s">
        <v>2178</v>
      </c>
      <c r="R500" s="92"/>
      <c r="S500" s="92"/>
      <c r="T500" s="92"/>
      <c r="U500" s="92"/>
      <c r="V500" s="92"/>
      <c r="W500" s="92"/>
    </row>
    <row r="501">
      <c r="A501" s="148" t="str">
        <f>Translation!A508</f>
        <v>MULTAS</v>
      </c>
      <c r="B501" s="144" t="s">
        <v>2179</v>
      </c>
      <c r="C501" s="140" t="e">
        <f>VLOOKUP(Q501,Data!$B:$E,4,FALSE)</f>
        <v>#N/A</v>
      </c>
      <c r="D501" s="109"/>
      <c r="E501" s="109"/>
      <c r="F501" s="109"/>
      <c r="G501" s="109"/>
      <c r="H501" s="109"/>
      <c r="I501" s="109"/>
      <c r="O501" s="29" t="s">
        <v>1527</v>
      </c>
      <c r="P501" s="40" t="s">
        <v>2179</v>
      </c>
      <c r="Q501" s="80" t="s">
        <v>2180</v>
      </c>
      <c r="R501" s="92"/>
      <c r="S501" s="92"/>
      <c r="T501" s="92"/>
      <c r="U501" s="92"/>
      <c r="V501" s="92"/>
      <c r="W501" s="92"/>
    </row>
    <row r="502">
      <c r="A502" s="148" t="str">
        <f>Translation!A509</f>
        <v>OUTROS</v>
      </c>
      <c r="B502" s="144" t="s">
        <v>2181</v>
      </c>
      <c r="C502" s="140" t="e">
        <f>VLOOKUP(Q502,Data!$B:$E,4,FALSE)</f>
        <v>#N/A</v>
      </c>
      <c r="D502" s="109"/>
      <c r="E502" s="109"/>
      <c r="F502" s="109"/>
      <c r="G502" s="109"/>
      <c r="H502" s="109"/>
      <c r="I502" s="109"/>
      <c r="O502" s="29" t="s">
        <v>2095</v>
      </c>
      <c r="P502" s="40" t="s">
        <v>2181</v>
      </c>
      <c r="Q502" s="80" t="s">
        <v>2182</v>
      </c>
      <c r="R502" s="92"/>
      <c r="S502" s="92"/>
      <c r="T502" s="92"/>
      <c r="U502" s="92"/>
      <c r="V502" s="92"/>
      <c r="W502" s="92"/>
    </row>
    <row r="503">
      <c r="A503" s="151" t="str">
        <f>Translation!A510</f>
        <v>TOTAL DE OBRIGAÇÕES FISCAIS E TRIBUTÁRIAS</v>
      </c>
      <c r="B503" s="144" t="s">
        <v>2183</v>
      </c>
      <c r="C503" s="141" t="e">
        <f>VLOOKUP(Q503,Data!$B:$E,4,FALSE)</f>
        <v>#N/A</v>
      </c>
      <c r="D503" s="109"/>
      <c r="E503" s="109"/>
      <c r="F503" s="109"/>
      <c r="G503" s="109"/>
      <c r="H503" s="109"/>
      <c r="I503" s="109"/>
      <c r="O503" s="48" t="s">
        <v>2184</v>
      </c>
      <c r="P503" s="40" t="s">
        <v>2183</v>
      </c>
      <c r="Q503" s="57" t="s">
        <v>2185</v>
      </c>
      <c r="R503" s="92"/>
      <c r="S503" s="92"/>
      <c r="T503" s="92"/>
      <c r="U503" s="92"/>
      <c r="V503" s="92"/>
      <c r="W503" s="92"/>
    </row>
    <row r="504">
      <c r="A504" s="151" t="str">
        <f>Translation!A511</f>
        <v>TOTAL DO PASSIVO CIRCULANTE</v>
      </c>
      <c r="B504" s="144" t="s">
        <v>2186</v>
      </c>
      <c r="C504" s="141" t="e">
        <f>VLOOKUP(Q504,Data!$B:$E,4,FALSE)</f>
        <v>#N/A</v>
      </c>
      <c r="D504" s="109"/>
      <c r="E504" s="109"/>
      <c r="F504" s="109"/>
      <c r="G504" s="109"/>
      <c r="H504" s="109"/>
      <c r="I504" s="109"/>
      <c r="O504" s="48" t="s">
        <v>2187</v>
      </c>
      <c r="P504" s="40" t="s">
        <v>2186</v>
      </c>
      <c r="Q504" s="57" t="s">
        <v>2188</v>
      </c>
      <c r="R504" s="92"/>
      <c r="S504" s="92"/>
      <c r="T504" s="92"/>
      <c r="U504" s="92"/>
      <c r="V504" s="92"/>
      <c r="W504" s="92"/>
    </row>
    <row r="505">
      <c r="A505" s="149" t="str">
        <f>Translation!A512</f>
        <v>PASSIVO NÃO-CIRCULANTE</v>
      </c>
      <c r="B505" s="144" t="str">
        <f>Translation!$G$32</f>
        <v>CONTA</v>
      </c>
      <c r="C505" s="74" t="str">
        <f>Translation!$G$1</f>
        <v>VALOR</v>
      </c>
      <c r="D505" s="109"/>
      <c r="E505" s="109"/>
      <c r="F505" s="109"/>
      <c r="G505" s="109"/>
      <c r="H505" s="109"/>
      <c r="I505" s="109"/>
      <c r="O505" s="27" t="s">
        <v>2189</v>
      </c>
      <c r="P505" s="40" t="str">
        <f>Translation!$G$32</f>
        <v>CONTA</v>
      </c>
      <c r="Q505" s="79" t="str">
        <f>Translation!$G$1</f>
        <v>VALOR</v>
      </c>
      <c r="R505" s="92"/>
      <c r="S505" s="92"/>
      <c r="T505" s="92"/>
      <c r="U505" s="92"/>
      <c r="V505" s="92"/>
      <c r="W505" s="92"/>
    </row>
    <row r="506">
      <c r="A506" s="157" t="str">
        <f>Translation!A513</f>
        <v>EMPRÉSTIMOS COM SÓCIOS E COLIGADAS</v>
      </c>
      <c r="B506" s="144" t="s">
        <v>2190</v>
      </c>
      <c r="C506" s="140" t="e">
        <f>VLOOKUP(Q506,Data!$B:$E,4,FALSE)</f>
        <v>#N/A</v>
      </c>
      <c r="D506" s="109"/>
      <c r="E506" s="109"/>
      <c r="F506" s="109"/>
      <c r="G506" s="109"/>
      <c r="H506" s="109"/>
      <c r="I506" s="109"/>
      <c r="O506" s="52" t="s">
        <v>2177</v>
      </c>
      <c r="P506" s="40" t="s">
        <v>2190</v>
      </c>
      <c r="Q506" s="80" t="s">
        <v>2191</v>
      </c>
      <c r="R506" s="92"/>
      <c r="S506" s="92"/>
      <c r="T506" s="92"/>
      <c r="U506" s="92"/>
      <c r="V506" s="92"/>
      <c r="W506" s="92"/>
    </row>
    <row r="507">
      <c r="A507" s="148" t="str">
        <f>Translation!A514</f>
        <v>INTITUIÇÕES FINANCEIRAS</v>
      </c>
      <c r="B507" s="144" t="s">
        <v>2192</v>
      </c>
      <c r="C507" s="140" t="e">
        <f>VLOOKUP(Q507,Data!$B:$E,4,FALSE)</f>
        <v>#N/A</v>
      </c>
      <c r="D507" s="109"/>
      <c r="E507" s="109"/>
      <c r="F507" s="109"/>
      <c r="G507" s="109"/>
      <c r="H507" s="109"/>
      <c r="I507" s="109"/>
      <c r="O507" s="29" t="s">
        <v>2193</v>
      </c>
      <c r="P507" s="40" t="s">
        <v>2192</v>
      </c>
      <c r="Q507" s="80" t="s">
        <v>2194</v>
      </c>
      <c r="R507" s="92"/>
      <c r="S507" s="92"/>
      <c r="T507" s="92"/>
      <c r="U507" s="92"/>
      <c r="V507" s="92"/>
      <c r="W507" s="92"/>
    </row>
    <row r="508">
      <c r="A508" s="148" t="str">
        <f>Translation!A515</f>
        <v>IMPOSTO DE RENDA DIFERIDO</v>
      </c>
      <c r="B508" s="144" t="s">
        <v>2195</v>
      </c>
      <c r="C508" s="140" t="e">
        <f>VLOOKUP(Q508,Data!$B:$E,4,FALSE)</f>
        <v>#N/A</v>
      </c>
      <c r="D508" s="109"/>
      <c r="E508" s="109"/>
      <c r="F508" s="109"/>
      <c r="G508" s="109"/>
      <c r="H508" s="109"/>
      <c r="I508" s="109"/>
      <c r="O508" s="29" t="s">
        <v>2196</v>
      </c>
      <c r="P508" s="40" t="s">
        <v>2195</v>
      </c>
      <c r="Q508" s="80" t="s">
        <v>2197</v>
      </c>
      <c r="R508" s="92"/>
      <c r="S508" s="92"/>
      <c r="T508" s="92"/>
      <c r="U508" s="92"/>
      <c r="V508" s="92"/>
      <c r="W508" s="92"/>
    </row>
    <row r="509">
      <c r="A509" s="157" t="str">
        <f>Translation!A516</f>
        <v>PROVISÃO PARA IMPOSTOS DIRETOS E INDIRETOS</v>
      </c>
      <c r="B509" s="144" t="s">
        <v>2198</v>
      </c>
      <c r="C509" s="140" t="e">
        <f>VLOOKUP(Q509,Data!$B:$E,4,FALSE)</f>
        <v>#N/A</v>
      </c>
      <c r="D509" s="109"/>
      <c r="E509" s="109"/>
      <c r="F509" s="109"/>
      <c r="G509" s="109"/>
      <c r="H509" s="109"/>
      <c r="I509" s="109"/>
      <c r="O509" s="52" t="s">
        <v>2199</v>
      </c>
      <c r="P509" s="40" t="s">
        <v>2198</v>
      </c>
      <c r="Q509" s="80" t="s">
        <v>2200</v>
      </c>
      <c r="R509" s="92"/>
      <c r="S509" s="92"/>
      <c r="T509" s="92"/>
      <c r="U509" s="92"/>
      <c r="V509" s="92"/>
      <c r="W509" s="92"/>
    </row>
    <row r="510">
      <c r="A510" s="148" t="str">
        <f>Translation!A517</f>
        <v>PARCELAMENTO DE IMPOSTOS</v>
      </c>
      <c r="B510" s="144" t="s">
        <v>2201</v>
      </c>
      <c r="C510" s="140" t="e">
        <f>VLOOKUP(Q510,Data!$B:$E,4,FALSE)</f>
        <v>#N/A</v>
      </c>
      <c r="D510" s="109"/>
      <c r="E510" s="109"/>
      <c r="F510" s="109"/>
      <c r="G510" s="109"/>
      <c r="H510" s="109"/>
      <c r="I510" s="109"/>
      <c r="O510" s="29" t="s">
        <v>2171</v>
      </c>
      <c r="P510" s="40" t="s">
        <v>2201</v>
      </c>
      <c r="Q510" s="80" t="s">
        <v>2202</v>
      </c>
      <c r="R510" s="92"/>
      <c r="S510" s="92"/>
      <c r="T510" s="92"/>
      <c r="U510" s="92"/>
      <c r="V510" s="92"/>
      <c r="W510" s="92"/>
    </row>
    <row r="511">
      <c r="A511" s="148" t="str">
        <f>Translation!A518</f>
        <v>OUTROS</v>
      </c>
      <c r="B511" s="144" t="s">
        <v>2203</v>
      </c>
      <c r="C511" s="140" t="e">
        <f>VLOOKUP(Q511,Data!$B:$E,4,FALSE)</f>
        <v>#N/A</v>
      </c>
      <c r="D511" s="109"/>
      <c r="E511" s="109"/>
      <c r="F511" s="109"/>
      <c r="G511" s="109"/>
      <c r="H511" s="109"/>
      <c r="I511" s="109"/>
      <c r="O511" s="29" t="s">
        <v>2095</v>
      </c>
      <c r="P511" s="40" t="s">
        <v>2203</v>
      </c>
      <c r="Q511" s="80" t="s">
        <v>2204</v>
      </c>
      <c r="R511" s="92"/>
      <c r="S511" s="92"/>
      <c r="T511" s="92"/>
      <c r="U511" s="92"/>
      <c r="V511" s="92"/>
      <c r="W511" s="92"/>
    </row>
    <row r="512">
      <c r="A512" s="151" t="str">
        <f>Translation!A519</f>
        <v>TOTAL DO EXIGÍVEL A LONGO PRAZO</v>
      </c>
      <c r="B512" s="144" t="s">
        <v>2205</v>
      </c>
      <c r="C512" s="141" t="e">
        <f>VLOOKUP(Q512,Data!$B:$E,4,FALSE)</f>
        <v>#N/A</v>
      </c>
      <c r="D512" s="109"/>
      <c r="E512" s="109"/>
      <c r="F512" s="109"/>
      <c r="G512" s="109"/>
      <c r="H512" s="109"/>
      <c r="I512" s="109"/>
      <c r="O512" s="48" t="s">
        <v>2206</v>
      </c>
      <c r="P512" s="40" t="s">
        <v>2205</v>
      </c>
      <c r="Q512" s="57" t="s">
        <v>2207</v>
      </c>
      <c r="R512" s="92"/>
      <c r="S512" s="92"/>
      <c r="T512" s="92"/>
      <c r="U512" s="92"/>
      <c r="V512" s="92"/>
      <c r="W512" s="92"/>
    </row>
    <row r="513">
      <c r="A513" s="148" t="str">
        <f>Translation!A520</f>
        <v>RESULTADO DE EXERCÍCIOS FUTUROS</v>
      </c>
      <c r="B513" s="144" t="s">
        <v>2208</v>
      </c>
      <c r="C513" s="140" t="e">
        <f>VLOOKUP(Q513,Data!$B:$E,4,FALSE)</f>
        <v>#N/A</v>
      </c>
      <c r="D513" s="109"/>
      <c r="E513" s="109"/>
      <c r="F513" s="109"/>
      <c r="G513" s="109"/>
      <c r="H513" s="109"/>
      <c r="I513" s="109"/>
      <c r="O513" s="29" t="s">
        <v>2209</v>
      </c>
      <c r="P513" s="40" t="s">
        <v>2208</v>
      </c>
      <c r="Q513" s="80" t="s">
        <v>2210</v>
      </c>
      <c r="R513" s="92"/>
      <c r="S513" s="92"/>
      <c r="T513" s="92"/>
      <c r="U513" s="92"/>
      <c r="V513" s="92"/>
      <c r="W513" s="92"/>
    </row>
    <row r="514">
      <c r="A514" s="151" t="str">
        <f>Translation!A521</f>
        <v>TOTAL DO PASSIVO NÃO-CIRCULANTE</v>
      </c>
      <c r="B514" s="144" t="s">
        <v>2211</v>
      </c>
      <c r="C514" s="141" t="e">
        <f>VLOOKUP(Q514,Data!$B:$E,4,FALSE)</f>
        <v>#N/A</v>
      </c>
      <c r="D514" s="109"/>
      <c r="E514" s="109"/>
      <c r="F514" s="109"/>
      <c r="G514" s="109"/>
      <c r="H514" s="109"/>
      <c r="I514" s="109"/>
      <c r="O514" s="48" t="s">
        <v>2212</v>
      </c>
      <c r="P514" s="40" t="s">
        <v>2211</v>
      </c>
      <c r="Q514" s="57" t="s">
        <v>2213</v>
      </c>
      <c r="R514" s="92"/>
      <c r="S514" s="92"/>
      <c r="T514" s="92"/>
      <c r="U514" s="92"/>
      <c r="V514" s="92"/>
      <c r="W514" s="92"/>
    </row>
    <row r="515">
      <c r="A515" s="149" t="str">
        <f>Translation!A522</f>
        <v>PATRIMÔNIO LÍQUIDO</v>
      </c>
      <c r="B515" s="144" t="str">
        <f>Translation!$G$32</f>
        <v>CONTA</v>
      </c>
      <c r="C515" s="74" t="str">
        <f>Translation!$G$1</f>
        <v>VALOR</v>
      </c>
      <c r="D515" s="109"/>
      <c r="E515" s="109"/>
      <c r="F515" s="109"/>
      <c r="G515" s="109"/>
      <c r="H515" s="109"/>
      <c r="I515" s="109"/>
      <c r="O515" s="27" t="s">
        <v>2214</v>
      </c>
      <c r="P515" s="40" t="str">
        <f>Translation!$G$32</f>
        <v>CONTA</v>
      </c>
      <c r="Q515" s="79" t="str">
        <f>Translation!$G$1</f>
        <v>VALOR</v>
      </c>
      <c r="R515" s="92"/>
      <c r="S515" s="92"/>
      <c r="T515" s="92"/>
      <c r="U515" s="92"/>
      <c r="V515" s="92"/>
      <c r="W515" s="92"/>
    </row>
    <row r="516">
      <c r="A516" s="148" t="str">
        <f>Translation!A523</f>
        <v>CAPITAL SOCIAL</v>
      </c>
      <c r="B516" s="144" t="s">
        <v>2215</v>
      </c>
      <c r="C516" s="140" t="e">
        <f>VLOOKUP(Q516,Data!$B:$E,4,FALSE)</f>
        <v>#N/A</v>
      </c>
      <c r="D516" s="109"/>
      <c r="E516" s="109"/>
      <c r="F516" s="109"/>
      <c r="G516" s="109"/>
      <c r="H516" s="109"/>
      <c r="I516" s="109"/>
      <c r="O516" s="29" t="s">
        <v>2216</v>
      </c>
      <c r="P516" s="40" t="s">
        <v>2215</v>
      </c>
      <c r="Q516" s="80" t="s">
        <v>2217</v>
      </c>
      <c r="R516" s="92"/>
      <c r="S516" s="92"/>
      <c r="T516" s="92"/>
      <c r="U516" s="92"/>
      <c r="V516" s="92"/>
      <c r="W516" s="92"/>
    </row>
    <row r="517">
      <c r="A517" s="148" t="str">
        <f>Translation!A524</f>
        <v>CAPITAL A INTEGRALIZAR (-)</v>
      </c>
      <c r="B517" s="144" t="s">
        <v>2218</v>
      </c>
      <c r="C517" s="140" t="e">
        <f>VLOOKUP(Q517,Data!$B:$E,4,FALSE)</f>
        <v>#N/A</v>
      </c>
      <c r="D517" s="109"/>
      <c r="E517" s="109"/>
      <c r="F517" s="109"/>
      <c r="G517" s="109"/>
      <c r="H517" s="109"/>
      <c r="I517" s="109"/>
      <c r="O517" s="29" t="s">
        <v>2219</v>
      </c>
      <c r="P517" s="40" t="s">
        <v>2218</v>
      </c>
      <c r="Q517" s="80" t="s">
        <v>2220</v>
      </c>
      <c r="R517" s="92"/>
      <c r="S517" s="92"/>
      <c r="T517" s="92"/>
      <c r="U517" s="92"/>
      <c r="V517" s="92"/>
      <c r="W517" s="92"/>
    </row>
    <row r="518">
      <c r="A518" s="148" t="str">
        <f>Translation!A525</f>
        <v>RESERVA DE CAPITAL</v>
      </c>
      <c r="B518" s="144" t="s">
        <v>2221</v>
      </c>
      <c r="C518" s="140" t="e">
        <f>VLOOKUP(Q518,Data!$B:$E,4,FALSE)</f>
        <v>#N/A</v>
      </c>
      <c r="D518" s="109"/>
      <c r="E518" s="109"/>
      <c r="F518" s="109"/>
      <c r="G518" s="109"/>
      <c r="H518" s="109"/>
      <c r="I518" s="109"/>
      <c r="O518" s="29" t="s">
        <v>2222</v>
      </c>
      <c r="P518" s="40" t="s">
        <v>2221</v>
      </c>
      <c r="Q518" s="80" t="s">
        <v>2223</v>
      </c>
      <c r="R518" s="92"/>
      <c r="S518" s="92"/>
      <c r="T518" s="92"/>
      <c r="U518" s="92"/>
      <c r="V518" s="92"/>
      <c r="W518" s="92"/>
    </row>
    <row r="519">
      <c r="A519" s="148" t="str">
        <f>Translation!A526</f>
        <v>RESERVA DE AVALIAÇÃO</v>
      </c>
      <c r="B519" s="144" t="s">
        <v>2224</v>
      </c>
      <c r="C519" s="140" t="e">
        <f>VLOOKUP(Q519,Data!$B:$E,4,FALSE)</f>
        <v>#N/A</v>
      </c>
      <c r="D519" s="109"/>
      <c r="E519" s="109"/>
      <c r="F519" s="109"/>
      <c r="G519" s="109"/>
      <c r="H519" s="109"/>
      <c r="I519" s="109"/>
      <c r="O519" s="29" t="s">
        <v>2225</v>
      </c>
      <c r="P519" s="40" t="s">
        <v>2224</v>
      </c>
      <c r="Q519" s="80" t="s">
        <v>2226</v>
      </c>
      <c r="R519" s="92"/>
      <c r="S519" s="92"/>
      <c r="T519" s="92"/>
      <c r="U519" s="92"/>
      <c r="V519" s="92"/>
      <c r="W519" s="92"/>
    </row>
    <row r="520">
      <c r="A520" s="148" t="str">
        <f>Translation!A527</f>
        <v>OUTRAS RESERVAS</v>
      </c>
      <c r="B520" s="144" t="s">
        <v>2227</v>
      </c>
      <c r="C520" s="140" t="e">
        <f>VLOOKUP(Q520,Data!$B:$E,4,FALSE)</f>
        <v>#N/A</v>
      </c>
      <c r="D520" s="109"/>
      <c r="E520" s="109"/>
      <c r="F520" s="109"/>
      <c r="G520" s="109"/>
      <c r="H520" s="109"/>
      <c r="I520" s="109"/>
      <c r="O520" s="29" t="s">
        <v>2228</v>
      </c>
      <c r="P520" s="40" t="s">
        <v>2227</v>
      </c>
      <c r="Q520" s="80" t="s">
        <v>2229</v>
      </c>
      <c r="R520" s="92"/>
      <c r="S520" s="92"/>
      <c r="T520" s="92"/>
      <c r="U520" s="92"/>
      <c r="V520" s="92"/>
      <c r="W520" s="92"/>
    </row>
    <row r="521">
      <c r="A521" s="157" t="str">
        <f>Translation!A528</f>
        <v>RESULTADO ACUMULADO DE EXERCÍCIOS ANTERIORES</v>
      </c>
      <c r="B521" s="144" t="s">
        <v>2230</v>
      </c>
      <c r="C521" s="140" t="e">
        <f>VLOOKUP(Q521,Data!$B:$E,4,FALSE)</f>
        <v>#N/A</v>
      </c>
      <c r="D521" s="109"/>
      <c r="E521" s="109"/>
      <c r="F521" s="109"/>
      <c r="G521" s="109"/>
      <c r="H521" s="109"/>
      <c r="I521" s="109"/>
      <c r="O521" s="52" t="s">
        <v>2231</v>
      </c>
      <c r="P521" s="40" t="s">
        <v>2230</v>
      </c>
      <c r="Q521" s="80" t="s">
        <v>2232</v>
      </c>
      <c r="R521" s="92"/>
      <c r="S521" s="92"/>
      <c r="T521" s="92"/>
      <c r="U521" s="92"/>
      <c r="V521" s="92"/>
      <c r="W521" s="92"/>
    </row>
    <row r="522">
      <c r="A522" s="148" t="str">
        <f>Translation!A529</f>
        <v>RESULTADO DO EXERCÍCIO</v>
      </c>
      <c r="B522" s="144" t="s">
        <v>2233</v>
      </c>
      <c r="C522" s="140" t="e">
        <f>VLOOKUP(Q522,Data!$B:$E,4,FALSE)</f>
        <v>#N/A</v>
      </c>
      <c r="D522" s="109"/>
      <c r="E522" s="109"/>
      <c r="F522" s="109"/>
      <c r="G522" s="109"/>
      <c r="H522" s="109"/>
      <c r="I522" s="109"/>
      <c r="O522" s="29" t="s">
        <v>2234</v>
      </c>
      <c r="P522" s="40" t="s">
        <v>2233</v>
      </c>
      <c r="Q522" s="80" t="s">
        <v>2235</v>
      </c>
      <c r="R522" s="92"/>
      <c r="S522" s="92"/>
      <c r="T522" s="92"/>
      <c r="U522" s="92"/>
      <c r="V522" s="92"/>
      <c r="W522" s="92"/>
    </row>
    <row r="523">
      <c r="A523" s="148" t="str">
        <f>Translation!A530</f>
        <v>DISTRIBUIÇÃO DE LUCROS</v>
      </c>
      <c r="B523" s="144" t="s">
        <v>2236</v>
      </c>
      <c r="C523" s="140" t="e">
        <f>VLOOKUP(Q523,Data!$B:$E,4,FALSE)</f>
        <v>#N/A</v>
      </c>
      <c r="D523" s="109"/>
      <c r="E523" s="109"/>
      <c r="F523" s="109"/>
      <c r="G523" s="109"/>
      <c r="H523" s="109"/>
      <c r="I523" s="109"/>
      <c r="O523" s="29" t="s">
        <v>2237</v>
      </c>
      <c r="P523" s="40" t="s">
        <v>2236</v>
      </c>
      <c r="Q523" s="80" t="s">
        <v>2238</v>
      </c>
      <c r="R523" s="92"/>
      <c r="S523" s="92"/>
      <c r="T523" s="92"/>
      <c r="U523" s="92"/>
      <c r="V523" s="92"/>
      <c r="W523" s="92"/>
    </row>
    <row r="524">
      <c r="A524" s="151" t="str">
        <f>Translation!A531</f>
        <v>TOTAL DO PATRIMÔNIO LÍQUIDO</v>
      </c>
      <c r="B524" s="144" t="s">
        <v>2239</v>
      </c>
      <c r="C524" s="141" t="e">
        <f>VLOOKUP(Q524,Data!$B:$E,4,FALSE)</f>
        <v>#N/A</v>
      </c>
      <c r="D524" s="109"/>
      <c r="E524" s="109"/>
      <c r="F524" s="109"/>
      <c r="G524" s="109"/>
      <c r="H524" s="109"/>
      <c r="I524" s="109"/>
      <c r="O524" s="48" t="s">
        <v>2240</v>
      </c>
      <c r="P524" s="40" t="s">
        <v>2239</v>
      </c>
      <c r="Q524" s="57" t="s">
        <v>2241</v>
      </c>
      <c r="R524" s="92"/>
      <c r="S524" s="92"/>
      <c r="T524" s="92"/>
      <c r="U524" s="92"/>
      <c r="V524" s="92"/>
      <c r="W524" s="92"/>
    </row>
    <row r="525">
      <c r="A525" s="151" t="str">
        <f>Translation!A532</f>
        <v>PASSIVO TOTAL</v>
      </c>
      <c r="B525" s="144" t="s">
        <v>2242</v>
      </c>
      <c r="C525" s="141" t="e">
        <f>VLOOKUP(Q525,Data!$B:$E,4,FALSE)</f>
        <v>#N/A</v>
      </c>
      <c r="D525" s="109"/>
      <c r="E525" s="109"/>
      <c r="F525" s="109"/>
      <c r="G525" s="109"/>
      <c r="H525" s="109"/>
      <c r="I525" s="109"/>
      <c r="O525" s="48" t="s">
        <v>2243</v>
      </c>
      <c r="P525" s="40" t="s">
        <v>2242</v>
      </c>
      <c r="Q525" s="57" t="s">
        <v>2244</v>
      </c>
      <c r="R525" s="92"/>
      <c r="S525" s="92"/>
      <c r="T525" s="92"/>
      <c r="U525" s="92"/>
      <c r="V525" s="92"/>
      <c r="W525" s="92"/>
    </row>
    <row r="526">
      <c r="Q526" s="92"/>
      <c r="R526" s="92"/>
      <c r="S526" s="92"/>
      <c r="T526" s="92"/>
      <c r="U526" s="92"/>
      <c r="V526" s="92"/>
      <c r="W526" s="92"/>
    </row>
  </sheetData>
  <sheetProtection sheet="1" formatCells="0" formatColumns="0" formatRows="0" insertColumns="0" insertRows="0" sort="0" autoFilter="0" pivotTables="0"/>
  <mergeCells>
    <mergeCell ref="C2:E2"/>
    <mergeCell ref="A1:I1"/>
  </mergeCells>
  <phoneticPr fontId="17" type="noConversion"/>
  <pageMargins left="0.2" right="0.2" top="0.25" bottom="0.25" header="0.3" footer="0.3"/>
  <pageSetup paperSize="9" scale="47" fitToHeight="0" orientation="portrait"/>
  <headerFooter/>
  <rowBreaks count="7" manualBreakCount="7">
    <brk id="70" max="1048575" man="1"/>
    <brk id="120" max="1048575" man="1"/>
    <brk id="182" max="1048575" man="1"/>
    <brk id="229" max="1048575" man="1"/>
    <brk id="276" max="1048575" man="1"/>
    <brk id="341" max="1048575" man="1"/>
    <brk id="426" max="104857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X526"/>
  <sheetViews>
    <sheetView zoomScaleNormal="100" workbookViewId="0">
      <pane ySplit="2" topLeftCell="A3" activePane="bottomLeft" state="frozenSplit"/>
      <selection activeCell="Q12" sqref="Q12:W12"/>
      <selection pane="bottomLeft" activeCell="O1" sqref="O1:X1048576"/>
    </sheetView>
  </sheetViews>
  <sheetFormatPr defaultColWidth="9.140625" defaultRowHeight="15" zeroHeight="1" x14ac:dyDescent="0.25"/>
  <cols>
    <col min="1" max="1" bestFit="1" width="65.140625" customWidth="1" style="69"/>
    <col min="2" max="2" bestFit="1" width="13.7109375" customWidth="1" style="123"/>
    <col min="3" max="3" width="19.5703125" customWidth="1" style="124"/>
    <col min="4" max="4" width="20.7109375" customWidth="1" style="124"/>
    <col min="5" max="8" width="18" customWidth="1" style="124"/>
    <col min="9" max="9" width="19.7109375" customWidth="1" style="124"/>
    <col min="10" max="10" width="19.42578125" customWidth="1" style="69"/>
    <col min="11" max="11" width="1.5703125" customWidth="1" style="69"/>
    <col min="12" max="14" width="9.140625" customWidth="1" style="69"/>
    <col min="15" max="15" hidden="1" width="46.28515625" customWidth="1" style="69"/>
    <col min="16" max="24" hidden="1" width="9.140625" customWidth="1" style="69"/>
    <col min="25" max="25" width="9.140625" customWidth="1" style="69"/>
    <col min="26" max="16384" width="9.140625" customWidth="1" style="69"/>
  </cols>
  <sheetData>
    <row r="1" ht="26.25">
      <c r="A1" s="161" t="str">
        <f>Translation!$A$23</f>
        <v>DRE YAMAHA BMI - Mês</v>
      </c>
      <c r="B1" s="161"/>
      <c r="C1" s="162"/>
      <c r="D1" s="162"/>
      <c r="E1" s="162"/>
      <c r="F1" s="162"/>
      <c r="G1" s="162"/>
      <c r="H1" s="162"/>
      <c r="I1" s="162"/>
      <c r="J1" s="96"/>
    </row>
    <row r="2" ht="15.75" s="70" customFormat="1">
      <c r="A2" s="97" t="str">
        <f>Translation!$A$20&amp;Data!D1</f>
        <v>Concessionário: %%=$RecordSet.#4</v>
      </c>
      <c r="B2" s="98"/>
      <c r="C2" s="160" t="str">
        <f>Translation!$A$19&amp;Data!D3</f>
        <v>Localização: %%=$RecordSet.#8</v>
      </c>
      <c r="D2" s="160"/>
      <c r="E2" s="160"/>
      <c r="F2" s="99"/>
      <c r="G2" s="99"/>
      <c r="H2" s="99" t="str">
        <f>Translation!$A$21</f>
        <v>Período: </v>
      </c>
      <c r="I2" s="100" t="e">
        <f>VLOOKUP(Data!D6,Data!H1:I12,2,FALSE)&amp;" "&amp;Data!E6</f>
        <v>#N/A</v>
      </c>
      <c r="J2" s="101"/>
    </row>
    <row r="3" ht="18.75">
      <c r="A3" s="71" t="str">
        <f>Translation!A1</f>
        <v>VENDA DE NOVOS</v>
      </c>
      <c r="B3" s="72"/>
      <c r="C3" s="102"/>
      <c r="D3" s="102"/>
      <c r="E3" s="102"/>
      <c r="F3" s="102"/>
      <c r="G3" s="102"/>
      <c r="H3" s="103"/>
      <c r="I3" s="104"/>
      <c r="J3" s="104"/>
      <c r="K3" s="105"/>
      <c r="O3" s="71" t="s">
        <v>0</v>
      </c>
      <c r="P3" s="72"/>
    </row>
    <row r="4" ht="30">
      <c r="A4" s="73" t="str">
        <f>Translation!A35</f>
        <v>LINHA SCOOTER &lt;200 cc</v>
      </c>
      <c r="B4" s="38" t="str">
        <f>Translation!$G$32</f>
        <v>CONTA</v>
      </c>
      <c r="C4" s="121" t="str">
        <f>Translation!$G$12</f>
        <v>UNIDADES</v>
      </c>
      <c r="D4" s="120" t="str">
        <f>Translation!$G$11</f>
        <v>RECEITA
(SEM IMPOSTOS)</v>
      </c>
      <c r="E4" s="120" t="str">
        <f>Translation!$G$33</f>
        <v>UNIDADES DEVOLVIDAS</v>
      </c>
      <c r="F4" s="120" t="str">
        <f>Translation!$G$14</f>
        <v>DEVOLUÇÃO
DE VENDAS</v>
      </c>
      <c r="G4" s="120" t="str">
        <f>Translation!$G$3</f>
        <v>ABAT. E DESCONTO</v>
      </c>
      <c r="H4" s="120" t="str">
        <f>Translation!$G$9</f>
        <v>RECEITA LÍQUIDA</v>
      </c>
      <c r="I4" s="121" t="str">
        <f>Translation!$G$2</f>
        <v>CUSTO</v>
      </c>
      <c r="J4" s="121" t="str">
        <f>Translation!$G$5</f>
        <v>LUCRO BRUTO</v>
      </c>
      <c r="K4" s="106"/>
      <c r="O4" s="73" t="s">
        <v>1</v>
      </c>
      <c r="P4" s="38" t="str">
        <f>Translation!$G$32</f>
        <v>CONTA</v>
      </c>
      <c r="Q4" s="74" t="s">
        <v>2</v>
      </c>
      <c r="R4" s="74" t="s">
        <v>3</v>
      </c>
      <c r="S4" s="74" t="s">
        <v>4</v>
      </c>
      <c r="T4" s="74" t="s">
        <v>5</v>
      </c>
      <c r="U4" s="74" t="s">
        <v>6</v>
      </c>
      <c r="V4" s="74" t="s">
        <v>7</v>
      </c>
      <c r="W4" s="74" t="s">
        <v>8</v>
      </c>
      <c r="X4" s="74" t="s">
        <v>9</v>
      </c>
    </row>
    <row r="5">
      <c r="A5" s="29" t="str">
        <f>Translation!A36</f>
        <v>NEO 125</v>
      </c>
      <c r="B5" s="38" t="s">
        <v>10</v>
      </c>
      <c r="C5" s="107" t="e">
        <f>VLOOKUP(Q5,Data!$B:$E,3,FALSE)</f>
        <v>#N/A</v>
      </c>
      <c r="D5" s="140" t="e">
        <f>VLOOKUP(R5,Data!$B:$E,3,FALSE)</f>
        <v>#N/A</v>
      </c>
      <c r="E5" s="107" t="e">
        <f>VLOOKUP(S5,Data!$B:$E,3,FALSE)</f>
        <v>#N/A</v>
      </c>
      <c r="F5" s="140" t="e">
        <f>VLOOKUP(T5,Data!$B:$E,3,FALSE)</f>
        <v>#N/A</v>
      </c>
      <c r="G5" s="140" t="e">
        <f>VLOOKUP(U5,Data!$B:$E,3,FALSE)</f>
        <v>#N/A</v>
      </c>
      <c r="H5" s="141" t="e">
        <f>VLOOKUP(V5,Data!$B:$E,3,FALSE)</f>
        <v>#N/A</v>
      </c>
      <c r="I5" s="140" t="e">
        <f>VLOOKUP(W5,Data!$B:$E,3,FALSE)</f>
        <v>#N/A</v>
      </c>
      <c r="J5" s="141" t="e">
        <f>VLOOKUP(X5,Data!$B:$E,3,FALSE)</f>
        <v>#N/A</v>
      </c>
      <c r="K5" s="106"/>
      <c r="O5" s="29" t="s">
        <v>11</v>
      </c>
      <c r="P5" s="38" t="s">
        <v>10</v>
      </c>
      <c r="Q5" s="75" t="s">
        <v>12</v>
      </c>
      <c r="R5" s="75" t="s">
        <v>13</v>
      </c>
      <c r="S5" s="75" t="s">
        <v>14</v>
      </c>
      <c r="T5" s="75" t="s">
        <v>15</v>
      </c>
      <c r="U5" s="75" t="s">
        <v>16</v>
      </c>
      <c r="V5" s="76" t="s">
        <v>17</v>
      </c>
      <c r="W5" s="75" t="s">
        <v>18</v>
      </c>
      <c r="X5" s="76" t="s">
        <v>19</v>
      </c>
    </row>
    <row r="6">
      <c r="A6" s="29" t="str">
        <f>Translation!A37</f>
        <v>NMAX 160 ABS</v>
      </c>
      <c r="B6" s="38" t="s">
        <v>20</v>
      </c>
      <c r="C6" s="107" t="e">
        <f>VLOOKUP(Q6,Data!$B:$E,3,FALSE)</f>
        <v>#N/A</v>
      </c>
      <c r="D6" s="140" t="e">
        <f>VLOOKUP(R6,Data!$B:$E,3,FALSE)</f>
        <v>#N/A</v>
      </c>
      <c r="E6" s="140" t="e">
        <f>VLOOKUP(S6,Data!$B:$E,3,FALSE)</f>
        <v>#N/A</v>
      </c>
      <c r="F6" s="140" t="e">
        <f>VLOOKUP(T6,Data!$B:$E,3,FALSE)</f>
        <v>#N/A</v>
      </c>
      <c r="G6" s="140" t="e">
        <f>VLOOKUP(U6,Data!$B:$E,3,FALSE)</f>
        <v>#N/A</v>
      </c>
      <c r="H6" s="141" t="e">
        <f>VLOOKUP(V6,Data!$B:$E,3,FALSE)</f>
        <v>#N/A</v>
      </c>
      <c r="I6" s="140" t="e">
        <f>VLOOKUP(W6,Data!$B:$E,3,FALSE)</f>
        <v>#N/A</v>
      </c>
      <c r="J6" s="141" t="e">
        <f>VLOOKUP(X6,Data!$B:$E,3,FALSE)</f>
        <v>#N/A</v>
      </c>
      <c r="O6" s="29" t="s">
        <v>21</v>
      </c>
      <c r="P6" s="38" t="s">
        <v>20</v>
      </c>
      <c r="Q6" s="75" t="s">
        <v>22</v>
      </c>
      <c r="R6" s="75" t="s">
        <v>23</v>
      </c>
      <c r="S6" s="75" t="s">
        <v>24</v>
      </c>
      <c r="T6" s="75" t="s">
        <v>25</v>
      </c>
      <c r="U6" s="75" t="s">
        <v>26</v>
      </c>
      <c r="V6" s="76" t="s">
        <v>27</v>
      </c>
      <c r="W6" s="75" t="s">
        <v>28</v>
      </c>
      <c r="X6" s="76" t="s">
        <v>29</v>
      </c>
    </row>
    <row r="7" ht="30">
      <c r="A7" s="73" t="str">
        <f>Translation!A38</f>
        <v>LINHA SCOOTER &gt;200 cc</v>
      </c>
      <c r="B7" s="38" t="str">
        <f>Translation!$G$32</f>
        <v>CONTA</v>
      </c>
      <c r="C7" s="121" t="str">
        <f>Translation!$G$12</f>
        <v>UNIDADES</v>
      </c>
      <c r="D7" s="120" t="str">
        <f>Translation!$G$11</f>
        <v>RECEITA
(SEM IMPOSTOS)</v>
      </c>
      <c r="E7" s="120" t="str">
        <f>Translation!$G$33</f>
        <v>UNIDADES DEVOLVIDAS</v>
      </c>
      <c r="F7" s="120" t="str">
        <f>Translation!$G$14</f>
        <v>DEVOLUÇÃO
DE VENDAS</v>
      </c>
      <c r="G7" s="120" t="str">
        <f>Translation!$G$3</f>
        <v>ABAT. E DESCONTO</v>
      </c>
      <c r="H7" s="120" t="str">
        <f>Translation!$G$9</f>
        <v>RECEITA LÍQUIDA</v>
      </c>
      <c r="I7" s="121" t="str">
        <f>Translation!$G$2</f>
        <v>CUSTO</v>
      </c>
      <c r="J7" s="121" t="str">
        <f>Translation!$G$5</f>
        <v>LUCRO BRUTO</v>
      </c>
      <c r="O7" s="73" t="s">
        <v>30</v>
      </c>
      <c r="P7" s="38" t="str">
        <f>Translation!$G$32</f>
        <v>CONTA</v>
      </c>
      <c r="Q7" s="74" t="s">
        <v>2</v>
      </c>
      <c r="R7" s="74" t="s">
        <v>3</v>
      </c>
      <c r="S7" s="74" t="s">
        <v>4</v>
      </c>
      <c r="T7" s="74" t="s">
        <v>5</v>
      </c>
      <c r="U7" s="74" t="s">
        <v>6</v>
      </c>
      <c r="V7" s="74" t="s">
        <v>7</v>
      </c>
      <c r="W7" s="74" t="s">
        <v>8</v>
      </c>
      <c r="X7" s="74" t="s">
        <v>9</v>
      </c>
    </row>
    <row r="8">
      <c r="A8" s="29" t="str">
        <f>Translation!A39</f>
        <v>TMAX 530</v>
      </c>
      <c r="B8" s="38" t="s">
        <v>31</v>
      </c>
      <c r="C8" s="107" t="e">
        <f>VLOOKUP(Q8,Data!$B:$E,3,FALSE)</f>
        <v>#N/A</v>
      </c>
      <c r="D8" s="140" t="e">
        <f>VLOOKUP(R8,Data!$B:$E,3,FALSE)</f>
        <v>#N/A</v>
      </c>
      <c r="E8" s="140" t="e">
        <f>VLOOKUP(S8,Data!$B:$E,3,FALSE)</f>
        <v>#N/A</v>
      </c>
      <c r="F8" s="140" t="e">
        <f>VLOOKUP(T8,Data!$B:$E,3,FALSE)</f>
        <v>#N/A</v>
      </c>
      <c r="G8" s="140" t="e">
        <f>VLOOKUP(U8,Data!$B:$E,3,FALSE)</f>
        <v>#N/A</v>
      </c>
      <c r="H8" s="141" t="e">
        <f>VLOOKUP(V8,Data!$B:$E,3,FALSE)</f>
        <v>#N/A</v>
      </c>
      <c r="I8" s="140" t="e">
        <f>VLOOKUP(W8,Data!$B:$E,3,FALSE)</f>
        <v>#N/A</v>
      </c>
      <c r="J8" s="141" t="e">
        <f>VLOOKUP(X8,Data!$B:$E,3,FALSE)</f>
        <v>#N/A</v>
      </c>
      <c r="O8" s="29" t="s">
        <v>32</v>
      </c>
      <c r="P8" s="38" t="s">
        <v>31</v>
      </c>
      <c r="Q8" s="75" t="s">
        <v>33</v>
      </c>
      <c r="R8" s="75" t="s">
        <v>34</v>
      </c>
      <c r="S8" s="75" t="s">
        <v>35</v>
      </c>
      <c r="T8" s="75" t="s">
        <v>36</v>
      </c>
      <c r="U8" s="75" t="s">
        <v>37</v>
      </c>
      <c r="V8" s="76" t="s">
        <v>38</v>
      </c>
      <c r="W8" s="75" t="s">
        <v>39</v>
      </c>
      <c r="X8" s="76" t="s">
        <v>40</v>
      </c>
    </row>
    <row r="9">
      <c r="A9" s="29" t="s">
        <v>41</v>
      </c>
      <c r="B9" s="38" t="s">
        <v>42</v>
      </c>
      <c r="C9" s="107" t="e">
        <f>VLOOKUP(Q9,Data!$B:$E,3,FALSE)</f>
        <v>#N/A</v>
      </c>
      <c r="D9" s="107" t="e">
        <f>VLOOKUP(R9,Data!$B:$E,3,FALSE)</f>
        <v>#N/A</v>
      </c>
      <c r="E9" s="107" t="e">
        <f>VLOOKUP(S9,Data!$B:$E,3,FALSE)</f>
        <v>#N/A</v>
      </c>
      <c r="F9" s="107" t="e">
        <f>VLOOKUP(T9,Data!$B:$E,3,FALSE)</f>
        <v>#N/A</v>
      </c>
      <c r="G9" s="107" t="e">
        <f>VLOOKUP(U9,Data!$B:$E,3,FALSE)</f>
        <v>#N/A</v>
      </c>
      <c r="H9" s="141" t="e">
        <f>VLOOKUP(V9,Data!$B:$E,3,FALSE)</f>
        <v>#N/A</v>
      </c>
      <c r="I9" s="140" t="e">
        <f>VLOOKUP(W9,Data!$B:$E,3,FALSE)</f>
        <v>#N/A</v>
      </c>
      <c r="J9" s="141" t="e">
        <f>VLOOKUP(X9,Data!$B:$E,3,FALSE)</f>
        <v>#N/A</v>
      </c>
      <c r="O9" s="29" t="s">
        <v>41</v>
      </c>
      <c r="P9" s="38" t="s">
        <v>42</v>
      </c>
      <c r="Q9" s="75" t="s">
        <v>43</v>
      </c>
      <c r="R9" s="75" t="s">
        <v>44</v>
      </c>
      <c r="S9" s="75" t="s">
        <v>45</v>
      </c>
      <c r="T9" s="75" t="s">
        <v>46</v>
      </c>
      <c r="U9" s="75" t="s">
        <v>47</v>
      </c>
      <c r="V9" s="76" t="s">
        <v>48</v>
      </c>
      <c r="W9" s="75" t="s">
        <v>49</v>
      </c>
      <c r="X9" s="76" t="s">
        <v>50</v>
      </c>
    </row>
    <row r="10">
      <c r="A10" s="29" t="s">
        <v>51</v>
      </c>
      <c r="B10" s="38" t="s">
        <v>52</v>
      </c>
      <c r="C10" s="107" t="e">
        <f>VLOOKUP(Q10,Data!$B:$E,3,FALSE)</f>
        <v>#N/A</v>
      </c>
      <c r="D10" s="107" t="e">
        <f>VLOOKUP(R10,Data!$B:$E,3,FALSE)</f>
        <v>#N/A</v>
      </c>
      <c r="E10" s="107" t="e">
        <f>VLOOKUP(S10,Data!$B:$E,3,FALSE)</f>
        <v>#N/A</v>
      </c>
      <c r="F10" s="107" t="e">
        <f>VLOOKUP(T10,Data!$B:$E,3,FALSE)</f>
        <v>#N/A</v>
      </c>
      <c r="G10" s="107" t="e">
        <f>VLOOKUP(U10,Data!$B:$E,3,FALSE)</f>
        <v>#N/A</v>
      </c>
      <c r="H10" s="141" t="e">
        <f>VLOOKUP(V10,Data!$B:$E,3,FALSE)</f>
        <v>#N/A</v>
      </c>
      <c r="I10" s="140" t="e">
        <f>VLOOKUP(W10,Data!$B:$E,3,FALSE)</f>
        <v>#N/A</v>
      </c>
      <c r="J10" s="141" t="e">
        <f>VLOOKUP(X10,Data!$B:$E,3,FALSE)</f>
        <v>#N/A</v>
      </c>
      <c r="O10" s="29" t="s">
        <v>51</v>
      </c>
      <c r="P10" s="38" t="s">
        <v>52</v>
      </c>
      <c r="Q10" s="75" t="s">
        <v>53</v>
      </c>
      <c r="R10" s="75" t="s">
        <v>54</v>
      </c>
      <c r="S10" s="75" t="s">
        <v>55</v>
      </c>
      <c r="T10" s="75" t="s">
        <v>56</v>
      </c>
      <c r="U10" s="75" t="s">
        <v>57</v>
      </c>
      <c r="V10" s="76" t="s">
        <v>58</v>
      </c>
      <c r="W10" s="75" t="s">
        <v>59</v>
      </c>
      <c r="X10" s="76" t="s">
        <v>60</v>
      </c>
    </row>
    <row r="11">
      <c r="A11" s="48" t="str">
        <f>Translation!A40</f>
        <v>TOTAL DE VENDAS - SCOOTER</v>
      </c>
      <c r="B11" s="38" t="s">
        <v>61</v>
      </c>
      <c r="C11" s="108" t="e">
        <f>VLOOKUP(Q11,Data!$B:$E,3,FALSE)</f>
        <v>#N/A</v>
      </c>
      <c r="D11" s="141" t="e">
        <f>VLOOKUP(R11,Data!$B:$E,3,FALSE)</f>
        <v>#N/A</v>
      </c>
      <c r="E11" s="141" t="e">
        <f>VLOOKUP(S11,Data!$B:$E,3,FALSE)</f>
        <v>#N/A</v>
      </c>
      <c r="F11" s="141" t="e">
        <f>VLOOKUP(T11,Data!$B:$E,3,FALSE)</f>
        <v>#N/A</v>
      </c>
      <c r="G11" s="141" t="e">
        <f>VLOOKUP(U11,Data!$B:$E,3,FALSE)</f>
        <v>#N/A</v>
      </c>
      <c r="H11" s="141" t="e">
        <f>VLOOKUP(V11,Data!$B:$E,3,FALSE)</f>
        <v>#N/A</v>
      </c>
      <c r="I11" s="141" t="e">
        <f>VLOOKUP(W11,Data!$B:$E,3,FALSE)</f>
        <v>#N/A</v>
      </c>
      <c r="J11" s="141" t="e">
        <f>VLOOKUP(X11,Data!$B:$E,3,FALSE)</f>
        <v>#N/A</v>
      </c>
      <c r="O11" s="48" t="s">
        <v>62</v>
      </c>
      <c r="P11" s="38" t="s">
        <v>61</v>
      </c>
      <c r="Q11" s="76" t="s">
        <v>63</v>
      </c>
      <c r="R11" s="76" t="s">
        <v>64</v>
      </c>
      <c r="S11" s="76" t="s">
        <v>65</v>
      </c>
      <c r="T11" s="76" t="s">
        <v>66</v>
      </c>
      <c r="U11" s="76" t="s">
        <v>67</v>
      </c>
      <c r="V11" s="76" t="s">
        <v>68</v>
      </c>
      <c r="W11" s="76" t="s">
        <v>69</v>
      </c>
      <c r="X11" s="76" t="s">
        <v>70</v>
      </c>
    </row>
    <row r="12" ht="30">
      <c r="A12" s="73" t="str">
        <f>Translation!A41</f>
        <v>LINHA OFF ROAD</v>
      </c>
      <c r="B12" s="38" t="str">
        <f>Translation!$G$32</f>
        <v>CONTA</v>
      </c>
      <c r="C12" s="121" t="str">
        <f>Translation!$G$12</f>
        <v>UNIDADES</v>
      </c>
      <c r="D12" s="120" t="str">
        <f>Translation!$G$11</f>
        <v>RECEITA
(SEM IMPOSTOS)</v>
      </c>
      <c r="E12" s="120" t="str">
        <f>Translation!$G$33</f>
        <v>UNIDADES DEVOLVIDAS</v>
      </c>
      <c r="F12" s="120" t="str">
        <f>Translation!$G$14</f>
        <v>DEVOLUÇÃO
DE VENDAS</v>
      </c>
      <c r="G12" s="120" t="str">
        <f>Translation!$G$3</f>
        <v>ABAT. E DESCONTO</v>
      </c>
      <c r="H12" s="120" t="str">
        <f>Translation!$G$9</f>
        <v>RECEITA LÍQUIDA</v>
      </c>
      <c r="I12" s="121" t="str">
        <f>Translation!$G$2</f>
        <v>CUSTO</v>
      </c>
      <c r="J12" s="121" t="str">
        <f>Translation!$G$5</f>
        <v>LUCRO BRUTO</v>
      </c>
      <c r="O12" s="73" t="s">
        <v>71</v>
      </c>
      <c r="P12" s="38" t="str">
        <f>Translation!$G$32</f>
        <v>CONTA</v>
      </c>
      <c r="Q12" s="74" t="s">
        <v>2</v>
      </c>
      <c r="R12" s="74" t="s">
        <v>3</v>
      </c>
      <c r="S12" s="74" t="s">
        <v>4</v>
      </c>
      <c r="T12" s="74" t="s">
        <v>5</v>
      </c>
      <c r="U12" s="74" t="s">
        <v>6</v>
      </c>
      <c r="V12" s="74" t="s">
        <v>7</v>
      </c>
      <c r="W12" s="74" t="s">
        <v>8</v>
      </c>
      <c r="X12" s="74" t="s">
        <v>9</v>
      </c>
    </row>
    <row r="13">
      <c r="A13" s="26" t="str">
        <f>Translation!A42</f>
        <v>TTR 230 </v>
      </c>
      <c r="B13" s="38" t="s">
        <v>72</v>
      </c>
      <c r="C13" s="107" t="e">
        <f>VLOOKUP(Q13,Data!$B:$E,3,FALSE)</f>
        <v>#N/A</v>
      </c>
      <c r="D13" s="140" t="e">
        <f>VLOOKUP(R13,Data!$B:$E,3,FALSE)</f>
        <v>#N/A</v>
      </c>
      <c r="E13" s="140" t="e">
        <f>VLOOKUP(S13,Data!$B:$E,3,FALSE)</f>
        <v>#N/A</v>
      </c>
      <c r="F13" s="140" t="e">
        <f>VLOOKUP(T13,Data!$B:$E,3,FALSE)</f>
        <v>#N/A</v>
      </c>
      <c r="G13" s="140" t="e">
        <f>VLOOKUP(U13,Data!$B:$E,3,FALSE)</f>
        <v>#N/A</v>
      </c>
      <c r="H13" s="141" t="e">
        <f>VLOOKUP(V13,Data!$B:$E,3,FALSE)</f>
        <v>#N/A</v>
      </c>
      <c r="I13" s="140" t="e">
        <f>VLOOKUP(W13,Data!$B:$E,3,FALSE)</f>
        <v>#N/A</v>
      </c>
      <c r="J13" s="141" t="e">
        <f>VLOOKUP(X13,Data!$B:$E,3,FALSE)</f>
        <v>#N/A</v>
      </c>
      <c r="O13" s="26" t="s">
        <v>73</v>
      </c>
      <c r="P13" s="38" t="s">
        <v>72</v>
      </c>
      <c r="Q13" s="75" t="s">
        <v>74</v>
      </c>
      <c r="R13" s="75" t="s">
        <v>75</v>
      </c>
      <c r="S13" s="75" t="s">
        <v>76</v>
      </c>
      <c r="T13" s="75" t="s">
        <v>77</v>
      </c>
      <c r="U13" s="75" t="s">
        <v>78</v>
      </c>
      <c r="V13" s="76" t="s">
        <v>79</v>
      </c>
      <c r="W13" s="75" t="s">
        <v>80</v>
      </c>
      <c r="X13" s="76" t="s">
        <v>81</v>
      </c>
    </row>
    <row r="14">
      <c r="A14" s="26" t="s">
        <v>82</v>
      </c>
      <c r="B14" s="38" t="s">
        <v>83</v>
      </c>
      <c r="C14" s="107" t="e">
        <f>VLOOKUP(Q14,Data!$B:$E,3,FALSE)</f>
        <v>#N/A</v>
      </c>
      <c r="D14" s="140" t="e">
        <f>VLOOKUP(R14,Data!$B:$E,3,FALSE)</f>
        <v>#N/A</v>
      </c>
      <c r="E14" s="140" t="e">
        <f>VLOOKUP(S14,Data!$B:$E,3,FALSE)</f>
        <v>#N/A</v>
      </c>
      <c r="F14" s="140" t="e">
        <f>VLOOKUP(T14,Data!$B:$E,3,FALSE)</f>
        <v>#N/A</v>
      </c>
      <c r="G14" s="140" t="e">
        <f>VLOOKUP(U14,Data!$B:$E,3,FALSE)</f>
        <v>#N/A</v>
      </c>
      <c r="H14" s="141" t="e">
        <f>VLOOKUP(V14,Data!$B:$E,3,FALSE)</f>
        <v>#N/A</v>
      </c>
      <c r="I14" s="140" t="e">
        <f>VLOOKUP(W14,Data!$B:$E,3,FALSE)</f>
        <v>#N/A</v>
      </c>
      <c r="J14" s="141" t="e">
        <f>VLOOKUP(X14,Data!$B:$E,3,FALSE)</f>
        <v>#N/A</v>
      </c>
      <c r="O14" s="26" t="s">
        <v>82</v>
      </c>
      <c r="P14" s="38" t="s">
        <v>83</v>
      </c>
      <c r="Q14" s="75" t="s">
        <v>84</v>
      </c>
      <c r="R14" s="75" t="s">
        <v>85</v>
      </c>
      <c r="S14" s="75" t="s">
        <v>86</v>
      </c>
      <c r="T14" s="75" t="s">
        <v>87</v>
      </c>
      <c r="U14" s="75" t="s">
        <v>88</v>
      </c>
      <c r="V14" s="76" t="s">
        <v>89</v>
      </c>
      <c r="W14" s="75" t="s">
        <v>90</v>
      </c>
      <c r="X14" s="76" t="s">
        <v>91</v>
      </c>
    </row>
    <row r="15">
      <c r="A15" s="26" t="str">
        <f>Translation!A44</f>
        <v>YZ 250</v>
      </c>
      <c r="B15" s="38" t="s">
        <v>92</v>
      </c>
      <c r="C15" s="107" t="e">
        <f>VLOOKUP(Q15,Data!$B:$E,3,FALSE)</f>
        <v>#N/A</v>
      </c>
      <c r="D15" s="140" t="e">
        <f>VLOOKUP(R15,Data!$B:$E,3,FALSE)</f>
        <v>#N/A</v>
      </c>
      <c r="E15" s="140" t="e">
        <f>VLOOKUP(S15,Data!$B:$E,3,FALSE)</f>
        <v>#N/A</v>
      </c>
      <c r="F15" s="140" t="e">
        <f>VLOOKUP(T15,Data!$B:$E,3,FALSE)</f>
        <v>#N/A</v>
      </c>
      <c r="G15" s="140" t="e">
        <f>VLOOKUP(U15,Data!$B:$E,3,FALSE)</f>
        <v>#N/A</v>
      </c>
      <c r="H15" s="141" t="e">
        <f>VLOOKUP(V15,Data!$B:$E,3,FALSE)</f>
        <v>#N/A</v>
      </c>
      <c r="I15" s="140" t="e">
        <f>VLOOKUP(W15,Data!$B:$E,3,FALSE)</f>
        <v>#N/A</v>
      </c>
      <c r="J15" s="141" t="e">
        <f>VLOOKUP(X15,Data!$B:$E,3,FALSE)</f>
        <v>#N/A</v>
      </c>
      <c r="O15" s="26" t="s">
        <v>93</v>
      </c>
      <c r="P15" s="38" t="s">
        <v>92</v>
      </c>
      <c r="Q15" s="75" t="s">
        <v>94</v>
      </c>
      <c r="R15" s="75" t="s">
        <v>95</v>
      </c>
      <c r="S15" s="75" t="s">
        <v>96</v>
      </c>
      <c r="T15" s="75" t="s">
        <v>97</v>
      </c>
      <c r="U15" s="75" t="s">
        <v>98</v>
      </c>
      <c r="V15" s="76" t="s">
        <v>99</v>
      </c>
      <c r="W15" s="75" t="s">
        <v>100</v>
      </c>
      <c r="X15" s="76" t="s">
        <v>101</v>
      </c>
    </row>
    <row r="16">
      <c r="A16" s="26" t="str">
        <f>Translation!A45</f>
        <v>YZ 250F</v>
      </c>
      <c r="B16" s="38" t="s">
        <v>102</v>
      </c>
      <c r="C16" s="107" t="e">
        <f>VLOOKUP(Q16,Data!$B:$E,3,FALSE)</f>
        <v>#N/A</v>
      </c>
      <c r="D16" s="140" t="e">
        <f>VLOOKUP(R16,Data!$B:$E,3,FALSE)</f>
        <v>#N/A</v>
      </c>
      <c r="E16" s="140" t="e">
        <f>VLOOKUP(S16,Data!$B:$E,3,FALSE)</f>
        <v>#N/A</v>
      </c>
      <c r="F16" s="140" t="e">
        <f>VLOOKUP(T16,Data!$B:$E,3,FALSE)</f>
        <v>#N/A</v>
      </c>
      <c r="G16" s="140" t="e">
        <f>VLOOKUP(U16,Data!$B:$E,3,FALSE)</f>
        <v>#N/A</v>
      </c>
      <c r="H16" s="141" t="e">
        <f>VLOOKUP(V16,Data!$B:$E,3,FALSE)</f>
        <v>#N/A</v>
      </c>
      <c r="I16" s="140" t="e">
        <f>VLOOKUP(W16,Data!$B:$E,3,FALSE)</f>
        <v>#N/A</v>
      </c>
      <c r="J16" s="141" t="e">
        <f>VLOOKUP(X16,Data!$B:$E,3,FALSE)</f>
        <v>#N/A</v>
      </c>
      <c r="O16" s="26" t="s">
        <v>103</v>
      </c>
      <c r="P16" s="38" t="s">
        <v>102</v>
      </c>
      <c r="Q16" s="75" t="s">
        <v>104</v>
      </c>
      <c r="R16" s="75" t="s">
        <v>105</v>
      </c>
      <c r="S16" s="75" t="s">
        <v>106</v>
      </c>
      <c r="T16" s="75" t="s">
        <v>107</v>
      </c>
      <c r="U16" s="75" t="s">
        <v>108</v>
      </c>
      <c r="V16" s="76" t="s">
        <v>109</v>
      </c>
      <c r="W16" s="75" t="s">
        <v>110</v>
      </c>
      <c r="X16" s="76" t="s">
        <v>111</v>
      </c>
    </row>
    <row r="17">
      <c r="A17" s="26" t="str">
        <f>Translation!A46</f>
        <v>YZ 250FX</v>
      </c>
      <c r="B17" s="38" t="s">
        <v>112</v>
      </c>
      <c r="C17" s="107" t="e">
        <f>VLOOKUP(Q17,Data!$B:$E,3,FALSE)</f>
        <v>#N/A</v>
      </c>
      <c r="D17" s="140" t="e">
        <f>VLOOKUP(R17,Data!$B:$E,3,FALSE)</f>
        <v>#N/A</v>
      </c>
      <c r="E17" s="140" t="e">
        <f>VLOOKUP(S17,Data!$B:$E,3,FALSE)</f>
        <v>#N/A</v>
      </c>
      <c r="F17" s="140" t="e">
        <f>VLOOKUP(T17,Data!$B:$E,3,FALSE)</f>
        <v>#N/A</v>
      </c>
      <c r="G17" s="140" t="e">
        <f>VLOOKUP(U17,Data!$B:$E,3,FALSE)</f>
        <v>#N/A</v>
      </c>
      <c r="H17" s="141" t="e">
        <f>VLOOKUP(V17,Data!$B:$E,3,FALSE)</f>
        <v>#N/A</v>
      </c>
      <c r="I17" s="140" t="e">
        <f>VLOOKUP(W17,Data!$B:$E,3,FALSE)</f>
        <v>#N/A</v>
      </c>
      <c r="J17" s="141" t="e">
        <f>VLOOKUP(X17,Data!$B:$E,3,FALSE)</f>
        <v>#N/A</v>
      </c>
      <c r="O17" s="26" t="s">
        <v>113</v>
      </c>
      <c r="P17" s="38" t="s">
        <v>112</v>
      </c>
      <c r="Q17" s="75" t="s">
        <v>114</v>
      </c>
      <c r="R17" s="75" t="s">
        <v>115</v>
      </c>
      <c r="S17" s="75" t="s">
        <v>116</v>
      </c>
      <c r="T17" s="75" t="s">
        <v>117</v>
      </c>
      <c r="U17" s="75" t="s">
        <v>118</v>
      </c>
      <c r="V17" s="76" t="s">
        <v>119</v>
      </c>
      <c r="W17" s="75" t="s">
        <v>120</v>
      </c>
      <c r="X17" s="76" t="s">
        <v>121</v>
      </c>
    </row>
    <row r="18">
      <c r="A18" s="26" t="s">
        <v>122</v>
      </c>
      <c r="B18" s="38" t="s">
        <v>123</v>
      </c>
      <c r="C18" s="107" t="e">
        <f>VLOOKUP(Q18,Data!$B:$E,3,FALSE)</f>
        <v>#N/A</v>
      </c>
      <c r="D18" s="140" t="e">
        <f>VLOOKUP(R18,Data!$B:$E,3,FALSE)</f>
        <v>#N/A</v>
      </c>
      <c r="E18" s="140" t="e">
        <f>VLOOKUP(S18,Data!$B:$E,3,FALSE)</f>
        <v>#N/A</v>
      </c>
      <c r="F18" s="140" t="e">
        <f>VLOOKUP(T18,Data!$B:$E,3,FALSE)</f>
        <v>#N/A</v>
      </c>
      <c r="G18" s="140" t="e">
        <f>VLOOKUP(U18,Data!$B:$E,3,FALSE)</f>
        <v>#N/A</v>
      </c>
      <c r="H18" s="141" t="e">
        <f>VLOOKUP(V18,Data!$B:$E,3,FALSE)</f>
        <v>#N/A</v>
      </c>
      <c r="I18" s="140" t="e">
        <f>VLOOKUP(W18,Data!$B:$E,3,FALSE)</f>
        <v>#N/A</v>
      </c>
      <c r="J18" s="141" t="e">
        <f>VLOOKUP(X18,Data!$B:$E,3,FALSE)</f>
        <v>#N/A</v>
      </c>
      <c r="O18" s="26" t="s">
        <v>122</v>
      </c>
      <c r="P18" s="38" t="s">
        <v>123</v>
      </c>
      <c r="Q18" s="75" t="s">
        <v>124</v>
      </c>
      <c r="R18" s="75" t="s">
        <v>125</v>
      </c>
      <c r="S18" s="75" t="s">
        <v>126</v>
      </c>
      <c r="T18" s="75" t="s">
        <v>127</v>
      </c>
      <c r="U18" s="75" t="s">
        <v>128</v>
      </c>
      <c r="V18" s="76" t="s">
        <v>129</v>
      </c>
      <c r="W18" s="75" t="s">
        <v>130</v>
      </c>
      <c r="X18" s="76" t="s">
        <v>131</v>
      </c>
    </row>
    <row r="19">
      <c r="A19" s="26" t="str">
        <f>Translation!A48</f>
        <v>YZ 450F</v>
      </c>
      <c r="B19" s="38" t="s">
        <v>132</v>
      </c>
      <c r="C19" s="107" t="e">
        <f>VLOOKUP(Q19,Data!$B:$E,3,FALSE)</f>
        <v>#N/A</v>
      </c>
      <c r="D19" s="140" t="e">
        <f>VLOOKUP(R19,Data!$B:$E,3,FALSE)</f>
        <v>#N/A</v>
      </c>
      <c r="E19" s="140" t="e">
        <f>VLOOKUP(S19,Data!$B:$E,3,FALSE)</f>
        <v>#N/A</v>
      </c>
      <c r="F19" s="140" t="e">
        <f>VLOOKUP(T19,Data!$B:$E,3,FALSE)</f>
        <v>#N/A</v>
      </c>
      <c r="G19" s="140" t="e">
        <f>VLOOKUP(U19,Data!$B:$E,3,FALSE)</f>
        <v>#N/A</v>
      </c>
      <c r="H19" s="141" t="e">
        <f>VLOOKUP(V19,Data!$B:$E,3,FALSE)</f>
        <v>#N/A</v>
      </c>
      <c r="I19" s="140" t="e">
        <f>VLOOKUP(W19,Data!$B:$E,3,FALSE)</f>
        <v>#N/A</v>
      </c>
      <c r="J19" s="141" t="e">
        <f>VLOOKUP(X19,Data!$B:$E,3,FALSE)</f>
        <v>#N/A</v>
      </c>
      <c r="O19" s="26" t="s">
        <v>133</v>
      </c>
      <c r="P19" s="38" t="s">
        <v>132</v>
      </c>
      <c r="Q19" s="75" t="s">
        <v>134</v>
      </c>
      <c r="R19" s="75" t="s">
        <v>135</v>
      </c>
      <c r="S19" s="75" t="s">
        <v>136</v>
      </c>
      <c r="T19" s="75" t="s">
        <v>137</v>
      </c>
      <c r="U19" s="75" t="s">
        <v>138</v>
      </c>
      <c r="V19" s="76" t="s">
        <v>139</v>
      </c>
      <c r="W19" s="75" t="s">
        <v>140</v>
      </c>
      <c r="X19" s="76" t="s">
        <v>141</v>
      </c>
    </row>
    <row r="20">
      <c r="A20" s="26" t="s">
        <v>142</v>
      </c>
      <c r="B20" s="38" t="s">
        <v>143</v>
      </c>
      <c r="C20" s="107" t="e">
        <f>VLOOKUP(Q20,Data!$B:$E,3,FALSE)</f>
        <v>#N/A</v>
      </c>
      <c r="D20" s="140" t="e">
        <f>VLOOKUP(R20,Data!$B:$E,3,FALSE)</f>
        <v>#N/A</v>
      </c>
      <c r="E20" s="140" t="e">
        <f>VLOOKUP(S20,Data!$B:$E,3,FALSE)</f>
        <v>#N/A</v>
      </c>
      <c r="F20" s="140" t="e">
        <f>VLOOKUP(T20,Data!$B:$E,3,FALSE)</f>
        <v>#N/A</v>
      </c>
      <c r="G20" s="140" t="e">
        <f>VLOOKUP(U20,Data!$B:$E,3,FALSE)</f>
        <v>#N/A</v>
      </c>
      <c r="H20" s="141" t="e">
        <f>VLOOKUP(V20,Data!$B:$E,3,FALSE)</f>
        <v>#N/A</v>
      </c>
      <c r="I20" s="140" t="e">
        <f>VLOOKUP(W20,Data!$B:$E,3,FALSE)</f>
        <v>#N/A</v>
      </c>
      <c r="J20" s="141" t="e">
        <f>VLOOKUP(X20,Data!$B:$E,3,FALSE)</f>
        <v>#N/A</v>
      </c>
      <c r="O20" s="26" t="s">
        <v>142</v>
      </c>
      <c r="P20" s="38" t="s">
        <v>143</v>
      </c>
      <c r="Q20" s="75" t="s">
        <v>144</v>
      </c>
      <c r="R20" s="75" t="s">
        <v>145</v>
      </c>
      <c r="S20" s="75" t="s">
        <v>146</v>
      </c>
      <c r="T20" s="75" t="s">
        <v>147</v>
      </c>
      <c r="U20" s="75" t="s">
        <v>148</v>
      </c>
      <c r="V20" s="76" t="s">
        <v>149</v>
      </c>
      <c r="W20" s="75" t="s">
        <v>150</v>
      </c>
      <c r="X20" s="76" t="s">
        <v>151</v>
      </c>
    </row>
    <row r="21">
      <c r="A21" s="26" t="str">
        <f>Translation!A50</f>
        <v>WR 250F</v>
      </c>
      <c r="B21" s="38" t="s">
        <v>152</v>
      </c>
      <c r="C21" s="107" t="e">
        <f>VLOOKUP(Q21,Data!$B:$E,3,FALSE)</f>
        <v>#N/A</v>
      </c>
      <c r="D21" s="140" t="e">
        <f>VLOOKUP(R21,Data!$B:$E,3,FALSE)</f>
        <v>#N/A</v>
      </c>
      <c r="E21" s="140" t="e">
        <f>VLOOKUP(S21,Data!$B:$E,3,FALSE)</f>
        <v>#N/A</v>
      </c>
      <c r="F21" s="140" t="e">
        <f>VLOOKUP(T21,Data!$B:$E,3,FALSE)</f>
        <v>#N/A</v>
      </c>
      <c r="G21" s="140" t="e">
        <f>VLOOKUP(U21,Data!$B:$E,3,FALSE)</f>
        <v>#N/A</v>
      </c>
      <c r="H21" s="141" t="e">
        <f>VLOOKUP(V21,Data!$B:$E,3,FALSE)</f>
        <v>#N/A</v>
      </c>
      <c r="I21" s="140" t="e">
        <f>VLOOKUP(W21,Data!$B:$E,3,FALSE)</f>
        <v>#N/A</v>
      </c>
      <c r="J21" s="141" t="e">
        <f>VLOOKUP(X21,Data!$B:$E,3,FALSE)</f>
        <v>#N/A</v>
      </c>
      <c r="O21" s="26" t="s">
        <v>153</v>
      </c>
      <c r="P21" s="38" t="s">
        <v>152</v>
      </c>
      <c r="Q21" s="75" t="s">
        <v>154</v>
      </c>
      <c r="R21" s="75" t="s">
        <v>155</v>
      </c>
      <c r="S21" s="75" t="s">
        <v>156</v>
      </c>
      <c r="T21" s="75" t="s">
        <v>157</v>
      </c>
      <c r="U21" s="75" t="s">
        <v>158</v>
      </c>
      <c r="V21" s="76" t="s">
        <v>159</v>
      </c>
      <c r="W21" s="75" t="s">
        <v>160</v>
      </c>
      <c r="X21" s="76" t="s">
        <v>161</v>
      </c>
    </row>
    <row r="22">
      <c r="A22" s="26" t="s">
        <v>162</v>
      </c>
      <c r="B22" s="38" t="s">
        <v>163</v>
      </c>
      <c r="C22" s="107" t="e">
        <f>VLOOKUP(Q22,Data!$B:$E,3,FALSE)</f>
        <v>#N/A</v>
      </c>
      <c r="D22" s="140" t="e">
        <f>VLOOKUP(R22,Data!$B:$E,3,FALSE)</f>
        <v>#N/A</v>
      </c>
      <c r="E22" s="140" t="e">
        <f>VLOOKUP(S22,Data!$B:$E,3,FALSE)</f>
        <v>#N/A</v>
      </c>
      <c r="F22" s="140" t="e">
        <f>VLOOKUP(T22,Data!$B:$E,3,FALSE)</f>
        <v>#N/A</v>
      </c>
      <c r="G22" s="140" t="e">
        <f>VLOOKUP(U22,Data!$B:$E,3,FALSE)</f>
        <v>#N/A</v>
      </c>
      <c r="H22" s="141" t="e">
        <f>VLOOKUP(V22,Data!$B:$E,3,FALSE)</f>
        <v>#N/A</v>
      </c>
      <c r="I22" s="140" t="e">
        <f>VLOOKUP(W22,Data!$B:$E,3,FALSE)</f>
        <v>#N/A</v>
      </c>
      <c r="J22" s="141" t="e">
        <f>VLOOKUP(X22,Data!$B:$E,3,FALSE)</f>
        <v>#N/A</v>
      </c>
      <c r="O22" s="26" t="s">
        <v>162</v>
      </c>
      <c r="P22" s="38" t="s">
        <v>163</v>
      </c>
      <c r="Q22" s="75" t="s">
        <v>164</v>
      </c>
      <c r="R22" s="75" t="s">
        <v>165</v>
      </c>
      <c r="S22" s="75" t="s">
        <v>166</v>
      </c>
      <c r="T22" s="75" t="s">
        <v>167</v>
      </c>
      <c r="U22" s="75" t="s">
        <v>168</v>
      </c>
      <c r="V22" s="76" t="s">
        <v>169</v>
      </c>
      <c r="W22" s="75" t="s">
        <v>170</v>
      </c>
      <c r="X22" s="76" t="s">
        <v>171</v>
      </c>
    </row>
    <row r="23">
      <c r="A23" s="48" t="str">
        <f>Translation!A52</f>
        <v>TOTAL DE VENDAS - LINHA OFF ROAD</v>
      </c>
      <c r="B23" s="38" t="s">
        <v>172</v>
      </c>
      <c r="C23" s="108" t="e">
        <f>VLOOKUP(Q23,Data!$B:$E,3,FALSE)</f>
        <v>#N/A</v>
      </c>
      <c r="D23" s="141" t="e">
        <f>VLOOKUP(R23,Data!$B:$E,3,FALSE)</f>
        <v>#N/A</v>
      </c>
      <c r="E23" s="141" t="e">
        <f>VLOOKUP(S23,Data!$B:$E,3,FALSE)</f>
        <v>#N/A</v>
      </c>
      <c r="F23" s="141" t="e">
        <f>VLOOKUP(T23,Data!$B:$E,3,FALSE)</f>
        <v>#N/A</v>
      </c>
      <c r="G23" s="141" t="e">
        <f>VLOOKUP(U23,Data!$B:$E,3,FALSE)</f>
        <v>#N/A</v>
      </c>
      <c r="H23" s="141" t="e">
        <f>VLOOKUP(V23,Data!$B:$E,3,FALSE)</f>
        <v>#N/A</v>
      </c>
      <c r="I23" s="141" t="e">
        <f>VLOOKUP(W23,Data!$B:$E,3,FALSE)</f>
        <v>#N/A</v>
      </c>
      <c r="J23" s="141" t="e">
        <f>VLOOKUP(X23,Data!$B:$E,3,FALSE)</f>
        <v>#N/A</v>
      </c>
      <c r="O23" s="48" t="s">
        <v>173</v>
      </c>
      <c r="P23" s="38" t="s">
        <v>172</v>
      </c>
      <c r="Q23" s="76" t="s">
        <v>174</v>
      </c>
      <c r="R23" s="76" t="s">
        <v>175</v>
      </c>
      <c r="S23" s="76" t="s">
        <v>176</v>
      </c>
      <c r="T23" s="76" t="s">
        <v>177</v>
      </c>
      <c r="U23" s="76" t="s">
        <v>178</v>
      </c>
      <c r="V23" s="76" t="s">
        <v>179</v>
      </c>
      <c r="W23" s="76" t="s">
        <v>180</v>
      </c>
      <c r="X23" s="76" t="s">
        <v>181</v>
      </c>
    </row>
    <row r="24" ht="30">
      <c r="A24" s="73" t="str">
        <f>Translation!A53</f>
        <v>LINHA 125 cc</v>
      </c>
      <c r="B24" s="38" t="str">
        <f>Translation!$G$32</f>
        <v>CONTA</v>
      </c>
      <c r="C24" s="121" t="str">
        <f>Translation!$G$12</f>
        <v>UNIDADES</v>
      </c>
      <c r="D24" s="120" t="str">
        <f>Translation!$G$11</f>
        <v>RECEITA
(SEM IMPOSTOS)</v>
      </c>
      <c r="E24" s="120" t="str">
        <f>Translation!$G$33</f>
        <v>UNIDADES DEVOLVIDAS</v>
      </c>
      <c r="F24" s="120" t="str">
        <f>Translation!$G$14</f>
        <v>DEVOLUÇÃO
DE VENDAS</v>
      </c>
      <c r="G24" s="120" t="str">
        <f>Translation!$G$3</f>
        <v>ABAT. E DESCONTO</v>
      </c>
      <c r="H24" s="120" t="str">
        <f>Translation!$G$9</f>
        <v>RECEITA LÍQUIDA</v>
      </c>
      <c r="I24" s="121" t="str">
        <f>Translation!$G$2</f>
        <v>CUSTO</v>
      </c>
      <c r="J24" s="121" t="str">
        <f>Translation!$G$5</f>
        <v>LUCRO BRUTO</v>
      </c>
      <c r="O24" s="73" t="s">
        <v>182</v>
      </c>
      <c r="P24" s="38" t="str">
        <f>Translation!$G$32</f>
        <v>CONTA</v>
      </c>
      <c r="Q24" s="74" t="s">
        <v>2</v>
      </c>
      <c r="R24" s="74" t="s">
        <v>3</v>
      </c>
      <c r="S24" s="74" t="s">
        <v>4</v>
      </c>
      <c r="T24" s="74" t="s">
        <v>5</v>
      </c>
      <c r="U24" s="74" t="s">
        <v>6</v>
      </c>
      <c r="V24" s="74" t="s">
        <v>7</v>
      </c>
      <c r="W24" s="74" t="s">
        <v>8</v>
      </c>
      <c r="X24" s="74" t="s">
        <v>9</v>
      </c>
    </row>
    <row r="25">
      <c r="A25" s="77" t="str">
        <f>Translation!A54</f>
        <v>FACTOR YBR 125i ED</v>
      </c>
      <c r="B25" s="38" t="s">
        <v>183</v>
      </c>
      <c r="C25" s="107" t="e">
        <f>VLOOKUP(Q25,Data!$B:$E,3,FALSE)</f>
        <v>#N/A</v>
      </c>
      <c r="D25" s="140" t="e">
        <f>VLOOKUP(R25,Data!$B:$E,3,FALSE)</f>
        <v>#N/A</v>
      </c>
      <c r="E25" s="140" t="e">
        <f>VLOOKUP(S25,Data!$B:$E,3,FALSE)</f>
        <v>#N/A</v>
      </c>
      <c r="F25" s="140" t="e">
        <f>VLOOKUP(T25,Data!$B:$E,3,FALSE)</f>
        <v>#N/A</v>
      </c>
      <c r="G25" s="140" t="e">
        <f>VLOOKUP(U25,Data!$B:$E,3,FALSE)</f>
        <v>#N/A</v>
      </c>
      <c r="H25" s="141" t="e">
        <f>VLOOKUP(V25,Data!$B:$E,3,FALSE)</f>
        <v>#N/A</v>
      </c>
      <c r="I25" s="140" t="e">
        <f>VLOOKUP(W25,Data!$B:$E,3,FALSE)</f>
        <v>#N/A</v>
      </c>
      <c r="J25" s="141" t="e">
        <f>VLOOKUP(X25,Data!$B:$E,3,FALSE)</f>
        <v>#N/A</v>
      </c>
      <c r="O25" s="77" t="s">
        <v>184</v>
      </c>
      <c r="P25" s="38" t="s">
        <v>183</v>
      </c>
      <c r="Q25" s="78" t="s">
        <v>185</v>
      </c>
      <c r="R25" s="78" t="s">
        <v>186</v>
      </c>
      <c r="S25" s="78" t="s">
        <v>187</v>
      </c>
      <c r="T25" s="78" t="s">
        <v>188</v>
      </c>
      <c r="U25" s="78" t="s">
        <v>189</v>
      </c>
      <c r="V25" s="76" t="s">
        <v>190</v>
      </c>
      <c r="W25" s="78" t="s">
        <v>191</v>
      </c>
      <c r="X25" s="76" t="s">
        <v>192</v>
      </c>
    </row>
    <row r="26">
      <c r="A26" s="77" t="s">
        <v>193</v>
      </c>
      <c r="B26" s="142" t="s">
        <v>194</v>
      </c>
      <c r="C26" s="107" t="e">
        <f>VLOOKUP(Q26,Data!$B:$E,4,FALSE)</f>
        <v>#N/A</v>
      </c>
      <c r="D26" s="140" t="e">
        <f>VLOOKUP(R26,Data!$B:$E,4,FALSE)</f>
        <v>#N/A</v>
      </c>
      <c r="E26" s="140" t="e">
        <f>VLOOKUP(S26,Data!$B:$E,4,FALSE)</f>
        <v>#N/A</v>
      </c>
      <c r="F26" s="140" t="e">
        <f>VLOOKUP(T26,Data!$B:$E,4,FALSE)</f>
        <v>#N/A</v>
      </c>
      <c r="G26" s="140" t="e">
        <f>VLOOKUP(U26,Data!$B:$E,4,FALSE)</f>
        <v>#N/A</v>
      </c>
      <c r="H26" s="141" t="e">
        <f>VLOOKUP(V26,Data!$B:$E,4,FALSE)</f>
        <v>#N/A</v>
      </c>
      <c r="I26" s="140" t="e">
        <f>VLOOKUP(W26,Data!$B:$E,4,FALSE)</f>
        <v>#N/A</v>
      </c>
      <c r="J26" s="141" t="e">
        <f>VLOOKUP(X26,Data!$B:$E,4,FALSE)</f>
        <v>#N/A</v>
      </c>
      <c r="O26" s="77" t="s">
        <v>193</v>
      </c>
      <c r="P26" s="38" t="s">
        <v>194</v>
      </c>
      <c r="Q26" s="78" t="s">
        <v>195</v>
      </c>
      <c r="R26" s="78" t="s">
        <v>196</v>
      </c>
      <c r="S26" s="78" t="s">
        <v>197</v>
      </c>
      <c r="T26" s="78" t="s">
        <v>198</v>
      </c>
      <c r="U26" s="78" t="s">
        <v>199</v>
      </c>
      <c r="V26" s="76" t="s">
        <v>200</v>
      </c>
      <c r="W26" s="78" t="s">
        <v>201</v>
      </c>
      <c r="X26" s="76" t="s">
        <v>202</v>
      </c>
    </row>
    <row r="27">
      <c r="A27" s="48" t="str">
        <f>Translation!A55</f>
        <v>TOTAL DE VENDAS - LINHA 125 cc</v>
      </c>
      <c r="B27" s="38" t="s">
        <v>203</v>
      </c>
      <c r="C27" s="108" t="e">
        <f>VLOOKUP(Q27,Data!$B:$E,3,FALSE)</f>
        <v>#N/A</v>
      </c>
      <c r="D27" s="141" t="e">
        <f>VLOOKUP(R27,Data!$B:$E,3,FALSE)</f>
        <v>#N/A</v>
      </c>
      <c r="E27" s="141" t="e">
        <f>VLOOKUP(S27,Data!$B:$E,3,FALSE)</f>
        <v>#N/A</v>
      </c>
      <c r="F27" s="141" t="e">
        <f>VLOOKUP(T27,Data!$B:$E,3,FALSE)</f>
        <v>#N/A</v>
      </c>
      <c r="G27" s="141" t="e">
        <f>VLOOKUP(U27,Data!$B:$E,3,FALSE)</f>
        <v>#N/A</v>
      </c>
      <c r="H27" s="141" t="e">
        <f>VLOOKUP(V27,Data!$B:$E,3,FALSE)</f>
        <v>#N/A</v>
      </c>
      <c r="I27" s="141" t="e">
        <f>VLOOKUP(W27,Data!$B:$E,3,FALSE)</f>
        <v>#N/A</v>
      </c>
      <c r="J27" s="141" t="e">
        <f>VLOOKUP(X27,Data!$B:$E,3,FALSE)</f>
        <v>#N/A</v>
      </c>
      <c r="O27" s="48" t="s">
        <v>204</v>
      </c>
      <c r="P27" s="38" t="s">
        <v>203</v>
      </c>
      <c r="Q27" s="76" t="s">
        <v>205</v>
      </c>
      <c r="R27" s="76" t="s">
        <v>206</v>
      </c>
      <c r="S27" s="76" t="s">
        <v>207</v>
      </c>
      <c r="T27" s="76" t="s">
        <v>208</v>
      </c>
      <c r="U27" s="76" t="s">
        <v>209</v>
      </c>
      <c r="V27" s="76" t="s">
        <v>210</v>
      </c>
      <c r="W27" s="76" t="s">
        <v>211</v>
      </c>
      <c r="X27" s="76" t="s">
        <v>212</v>
      </c>
    </row>
    <row r="28" ht="30">
      <c r="A28" s="73" t="str">
        <f>Translation!A56</f>
        <v>LINHA 150 cc - Street</v>
      </c>
      <c r="B28" s="38" t="str">
        <f>Translation!$G$32</f>
        <v>CONTA</v>
      </c>
      <c r="C28" s="121" t="str">
        <f>Translation!$G$12</f>
        <v>UNIDADES</v>
      </c>
      <c r="D28" s="120" t="str">
        <f>Translation!$G$11</f>
        <v>RECEITA
(SEM IMPOSTOS)</v>
      </c>
      <c r="E28" s="120" t="str">
        <f>Translation!$G$33</f>
        <v>UNIDADES DEVOLVIDAS</v>
      </c>
      <c r="F28" s="120" t="str">
        <f>Translation!$G$14</f>
        <v>DEVOLUÇÃO
DE VENDAS</v>
      </c>
      <c r="G28" s="120" t="str">
        <f>Translation!$G$3</f>
        <v>ABAT. E DESCONTO</v>
      </c>
      <c r="H28" s="120" t="str">
        <f>Translation!$G$9</f>
        <v>RECEITA LÍQUIDA</v>
      </c>
      <c r="I28" s="121" t="str">
        <f>Translation!$G$2</f>
        <v>CUSTO</v>
      </c>
      <c r="J28" s="121" t="str">
        <f>Translation!$G$5</f>
        <v>LUCRO BRUTO</v>
      </c>
      <c r="O28" s="73" t="s">
        <v>213</v>
      </c>
      <c r="P28" s="38" t="str">
        <f>Translation!$G$32</f>
        <v>CONTA</v>
      </c>
      <c r="Q28" s="74" t="s">
        <v>2</v>
      </c>
      <c r="R28" s="74" t="s">
        <v>3</v>
      </c>
      <c r="S28" s="74" t="s">
        <v>4</v>
      </c>
      <c r="T28" s="74" t="s">
        <v>5</v>
      </c>
      <c r="U28" s="74" t="s">
        <v>6</v>
      </c>
      <c r="V28" s="74" t="s">
        <v>7</v>
      </c>
      <c r="W28" s="74" t="s">
        <v>8</v>
      </c>
      <c r="X28" s="74" t="s">
        <v>9</v>
      </c>
    </row>
    <row r="29">
      <c r="A29" s="77" t="str">
        <f>Translation!A57</f>
        <v>FACTOR 150E</v>
      </c>
      <c r="B29" s="38" t="s">
        <v>214</v>
      </c>
      <c r="C29" s="107" t="e">
        <f>VLOOKUP(Q29,Data!$B:$E,3,FALSE)</f>
        <v>#N/A</v>
      </c>
      <c r="D29" s="140" t="e">
        <f>VLOOKUP(R29,Data!$B:$E,3,FALSE)</f>
        <v>#N/A</v>
      </c>
      <c r="E29" s="140" t="e">
        <f>VLOOKUP(S29,Data!$B:$E,3,FALSE)</f>
        <v>#N/A</v>
      </c>
      <c r="F29" s="140" t="e">
        <f>VLOOKUP(T29,Data!$B:$E,3,FALSE)</f>
        <v>#N/A</v>
      </c>
      <c r="G29" s="140" t="e">
        <f>VLOOKUP(U29,Data!$B:$E,3,FALSE)</f>
        <v>#N/A</v>
      </c>
      <c r="H29" s="141" t="e">
        <f>VLOOKUP(V29,Data!$B:$E,3,FALSE)</f>
        <v>#N/A</v>
      </c>
      <c r="I29" s="140" t="e">
        <f>VLOOKUP(W29,Data!$B:$E,3,FALSE)</f>
        <v>#N/A</v>
      </c>
      <c r="J29" s="141" t="e">
        <f>VLOOKUP(X29,Data!$B:$E,3,FALSE)</f>
        <v>#N/A</v>
      </c>
      <c r="O29" s="77" t="s">
        <v>215</v>
      </c>
      <c r="P29" s="38" t="s">
        <v>214</v>
      </c>
      <c r="Q29" s="78" t="s">
        <v>216</v>
      </c>
      <c r="R29" s="78" t="s">
        <v>217</v>
      </c>
      <c r="S29" s="78" t="s">
        <v>218</v>
      </c>
      <c r="T29" s="78" t="s">
        <v>219</v>
      </c>
      <c r="U29" s="78" t="s">
        <v>220</v>
      </c>
      <c r="V29" s="76" t="s">
        <v>221</v>
      </c>
      <c r="W29" s="78" t="s">
        <v>222</v>
      </c>
      <c r="X29" s="76" t="s">
        <v>223</v>
      </c>
    </row>
    <row r="30">
      <c r="A30" s="77" t="str">
        <f>Translation!A58</f>
        <v>FACTOR 150ED</v>
      </c>
      <c r="B30" s="38" t="s">
        <v>224</v>
      </c>
      <c r="C30" s="107" t="e">
        <f>VLOOKUP(Q30,Data!$B:$E,3,FALSE)</f>
        <v>#N/A</v>
      </c>
      <c r="D30" s="140" t="e">
        <f>VLOOKUP(R30,Data!$B:$E,3,FALSE)</f>
        <v>#N/A</v>
      </c>
      <c r="E30" s="140" t="e">
        <f>VLOOKUP(S30,Data!$B:$E,3,FALSE)</f>
        <v>#N/A</v>
      </c>
      <c r="F30" s="140" t="e">
        <f>VLOOKUP(T30,Data!$B:$E,3,FALSE)</f>
        <v>#N/A</v>
      </c>
      <c r="G30" s="140" t="e">
        <f>VLOOKUP(U30,Data!$B:$E,3,FALSE)</f>
        <v>#N/A</v>
      </c>
      <c r="H30" s="141" t="e">
        <f>VLOOKUP(V30,Data!$B:$E,3,FALSE)</f>
        <v>#N/A</v>
      </c>
      <c r="I30" s="140" t="e">
        <f>VLOOKUP(W30,Data!$B:$E,3,FALSE)</f>
        <v>#N/A</v>
      </c>
      <c r="J30" s="141" t="e">
        <f>VLOOKUP(X30,Data!$B:$E,3,FALSE)</f>
        <v>#N/A</v>
      </c>
      <c r="O30" s="77" t="s">
        <v>225</v>
      </c>
      <c r="P30" s="38" t="s">
        <v>224</v>
      </c>
      <c r="Q30" s="78" t="s">
        <v>226</v>
      </c>
      <c r="R30" s="78" t="s">
        <v>227</v>
      </c>
      <c r="S30" s="78" t="s">
        <v>228</v>
      </c>
      <c r="T30" s="78" t="s">
        <v>229</v>
      </c>
      <c r="U30" s="78" t="s">
        <v>230</v>
      </c>
      <c r="V30" s="76" t="s">
        <v>231</v>
      </c>
      <c r="W30" s="78" t="s">
        <v>232</v>
      </c>
      <c r="X30" s="76" t="s">
        <v>233</v>
      </c>
    </row>
    <row r="31">
      <c r="A31" s="77" t="str">
        <f>Translation!A59</f>
        <v>YS 150 FAZER SED</v>
      </c>
      <c r="B31" s="38" t="s">
        <v>234</v>
      </c>
      <c r="C31" s="107" t="e">
        <f>VLOOKUP(Q31,Data!$B:$E,3,FALSE)</f>
        <v>#N/A</v>
      </c>
      <c r="D31" s="140" t="e">
        <f>VLOOKUP(R31,Data!$B:$E,3,FALSE)</f>
        <v>#N/A</v>
      </c>
      <c r="E31" s="140" t="e">
        <f>VLOOKUP(S31,Data!$B:$E,3,FALSE)</f>
        <v>#N/A</v>
      </c>
      <c r="F31" s="140" t="e">
        <f>VLOOKUP(T31,Data!$B:$E,3,FALSE)</f>
        <v>#N/A</v>
      </c>
      <c r="G31" s="140" t="e">
        <f>VLOOKUP(U31,Data!$B:$E,3,FALSE)</f>
        <v>#N/A</v>
      </c>
      <c r="H31" s="141" t="e">
        <f>VLOOKUP(V31,Data!$B:$E,3,FALSE)</f>
        <v>#N/A</v>
      </c>
      <c r="I31" s="140" t="e">
        <f>VLOOKUP(W31,Data!$B:$E,3,FALSE)</f>
        <v>#N/A</v>
      </c>
      <c r="J31" s="141" t="e">
        <f>VLOOKUP(X31,Data!$B:$E,3,FALSE)</f>
        <v>#N/A</v>
      </c>
      <c r="O31" s="77" t="s">
        <v>235</v>
      </c>
      <c r="P31" s="38" t="s">
        <v>234</v>
      </c>
      <c r="Q31" s="78" t="s">
        <v>236</v>
      </c>
      <c r="R31" s="78" t="s">
        <v>237</v>
      </c>
      <c r="S31" s="78" t="s">
        <v>238</v>
      </c>
      <c r="T31" s="78" t="s">
        <v>239</v>
      </c>
      <c r="U31" s="78" t="s">
        <v>240</v>
      </c>
      <c r="V31" s="76" t="s">
        <v>241</v>
      </c>
      <c r="W31" s="78" t="s">
        <v>242</v>
      </c>
      <c r="X31" s="76" t="s">
        <v>243</v>
      </c>
    </row>
    <row r="32">
      <c r="A32" s="77" t="s">
        <v>244</v>
      </c>
      <c r="B32" s="142" t="s">
        <v>245</v>
      </c>
      <c r="C32" s="107" t="e">
        <f>VLOOKUP(Q32,Data!$B:$E,4,FALSE)</f>
        <v>#N/A</v>
      </c>
      <c r="D32" s="140" t="e">
        <f>VLOOKUP(R32,Data!$B:$E,4,FALSE)</f>
        <v>#N/A</v>
      </c>
      <c r="E32" s="140" t="e">
        <f>VLOOKUP(S32,Data!$B:$E,4,FALSE)</f>
        <v>#N/A</v>
      </c>
      <c r="F32" s="140" t="e">
        <f>VLOOKUP(T32,Data!$B:$E,4,FALSE)</f>
        <v>#N/A</v>
      </c>
      <c r="G32" s="140" t="e">
        <f>VLOOKUP(U32,Data!$B:$E,4,FALSE)</f>
        <v>#N/A</v>
      </c>
      <c r="H32" s="141" t="e">
        <f>VLOOKUP(V32,Data!$B:$E,4,FALSE)</f>
        <v>#N/A</v>
      </c>
      <c r="I32" s="140" t="e">
        <f>VLOOKUP(W32,Data!$B:$E,4,FALSE)</f>
        <v>#N/A</v>
      </c>
      <c r="J32" s="141" t="e">
        <f>VLOOKUP(X32,Data!$B:$E,4,FALSE)</f>
        <v>#N/A</v>
      </c>
      <c r="O32" s="77" t="s">
        <v>244</v>
      </c>
      <c r="P32" s="38" t="s">
        <v>245</v>
      </c>
      <c r="Q32" s="78" t="s">
        <v>246</v>
      </c>
      <c r="R32" s="78" t="s">
        <v>247</v>
      </c>
      <c r="S32" s="78" t="s">
        <v>248</v>
      </c>
      <c r="T32" s="78" t="s">
        <v>249</v>
      </c>
      <c r="U32" s="78" t="s">
        <v>250</v>
      </c>
      <c r="V32" s="76" t="s">
        <v>251</v>
      </c>
      <c r="W32" s="78" t="s">
        <v>252</v>
      </c>
      <c r="X32" s="76" t="s">
        <v>253</v>
      </c>
    </row>
    <row r="33">
      <c r="A33" s="77" t="s">
        <v>254</v>
      </c>
      <c r="B33" s="142" t="s">
        <v>255</v>
      </c>
      <c r="C33" s="107" t="e">
        <f>VLOOKUP(Q33,Data!$B:$E,4,FALSE)</f>
        <v>#N/A</v>
      </c>
      <c r="D33" s="140" t="e">
        <f>VLOOKUP(R33,Data!$B:$E,4,FALSE)</f>
        <v>#N/A</v>
      </c>
      <c r="E33" s="140" t="e">
        <f>VLOOKUP(S33,Data!$B:$E,4,FALSE)</f>
        <v>#N/A</v>
      </c>
      <c r="F33" s="140" t="e">
        <f>VLOOKUP(T33,Data!$B:$E,4,FALSE)</f>
        <v>#N/A</v>
      </c>
      <c r="G33" s="140" t="e">
        <f>VLOOKUP(U33,Data!$B:$E,4,FALSE)</f>
        <v>#N/A</v>
      </c>
      <c r="H33" s="141" t="e">
        <f>VLOOKUP(V33,Data!$B:$E,4,FALSE)</f>
        <v>#N/A</v>
      </c>
      <c r="I33" s="140" t="e">
        <f>VLOOKUP(W33,Data!$B:$E,4,FALSE)</f>
        <v>#N/A</v>
      </c>
      <c r="J33" s="141" t="e">
        <f>VLOOKUP(X33,Data!$B:$E,4,FALSE)</f>
        <v>#N/A</v>
      </c>
      <c r="O33" s="77" t="s">
        <v>254</v>
      </c>
      <c r="P33" s="38" t="s">
        <v>255</v>
      </c>
      <c r="Q33" s="78" t="s">
        <v>256</v>
      </c>
      <c r="R33" s="78" t="s">
        <v>257</v>
      </c>
      <c r="S33" s="78" t="s">
        <v>258</v>
      </c>
      <c r="T33" s="78" t="s">
        <v>259</v>
      </c>
      <c r="U33" s="78" t="s">
        <v>260</v>
      </c>
      <c r="V33" s="76" t="s">
        <v>261</v>
      </c>
      <c r="W33" s="78" t="s">
        <v>262</v>
      </c>
      <c r="X33" s="76" t="s">
        <v>263</v>
      </c>
    </row>
    <row r="34" ht="30">
      <c r="A34" s="73" t="str">
        <f>Translation!A60</f>
        <v>LINHA 150 cc - On/Off</v>
      </c>
      <c r="B34" s="38" t="str">
        <f>Translation!$G$32</f>
        <v>CONTA</v>
      </c>
      <c r="C34" s="121" t="str">
        <f>Translation!$G$12</f>
        <v>UNIDADES</v>
      </c>
      <c r="D34" s="120" t="str">
        <f>Translation!$G$11</f>
        <v>RECEITA
(SEM IMPOSTOS)</v>
      </c>
      <c r="E34" s="120" t="str">
        <f>Translation!$G$33</f>
        <v>UNIDADES DEVOLVIDAS</v>
      </c>
      <c r="F34" s="120" t="str">
        <f>Translation!$G$14</f>
        <v>DEVOLUÇÃO
DE VENDAS</v>
      </c>
      <c r="G34" s="120" t="str">
        <f>Translation!$G$3</f>
        <v>ABAT. E DESCONTO</v>
      </c>
      <c r="H34" s="120" t="str">
        <f>Translation!$G$9</f>
        <v>RECEITA LÍQUIDA</v>
      </c>
      <c r="I34" s="121" t="str">
        <f>Translation!$G$2</f>
        <v>CUSTO</v>
      </c>
      <c r="J34" s="121" t="str">
        <f>Translation!$G$5</f>
        <v>LUCRO BRUTO</v>
      </c>
      <c r="O34" s="73" t="s">
        <v>264</v>
      </c>
      <c r="P34" s="38" t="str">
        <f>Translation!$G$32</f>
        <v>CONTA</v>
      </c>
      <c r="Q34" s="74" t="s">
        <v>2</v>
      </c>
      <c r="R34" s="74" t="s">
        <v>3</v>
      </c>
      <c r="S34" s="74" t="s">
        <v>4</v>
      </c>
      <c r="T34" s="74" t="s">
        <v>5</v>
      </c>
      <c r="U34" s="74" t="s">
        <v>6</v>
      </c>
      <c r="V34" s="74" t="s">
        <v>7</v>
      </c>
      <c r="W34" s="74" t="s">
        <v>8</v>
      </c>
      <c r="X34" s="74" t="s">
        <v>9</v>
      </c>
    </row>
    <row r="35">
      <c r="A35" s="77" t="str">
        <f>Translation!A61</f>
        <v>XTZ 150 CROSSER E</v>
      </c>
      <c r="B35" s="38" t="s">
        <v>265</v>
      </c>
      <c r="C35" s="107" t="e">
        <f>VLOOKUP(Q35,Data!$B:$E,3,FALSE)</f>
        <v>#N/A</v>
      </c>
      <c r="D35" s="140" t="e">
        <f>VLOOKUP(R35,Data!$B:$E,3,FALSE)</f>
        <v>#N/A</v>
      </c>
      <c r="E35" s="140" t="e">
        <f>VLOOKUP(S35,Data!$B:$E,3,FALSE)</f>
        <v>#N/A</v>
      </c>
      <c r="F35" s="140" t="e">
        <f>VLOOKUP(T35,Data!$B:$E,3,FALSE)</f>
        <v>#N/A</v>
      </c>
      <c r="G35" s="140" t="e">
        <f>VLOOKUP(U35,Data!$B:$E,3,FALSE)</f>
        <v>#N/A</v>
      </c>
      <c r="H35" s="141" t="e">
        <f>VLOOKUP(V35,Data!$B:$E,3,FALSE)</f>
        <v>#N/A</v>
      </c>
      <c r="I35" s="140" t="e">
        <f>VLOOKUP(W35,Data!$B:$E,3,FALSE)</f>
        <v>#N/A</v>
      </c>
      <c r="J35" s="141" t="e">
        <f>VLOOKUP(X35,Data!$B:$E,3,FALSE)</f>
        <v>#N/A</v>
      </c>
      <c r="O35" s="77" t="s">
        <v>266</v>
      </c>
      <c r="P35" s="38" t="s">
        <v>265</v>
      </c>
      <c r="Q35" s="78" t="s">
        <v>267</v>
      </c>
      <c r="R35" s="78" t="s">
        <v>268</v>
      </c>
      <c r="S35" s="78" t="s">
        <v>269</v>
      </c>
      <c r="T35" s="78" t="s">
        <v>270</v>
      </c>
      <c r="U35" s="78" t="s">
        <v>271</v>
      </c>
      <c r="V35" s="76" t="s">
        <v>272</v>
      </c>
      <c r="W35" s="78" t="s">
        <v>273</v>
      </c>
      <c r="X35" s="76" t="s">
        <v>274</v>
      </c>
    </row>
    <row r="36">
      <c r="A36" s="77" t="str">
        <f>Translation!A62</f>
        <v>XTZ 150 CROSSER ED</v>
      </c>
      <c r="B36" s="38" t="s">
        <v>275</v>
      </c>
      <c r="C36" s="107" t="e">
        <f>VLOOKUP(Q36,Data!$B:$E,3,FALSE)</f>
        <v>#N/A</v>
      </c>
      <c r="D36" s="140" t="e">
        <f>VLOOKUP(R36,Data!$B:$E,3,FALSE)</f>
        <v>#N/A</v>
      </c>
      <c r="E36" s="140" t="e">
        <f>VLOOKUP(S36,Data!$B:$E,3,FALSE)</f>
        <v>#N/A</v>
      </c>
      <c r="F36" s="140" t="e">
        <f>VLOOKUP(T36,Data!$B:$E,3,FALSE)</f>
        <v>#N/A</v>
      </c>
      <c r="G36" s="140" t="e">
        <f>VLOOKUP(U36,Data!$B:$E,3,FALSE)</f>
        <v>#N/A</v>
      </c>
      <c r="H36" s="141" t="e">
        <f>VLOOKUP(V36,Data!$B:$E,3,FALSE)</f>
        <v>#N/A</v>
      </c>
      <c r="I36" s="140" t="e">
        <f>VLOOKUP(W36,Data!$B:$E,3,FALSE)</f>
        <v>#N/A</v>
      </c>
      <c r="J36" s="141" t="e">
        <f>VLOOKUP(X36,Data!$B:$E,3,FALSE)</f>
        <v>#N/A</v>
      </c>
      <c r="O36" s="77" t="s">
        <v>276</v>
      </c>
      <c r="P36" s="38" t="s">
        <v>275</v>
      </c>
      <c r="Q36" s="78" t="s">
        <v>277</v>
      </c>
      <c r="R36" s="78" t="s">
        <v>278</v>
      </c>
      <c r="S36" s="78" t="s">
        <v>279</v>
      </c>
      <c r="T36" s="78" t="s">
        <v>280</v>
      </c>
      <c r="U36" s="78" t="s">
        <v>281</v>
      </c>
      <c r="V36" s="76" t="s">
        <v>282</v>
      </c>
      <c r="W36" s="78" t="s">
        <v>283</v>
      </c>
      <c r="X36" s="76" t="s">
        <v>284</v>
      </c>
    </row>
    <row r="37">
      <c r="A37" s="77" t="s">
        <v>285</v>
      </c>
      <c r="B37" s="142" t="s">
        <v>286</v>
      </c>
      <c r="C37" s="107" t="e">
        <f>VLOOKUP(Q37,Data!$B:$E,3,FALSE)</f>
        <v>#N/A</v>
      </c>
      <c r="D37" s="140" t="e">
        <f>VLOOKUP(R37,Data!$B:$E,3,FALSE)</f>
        <v>#N/A</v>
      </c>
      <c r="E37" s="140" t="e">
        <f>VLOOKUP(S37,Data!$B:$E,3,FALSE)</f>
        <v>#N/A</v>
      </c>
      <c r="F37" s="140" t="e">
        <f>VLOOKUP(T37,Data!$B:$E,3,FALSE)</f>
        <v>#N/A</v>
      </c>
      <c r="G37" s="140" t="e">
        <f>VLOOKUP(U37,Data!$B:$E,3,FALSE)</f>
        <v>#N/A</v>
      </c>
      <c r="H37" s="141" t="e">
        <f>VLOOKUP(V37,Data!$B:$E,3,FALSE)</f>
        <v>#N/A</v>
      </c>
      <c r="I37" s="140" t="e">
        <f>VLOOKUP(W37,Data!$B:$E,3,FALSE)</f>
        <v>#N/A</v>
      </c>
      <c r="J37" s="141" t="e">
        <f>VLOOKUP(X37,Data!$B:$E,3,FALSE)</f>
        <v>#N/A</v>
      </c>
      <c r="O37" s="77" t="s">
        <v>285</v>
      </c>
      <c r="P37" s="142" t="s">
        <v>286</v>
      </c>
      <c r="Q37" s="78" t="s">
        <v>287</v>
      </c>
      <c r="R37" s="78" t="s">
        <v>288</v>
      </c>
      <c r="S37" s="78" t="s">
        <v>289</v>
      </c>
      <c r="T37" s="78" t="s">
        <v>290</v>
      </c>
      <c r="U37" s="78" t="s">
        <v>291</v>
      </c>
      <c r="V37" s="76" t="s">
        <v>292</v>
      </c>
      <c r="W37" s="78" t="s">
        <v>293</v>
      </c>
      <c r="X37" s="76" t="s">
        <v>294</v>
      </c>
    </row>
    <row r="38">
      <c r="A38" s="77" t="s">
        <v>295</v>
      </c>
      <c r="B38" s="142" t="s">
        <v>296</v>
      </c>
      <c r="C38" s="107" t="e">
        <f>VLOOKUP(Q38,Data!$B:$E,3,FALSE)</f>
        <v>#N/A</v>
      </c>
      <c r="D38" s="140" t="e">
        <f>VLOOKUP(R38,Data!$B:$E,3,FALSE)</f>
        <v>#N/A</v>
      </c>
      <c r="E38" s="140" t="e">
        <f>VLOOKUP(S38,Data!$B:$E,3,FALSE)</f>
        <v>#N/A</v>
      </c>
      <c r="F38" s="140" t="e">
        <f>VLOOKUP(T38,Data!$B:$E,3,FALSE)</f>
        <v>#N/A</v>
      </c>
      <c r="G38" s="140" t="e">
        <f>VLOOKUP(U38,Data!$B:$E,3,FALSE)</f>
        <v>#N/A</v>
      </c>
      <c r="H38" s="141" t="e">
        <f>VLOOKUP(V38,Data!$B:$E,3,FALSE)</f>
        <v>#N/A</v>
      </c>
      <c r="I38" s="140" t="e">
        <f>VLOOKUP(W38,Data!$B:$E,3,FALSE)</f>
        <v>#N/A</v>
      </c>
      <c r="J38" s="141" t="e">
        <f>VLOOKUP(X38,Data!$B:$E,3,FALSE)</f>
        <v>#N/A</v>
      </c>
      <c r="O38" s="77" t="s">
        <v>295</v>
      </c>
      <c r="P38" s="142" t="s">
        <v>296</v>
      </c>
      <c r="Q38" s="78" t="s">
        <v>297</v>
      </c>
      <c r="R38" s="78" t="s">
        <v>298</v>
      </c>
      <c r="S38" s="78" t="s">
        <v>299</v>
      </c>
      <c r="T38" s="78" t="s">
        <v>300</v>
      </c>
      <c r="U38" s="78" t="s">
        <v>301</v>
      </c>
      <c r="V38" s="76" t="s">
        <v>302</v>
      </c>
      <c r="W38" s="78" t="s">
        <v>303</v>
      </c>
      <c r="X38" s="76" t="s">
        <v>304</v>
      </c>
    </row>
    <row r="39">
      <c r="A39" s="48" t="str">
        <f>Translation!A63</f>
        <v>TOTAL DE VENDAS - LINHA 150 cc</v>
      </c>
      <c r="B39" s="38" t="s">
        <v>305</v>
      </c>
      <c r="C39" s="108" t="e">
        <f>VLOOKUP(Q39,Data!$B:$E,3,FALSE)</f>
        <v>#N/A</v>
      </c>
      <c r="D39" s="141" t="e">
        <f>VLOOKUP(R39,Data!$B:$E,3,FALSE)</f>
        <v>#N/A</v>
      </c>
      <c r="E39" s="141" t="e">
        <f>VLOOKUP(S39,Data!$B:$E,3,FALSE)</f>
        <v>#N/A</v>
      </c>
      <c r="F39" s="141" t="e">
        <f>VLOOKUP(T39,Data!$B:$E,3,FALSE)</f>
        <v>#N/A</v>
      </c>
      <c r="G39" s="141" t="e">
        <f>VLOOKUP(U39,Data!$B:$E,3,FALSE)</f>
        <v>#N/A</v>
      </c>
      <c r="H39" s="141" t="e">
        <f>VLOOKUP(V39,Data!$B:$E,3,FALSE)</f>
        <v>#N/A</v>
      </c>
      <c r="I39" s="141" t="e">
        <f>VLOOKUP(W39,Data!$B:$E,3,FALSE)</f>
        <v>#N/A</v>
      </c>
      <c r="J39" s="141" t="e">
        <f>VLOOKUP(X39,Data!$B:$E,3,FALSE)</f>
        <v>#N/A</v>
      </c>
      <c r="O39" s="48" t="s">
        <v>306</v>
      </c>
      <c r="P39" s="38" t="s">
        <v>305</v>
      </c>
      <c r="Q39" s="76" t="s">
        <v>307</v>
      </c>
      <c r="R39" s="76" t="s">
        <v>308</v>
      </c>
      <c r="S39" s="76" t="s">
        <v>309</v>
      </c>
      <c r="T39" s="76" t="s">
        <v>310</v>
      </c>
      <c r="U39" s="76" t="s">
        <v>311</v>
      </c>
      <c r="V39" s="76" t="s">
        <v>312</v>
      </c>
      <c r="W39" s="76" t="s">
        <v>313</v>
      </c>
      <c r="X39" s="76" t="s">
        <v>314</v>
      </c>
    </row>
    <row r="40" ht="30">
      <c r="A40" s="73" t="str">
        <f>Translation!A64</f>
        <v>LINHA 250 cc - Street</v>
      </c>
      <c r="B40" s="38" t="str">
        <f>Translation!$G$32</f>
        <v>CONTA</v>
      </c>
      <c r="C40" s="121" t="str">
        <f>Translation!$G$12</f>
        <v>UNIDADES</v>
      </c>
      <c r="D40" s="120" t="str">
        <f>Translation!$G$11</f>
        <v>RECEITA
(SEM IMPOSTOS)</v>
      </c>
      <c r="E40" s="120" t="str">
        <f>Translation!$G$33</f>
        <v>UNIDADES DEVOLVIDAS</v>
      </c>
      <c r="F40" s="120" t="str">
        <f>Translation!$G$14</f>
        <v>DEVOLUÇÃO
DE VENDAS</v>
      </c>
      <c r="G40" s="120" t="str">
        <f>Translation!$G$3</f>
        <v>ABAT. E DESCONTO</v>
      </c>
      <c r="H40" s="120" t="str">
        <f>Translation!$G$9</f>
        <v>RECEITA LÍQUIDA</v>
      </c>
      <c r="I40" s="121" t="str">
        <f>Translation!$G$2</f>
        <v>CUSTO</v>
      </c>
      <c r="J40" s="121" t="str">
        <f>Translation!$G$5</f>
        <v>LUCRO BRUTO</v>
      </c>
      <c r="O40" s="73" t="s">
        <v>315</v>
      </c>
      <c r="P40" s="38" t="str">
        <f>Translation!$G$32</f>
        <v>CONTA</v>
      </c>
      <c r="Q40" s="74" t="s">
        <v>2</v>
      </c>
      <c r="R40" s="74" t="s">
        <v>3</v>
      </c>
      <c r="S40" s="74" t="s">
        <v>4</v>
      </c>
      <c r="T40" s="74" t="s">
        <v>5</v>
      </c>
      <c r="U40" s="74" t="s">
        <v>6</v>
      </c>
      <c r="V40" s="74" t="s">
        <v>7</v>
      </c>
      <c r="W40" s="74" t="s">
        <v>8</v>
      </c>
      <c r="X40" s="74" t="s">
        <v>9</v>
      </c>
    </row>
    <row r="41">
      <c r="A41" s="77" t="str">
        <f>Translation!A65</f>
        <v>YS 250 FAZER BLUEFLEX</v>
      </c>
      <c r="B41" s="38" t="s">
        <v>316</v>
      </c>
      <c r="C41" s="107" t="e">
        <f>VLOOKUP(Q41,Data!$B:$E,3,FALSE)</f>
        <v>#N/A</v>
      </c>
      <c r="D41" s="140" t="e">
        <f>VLOOKUP(R41,Data!$B:$E,3,FALSE)</f>
        <v>#N/A</v>
      </c>
      <c r="E41" s="140" t="e">
        <f>VLOOKUP(S41,Data!$B:$E,3,FALSE)</f>
        <v>#N/A</v>
      </c>
      <c r="F41" s="140" t="e">
        <f>VLOOKUP(T41,Data!$B:$E,3,FALSE)</f>
        <v>#N/A</v>
      </c>
      <c r="G41" s="140" t="e">
        <f>VLOOKUP(U41,Data!$B:$E,3,FALSE)</f>
        <v>#N/A</v>
      </c>
      <c r="H41" s="141" t="e">
        <f>VLOOKUP(V41,Data!$B:$E,3,FALSE)</f>
        <v>#N/A</v>
      </c>
      <c r="I41" s="140" t="e">
        <f>VLOOKUP(W41,Data!$B:$E,3,FALSE)</f>
        <v>#N/A</v>
      </c>
      <c r="J41" s="141" t="e">
        <f>VLOOKUP(X41,Data!$B:$E,3,FALSE)</f>
        <v>#N/A</v>
      </c>
      <c r="O41" s="77" t="s">
        <v>317</v>
      </c>
      <c r="P41" s="38" t="s">
        <v>316</v>
      </c>
      <c r="Q41" s="78" t="s">
        <v>318</v>
      </c>
      <c r="R41" s="78" t="s">
        <v>319</v>
      </c>
      <c r="S41" s="78" t="s">
        <v>320</v>
      </c>
      <c r="T41" s="78" t="s">
        <v>321</v>
      </c>
      <c r="U41" s="78" t="s">
        <v>322</v>
      </c>
      <c r="V41" s="76" t="s">
        <v>323</v>
      </c>
      <c r="W41" s="78" t="s">
        <v>324</v>
      </c>
      <c r="X41" s="76" t="s">
        <v>325</v>
      </c>
    </row>
    <row r="42">
      <c r="A42" s="77" t="s">
        <v>326</v>
      </c>
      <c r="B42" s="142" t="s">
        <v>327</v>
      </c>
      <c r="C42" s="107" t="e">
        <f>VLOOKUP(Q42,Data!$B:$E,3,FALSE)</f>
        <v>#N/A</v>
      </c>
      <c r="D42" s="140" t="e">
        <f>VLOOKUP(R42,Data!$B:$E,3,FALSE)</f>
        <v>#N/A</v>
      </c>
      <c r="E42" s="140" t="e">
        <f>VLOOKUP(S42,Data!$B:$E,3,FALSE)</f>
        <v>#N/A</v>
      </c>
      <c r="F42" s="140" t="e">
        <f>VLOOKUP(T42,Data!$B:$E,3,FALSE)</f>
        <v>#N/A</v>
      </c>
      <c r="G42" s="140" t="e">
        <f>VLOOKUP(U42,Data!$B:$E,3,FALSE)</f>
        <v>#N/A</v>
      </c>
      <c r="H42" s="141" t="e">
        <f>VLOOKUP(V42,Data!$B:$E,3,FALSE)</f>
        <v>#N/A</v>
      </c>
      <c r="I42" s="140" t="e">
        <f>VLOOKUP(W42,Data!$B:$E,3,FALSE)</f>
        <v>#N/A</v>
      </c>
      <c r="J42" s="141" t="e">
        <f>VLOOKUP(X42,Data!$B:$E,3,FALSE)</f>
        <v>#N/A</v>
      </c>
      <c r="O42" s="77" t="s">
        <v>326</v>
      </c>
      <c r="P42" s="142" t="s">
        <v>327</v>
      </c>
      <c r="Q42" s="78" t="s">
        <v>328</v>
      </c>
      <c r="R42" s="78" t="s">
        <v>329</v>
      </c>
      <c r="S42" s="78" t="s">
        <v>330</v>
      </c>
      <c r="T42" s="78" t="s">
        <v>331</v>
      </c>
      <c r="U42" s="78" t="s">
        <v>332</v>
      </c>
      <c r="V42" s="76" t="s">
        <v>333</v>
      </c>
      <c r="W42" s="78" t="s">
        <v>334</v>
      </c>
      <c r="X42" s="76" t="s">
        <v>335</v>
      </c>
    </row>
    <row r="43" ht="30">
      <c r="A43" s="73" t="str">
        <f>Translation!A66</f>
        <v>LINHA 250 cc - On/Off</v>
      </c>
      <c r="B43" s="38" t="str">
        <f>Translation!$G$32</f>
        <v>CONTA</v>
      </c>
      <c r="C43" s="121" t="str">
        <f>Translation!$G$12</f>
        <v>UNIDADES</v>
      </c>
      <c r="D43" s="120" t="str">
        <f>Translation!$G$11</f>
        <v>RECEITA
(SEM IMPOSTOS)</v>
      </c>
      <c r="E43" s="120" t="str">
        <f>Translation!$G$33</f>
        <v>UNIDADES DEVOLVIDAS</v>
      </c>
      <c r="F43" s="120" t="str">
        <f>Translation!$G$14</f>
        <v>DEVOLUÇÃO
DE VENDAS</v>
      </c>
      <c r="G43" s="120" t="str">
        <f>Translation!$G$3</f>
        <v>ABAT. E DESCONTO</v>
      </c>
      <c r="H43" s="120" t="str">
        <f>Translation!$G$9</f>
        <v>RECEITA LÍQUIDA</v>
      </c>
      <c r="I43" s="121" t="str">
        <f>Translation!$G$2</f>
        <v>CUSTO</v>
      </c>
      <c r="J43" s="121" t="str">
        <f>Translation!$G$5</f>
        <v>LUCRO BRUTO</v>
      </c>
      <c r="O43" s="73" t="s">
        <v>336</v>
      </c>
      <c r="P43" s="38" t="str">
        <f>Translation!$G$32</f>
        <v>CONTA</v>
      </c>
      <c r="Q43" s="74" t="s">
        <v>2</v>
      </c>
      <c r="R43" s="74" t="s">
        <v>3</v>
      </c>
      <c r="S43" s="74" t="s">
        <v>4</v>
      </c>
      <c r="T43" s="74" t="s">
        <v>5</v>
      </c>
      <c r="U43" s="74" t="s">
        <v>6</v>
      </c>
      <c r="V43" s="74" t="s">
        <v>7</v>
      </c>
      <c r="W43" s="74" t="s">
        <v>8</v>
      </c>
      <c r="X43" s="74" t="s">
        <v>9</v>
      </c>
    </row>
    <row r="44">
      <c r="A44" s="77" t="str">
        <f>Translation!A67</f>
        <v>XTZ 250 LANDER</v>
      </c>
      <c r="B44" s="38" t="s">
        <v>337</v>
      </c>
      <c r="C44" s="107" t="e">
        <f>VLOOKUP(Q44,Data!$B:$E,3,FALSE)</f>
        <v>#N/A</v>
      </c>
      <c r="D44" s="140" t="e">
        <f>VLOOKUP(R44,Data!$B:$E,3,FALSE)</f>
        <v>#N/A</v>
      </c>
      <c r="E44" s="140" t="e">
        <f>VLOOKUP(S44,Data!$B:$E,3,FALSE)</f>
        <v>#N/A</v>
      </c>
      <c r="F44" s="140" t="e">
        <f>VLOOKUP(T44,Data!$B:$E,3,FALSE)</f>
        <v>#N/A</v>
      </c>
      <c r="G44" s="140" t="e">
        <f>VLOOKUP(U44,Data!$B:$E,3,FALSE)</f>
        <v>#N/A</v>
      </c>
      <c r="H44" s="141" t="e">
        <f>VLOOKUP(V44,Data!$B:$E,3,FALSE)</f>
        <v>#N/A</v>
      </c>
      <c r="I44" s="140" t="e">
        <f>VLOOKUP(W44,Data!$B:$E,3,FALSE)</f>
        <v>#N/A</v>
      </c>
      <c r="J44" s="141" t="e">
        <f>VLOOKUP(X44,Data!$B:$E,3,FALSE)</f>
        <v>#N/A</v>
      </c>
      <c r="O44" s="77" t="s">
        <v>338</v>
      </c>
      <c r="P44" s="38" t="s">
        <v>337</v>
      </c>
      <c r="Q44" s="78" t="s">
        <v>339</v>
      </c>
      <c r="R44" s="78" t="s">
        <v>340</v>
      </c>
      <c r="S44" s="78" t="s">
        <v>341</v>
      </c>
      <c r="T44" s="78" t="s">
        <v>342</v>
      </c>
      <c r="U44" s="78" t="s">
        <v>343</v>
      </c>
      <c r="V44" s="76" t="s">
        <v>344</v>
      </c>
      <c r="W44" s="78" t="s">
        <v>345</v>
      </c>
      <c r="X44" s="76" t="s">
        <v>346</v>
      </c>
    </row>
    <row r="45">
      <c r="A45" s="77" t="str">
        <f>Translation!A68</f>
        <v>XTZ 250 TENERE</v>
      </c>
      <c r="B45" s="38" t="s">
        <v>347</v>
      </c>
      <c r="C45" s="107" t="e">
        <f>VLOOKUP(Q45,Data!$B:$E,3,FALSE)</f>
        <v>#N/A</v>
      </c>
      <c r="D45" s="140" t="e">
        <f>VLOOKUP(R45,Data!$B:$E,3,FALSE)</f>
        <v>#N/A</v>
      </c>
      <c r="E45" s="140" t="e">
        <f>VLOOKUP(S45,Data!$B:$E,3,FALSE)</f>
        <v>#N/A</v>
      </c>
      <c r="F45" s="140" t="e">
        <f>VLOOKUP(T45,Data!$B:$E,3,FALSE)</f>
        <v>#N/A</v>
      </c>
      <c r="G45" s="140" t="e">
        <f>VLOOKUP(U45,Data!$B:$E,3,FALSE)</f>
        <v>#N/A</v>
      </c>
      <c r="H45" s="141" t="e">
        <f>VLOOKUP(V45,Data!$B:$E,3,FALSE)</f>
        <v>#N/A</v>
      </c>
      <c r="I45" s="140" t="e">
        <f>VLOOKUP(W45,Data!$B:$E,3,FALSE)</f>
        <v>#N/A</v>
      </c>
      <c r="J45" s="141" t="e">
        <f>VLOOKUP(X45,Data!$B:$E,3,FALSE)</f>
        <v>#N/A</v>
      </c>
      <c r="O45" s="77" t="s">
        <v>348</v>
      </c>
      <c r="P45" s="38" t="s">
        <v>347</v>
      </c>
      <c r="Q45" s="78" t="s">
        <v>349</v>
      </c>
      <c r="R45" s="78" t="s">
        <v>350</v>
      </c>
      <c r="S45" s="78" t="s">
        <v>351</v>
      </c>
      <c r="T45" s="78" t="s">
        <v>352</v>
      </c>
      <c r="U45" s="78" t="s">
        <v>353</v>
      </c>
      <c r="V45" s="76" t="s">
        <v>354</v>
      </c>
      <c r="W45" s="78" t="s">
        <v>355</v>
      </c>
      <c r="X45" s="76" t="s">
        <v>356</v>
      </c>
    </row>
    <row r="46">
      <c r="A46" s="48" t="str">
        <f>Translation!A69</f>
        <v>TOTAL DE VENDAS - LINHA 250 cc</v>
      </c>
      <c r="B46" s="38" t="s">
        <v>357</v>
      </c>
      <c r="C46" s="108" t="e">
        <f>VLOOKUP(Q46,Data!$B:$E,3,FALSE)</f>
        <v>#N/A</v>
      </c>
      <c r="D46" s="141" t="e">
        <f>VLOOKUP(R46,Data!$B:$E,3,FALSE)</f>
        <v>#N/A</v>
      </c>
      <c r="E46" s="141" t="e">
        <f>VLOOKUP(S46,Data!$B:$E,3,FALSE)</f>
        <v>#N/A</v>
      </c>
      <c r="F46" s="141" t="e">
        <f>VLOOKUP(T46,Data!$B:$E,3,FALSE)</f>
        <v>#N/A</v>
      </c>
      <c r="G46" s="141" t="e">
        <f>VLOOKUP(U46,Data!$B:$E,3,FALSE)</f>
        <v>#N/A</v>
      </c>
      <c r="H46" s="141" t="e">
        <f>VLOOKUP(V46,Data!$B:$E,3,FALSE)</f>
        <v>#N/A</v>
      </c>
      <c r="I46" s="141" t="e">
        <f>VLOOKUP(W46,Data!$B:$E,3,FALSE)</f>
        <v>#N/A</v>
      </c>
      <c r="J46" s="141" t="e">
        <f>VLOOKUP(X46,Data!$B:$E,3,FALSE)</f>
        <v>#N/A</v>
      </c>
      <c r="O46" s="48" t="s">
        <v>358</v>
      </c>
      <c r="P46" s="38" t="s">
        <v>357</v>
      </c>
      <c r="Q46" s="76" t="s">
        <v>359</v>
      </c>
      <c r="R46" s="76" t="s">
        <v>360</v>
      </c>
      <c r="S46" s="76" t="s">
        <v>361</v>
      </c>
      <c r="T46" s="76" t="s">
        <v>362</v>
      </c>
      <c r="U46" s="76" t="s">
        <v>363</v>
      </c>
      <c r="V46" s="76" t="s">
        <v>364</v>
      </c>
      <c r="W46" s="76" t="s">
        <v>365</v>
      </c>
      <c r="X46" s="76" t="s">
        <v>366</v>
      </c>
    </row>
    <row r="47" ht="30">
      <c r="A47" s="73" t="str">
        <f>Translation!A70</f>
        <v>LINHA 320 cc</v>
      </c>
      <c r="B47" s="38" t="str">
        <f>Translation!$G$32</f>
        <v>CONTA</v>
      </c>
      <c r="C47" s="121" t="str">
        <f>Translation!$G$12</f>
        <v>UNIDADES</v>
      </c>
      <c r="D47" s="120" t="str">
        <f>Translation!$G$11</f>
        <v>RECEITA
(SEM IMPOSTOS)</v>
      </c>
      <c r="E47" s="120" t="str">
        <f>Translation!$G$33</f>
        <v>UNIDADES DEVOLVIDAS</v>
      </c>
      <c r="F47" s="120" t="str">
        <f>Translation!$G$14</f>
        <v>DEVOLUÇÃO
DE VENDAS</v>
      </c>
      <c r="G47" s="120" t="str">
        <f>Translation!$G$3</f>
        <v>ABAT. E DESCONTO</v>
      </c>
      <c r="H47" s="120" t="str">
        <f>Translation!$G$9</f>
        <v>RECEITA LÍQUIDA</v>
      </c>
      <c r="I47" s="121" t="str">
        <f>Translation!$G$2</f>
        <v>CUSTO</v>
      </c>
      <c r="J47" s="121" t="str">
        <f>Translation!$G$5</f>
        <v>LUCRO BRUTO</v>
      </c>
      <c r="O47" s="73" t="s">
        <v>367</v>
      </c>
      <c r="P47" s="38" t="str">
        <f>Translation!$G$32</f>
        <v>CONTA</v>
      </c>
      <c r="Q47" s="74" t="s">
        <v>2</v>
      </c>
      <c r="R47" s="74" t="s">
        <v>3</v>
      </c>
      <c r="S47" s="74" t="s">
        <v>4</v>
      </c>
      <c r="T47" s="74" t="s">
        <v>5</v>
      </c>
      <c r="U47" s="74" t="s">
        <v>6</v>
      </c>
      <c r="V47" s="74" t="s">
        <v>7</v>
      </c>
      <c r="W47" s="74" t="s">
        <v>8</v>
      </c>
      <c r="X47" s="74" t="s">
        <v>9</v>
      </c>
    </row>
    <row r="48">
      <c r="A48" s="77" t="str">
        <f>Translation!A71</f>
        <v>YZF R3 </v>
      </c>
      <c r="B48" s="38" t="s">
        <v>368</v>
      </c>
      <c r="C48" s="107" t="e">
        <f>VLOOKUP(Q48,Data!$B:$E,3,FALSE)</f>
        <v>#N/A</v>
      </c>
      <c r="D48" s="140" t="e">
        <f>VLOOKUP(R48,Data!$B:$E,3,FALSE)</f>
        <v>#N/A</v>
      </c>
      <c r="E48" s="140" t="e">
        <f>VLOOKUP(S48,Data!$B:$E,3,FALSE)</f>
        <v>#N/A</v>
      </c>
      <c r="F48" s="140" t="e">
        <f>VLOOKUP(T48,Data!$B:$E,3,FALSE)</f>
        <v>#N/A</v>
      </c>
      <c r="G48" s="140" t="e">
        <f>VLOOKUP(U48,Data!$B:$E,3,FALSE)</f>
        <v>#N/A</v>
      </c>
      <c r="H48" s="141" t="e">
        <f>VLOOKUP(V48,Data!$B:$E,3,FALSE)</f>
        <v>#N/A</v>
      </c>
      <c r="I48" s="140" t="e">
        <f>VLOOKUP(W48,Data!$B:$E,3,FALSE)</f>
        <v>#N/A</v>
      </c>
      <c r="J48" s="141" t="e">
        <f>VLOOKUP(X48,Data!$B:$E,3,FALSE)</f>
        <v>#N/A</v>
      </c>
      <c r="O48" s="77" t="s">
        <v>369</v>
      </c>
      <c r="P48" s="38" t="s">
        <v>368</v>
      </c>
      <c r="Q48" s="78" t="s">
        <v>370</v>
      </c>
      <c r="R48" s="78" t="s">
        <v>371</v>
      </c>
      <c r="S48" s="78" t="s">
        <v>372</v>
      </c>
      <c r="T48" s="78" t="s">
        <v>373</v>
      </c>
      <c r="U48" s="78" t="s">
        <v>374</v>
      </c>
      <c r="V48" s="76" t="s">
        <v>375</v>
      </c>
      <c r="W48" s="78" t="s">
        <v>376</v>
      </c>
      <c r="X48" s="76" t="s">
        <v>377</v>
      </c>
    </row>
    <row r="49">
      <c r="A49" s="77" t="str">
        <f>Translation!A72</f>
        <v>YZF R3 ABS</v>
      </c>
      <c r="B49" s="38" t="s">
        <v>378</v>
      </c>
      <c r="C49" s="107" t="e">
        <f>VLOOKUP(Q49,Data!$B:$E,3,FALSE)</f>
        <v>#N/A</v>
      </c>
      <c r="D49" s="140" t="e">
        <f>VLOOKUP(R49,Data!$B:$E,3,FALSE)</f>
        <v>#N/A</v>
      </c>
      <c r="E49" s="140" t="e">
        <f>VLOOKUP(S49,Data!$B:$E,3,FALSE)</f>
        <v>#N/A</v>
      </c>
      <c r="F49" s="140" t="e">
        <f>VLOOKUP(T49,Data!$B:$E,3,FALSE)</f>
        <v>#N/A</v>
      </c>
      <c r="G49" s="140" t="e">
        <f>VLOOKUP(U49,Data!$B:$E,3,FALSE)</f>
        <v>#N/A</v>
      </c>
      <c r="H49" s="141" t="e">
        <f>VLOOKUP(V49,Data!$B:$E,3,FALSE)</f>
        <v>#N/A</v>
      </c>
      <c r="I49" s="140" t="e">
        <f>VLOOKUP(W49,Data!$B:$E,3,FALSE)</f>
        <v>#N/A</v>
      </c>
      <c r="J49" s="141" t="e">
        <f>VLOOKUP(X49,Data!$B:$E,3,FALSE)</f>
        <v>#N/A</v>
      </c>
      <c r="O49" s="77" t="s">
        <v>379</v>
      </c>
      <c r="P49" s="38" t="s">
        <v>378</v>
      </c>
      <c r="Q49" s="78" t="s">
        <v>380</v>
      </c>
      <c r="R49" s="78" t="s">
        <v>381</v>
      </c>
      <c r="S49" s="78" t="s">
        <v>382</v>
      </c>
      <c r="T49" s="78" t="s">
        <v>383</v>
      </c>
      <c r="U49" s="78" t="s">
        <v>384</v>
      </c>
      <c r="V49" s="76" t="s">
        <v>385</v>
      </c>
      <c r="W49" s="78" t="s">
        <v>386</v>
      </c>
      <c r="X49" s="76" t="s">
        <v>387</v>
      </c>
    </row>
    <row r="50">
      <c r="A50" s="77" t="str">
        <f>Translation!A73</f>
        <v>MT03</v>
      </c>
      <c r="B50" s="38" t="s">
        <v>388</v>
      </c>
      <c r="C50" s="107" t="e">
        <f>VLOOKUP(Q50,Data!$B:$E,3,FALSE)</f>
        <v>#N/A</v>
      </c>
      <c r="D50" s="140" t="e">
        <f>VLOOKUP(R50,Data!$B:$E,3,FALSE)</f>
        <v>#N/A</v>
      </c>
      <c r="E50" s="140" t="e">
        <f>VLOOKUP(S50,Data!$B:$E,3,FALSE)</f>
        <v>#N/A</v>
      </c>
      <c r="F50" s="140" t="e">
        <f>VLOOKUP(T50,Data!$B:$E,3,FALSE)</f>
        <v>#N/A</v>
      </c>
      <c r="G50" s="140" t="e">
        <f>VLOOKUP(U50,Data!$B:$E,3,FALSE)</f>
        <v>#N/A</v>
      </c>
      <c r="H50" s="141" t="e">
        <f>VLOOKUP(V50,Data!$B:$E,3,FALSE)</f>
        <v>#N/A</v>
      </c>
      <c r="I50" s="140" t="e">
        <f>VLOOKUP(W50,Data!$B:$E,3,FALSE)</f>
        <v>#N/A</v>
      </c>
      <c r="J50" s="141" t="e">
        <f>VLOOKUP(X50,Data!$B:$E,3,FALSE)</f>
        <v>#N/A</v>
      </c>
      <c r="O50" s="77" t="s">
        <v>389</v>
      </c>
      <c r="P50" s="38" t="s">
        <v>388</v>
      </c>
      <c r="Q50" s="78" t="s">
        <v>390</v>
      </c>
      <c r="R50" s="78" t="s">
        <v>391</v>
      </c>
      <c r="S50" s="78" t="s">
        <v>392</v>
      </c>
      <c r="T50" s="78" t="s">
        <v>393</v>
      </c>
      <c r="U50" s="78" t="s">
        <v>394</v>
      </c>
      <c r="V50" s="76" t="s">
        <v>395</v>
      </c>
      <c r="W50" s="78" t="s">
        <v>396</v>
      </c>
      <c r="X50" s="76" t="s">
        <v>397</v>
      </c>
    </row>
    <row r="51">
      <c r="A51" s="77" t="str">
        <f>Translation!A74</f>
        <v>MT03 ABS</v>
      </c>
      <c r="B51" s="38" t="s">
        <v>398</v>
      </c>
      <c r="C51" s="107" t="e">
        <f>VLOOKUP(Q51,Data!$B:$E,3,FALSE)</f>
        <v>#N/A</v>
      </c>
      <c r="D51" s="140" t="e">
        <f>VLOOKUP(R51,Data!$B:$E,3,FALSE)</f>
        <v>#N/A</v>
      </c>
      <c r="E51" s="140" t="e">
        <f>VLOOKUP(S51,Data!$B:$E,3,FALSE)</f>
        <v>#N/A</v>
      </c>
      <c r="F51" s="140" t="e">
        <f>VLOOKUP(T51,Data!$B:$E,3,FALSE)</f>
        <v>#N/A</v>
      </c>
      <c r="G51" s="140" t="e">
        <f>VLOOKUP(U51,Data!$B:$E,3,FALSE)</f>
        <v>#N/A</v>
      </c>
      <c r="H51" s="141" t="e">
        <f>VLOOKUP(V51,Data!$B:$E,3,FALSE)</f>
        <v>#N/A</v>
      </c>
      <c r="I51" s="140" t="e">
        <f>VLOOKUP(W51,Data!$B:$E,3,FALSE)</f>
        <v>#N/A</v>
      </c>
      <c r="J51" s="141" t="e">
        <f>VLOOKUP(X51,Data!$B:$E,3,FALSE)</f>
        <v>#N/A</v>
      </c>
      <c r="O51" s="77" t="s">
        <v>399</v>
      </c>
      <c r="P51" s="38" t="s">
        <v>398</v>
      </c>
      <c r="Q51" s="78" t="s">
        <v>400</v>
      </c>
      <c r="R51" s="78" t="s">
        <v>401</v>
      </c>
      <c r="S51" s="78" t="s">
        <v>402</v>
      </c>
      <c r="T51" s="78" t="s">
        <v>403</v>
      </c>
      <c r="U51" s="78" t="s">
        <v>404</v>
      </c>
      <c r="V51" s="76" t="s">
        <v>405</v>
      </c>
      <c r="W51" s="78" t="s">
        <v>406</v>
      </c>
      <c r="X51" s="76" t="s">
        <v>407</v>
      </c>
    </row>
    <row r="52">
      <c r="A52" s="48" t="str">
        <f>Translation!A75</f>
        <v>TOTAL DE VENDAS - LINHA 320 cc</v>
      </c>
      <c r="B52" s="38" t="s">
        <v>408</v>
      </c>
      <c r="C52" s="108" t="e">
        <f>VLOOKUP(Q52,Data!$B:$E,3,FALSE)</f>
        <v>#N/A</v>
      </c>
      <c r="D52" s="141" t="e">
        <f>VLOOKUP(R52,Data!$B:$E,3,FALSE)</f>
        <v>#N/A</v>
      </c>
      <c r="E52" s="141" t="e">
        <f>VLOOKUP(S52,Data!$B:$E,3,FALSE)</f>
        <v>#N/A</v>
      </c>
      <c r="F52" s="141" t="e">
        <f>VLOOKUP(T52,Data!$B:$E,3,FALSE)</f>
        <v>#N/A</v>
      </c>
      <c r="G52" s="141" t="e">
        <f>VLOOKUP(U52,Data!$B:$E,3,FALSE)</f>
        <v>#N/A</v>
      </c>
      <c r="H52" s="141" t="e">
        <f>VLOOKUP(V52,Data!$B:$E,3,FALSE)</f>
        <v>#N/A</v>
      </c>
      <c r="I52" s="141" t="e">
        <f>VLOOKUP(W52,Data!$B:$E,3,FALSE)</f>
        <v>#N/A</v>
      </c>
      <c r="J52" s="141" t="e">
        <f>VLOOKUP(X52,Data!$B:$E,3,FALSE)</f>
        <v>#N/A</v>
      </c>
      <c r="O52" s="48" t="s">
        <v>409</v>
      </c>
      <c r="P52" s="38" t="s">
        <v>408</v>
      </c>
      <c r="Q52" s="76" t="s">
        <v>410</v>
      </c>
      <c r="R52" s="76" t="s">
        <v>411</v>
      </c>
      <c r="S52" s="76" t="s">
        <v>412</v>
      </c>
      <c r="T52" s="76" t="s">
        <v>413</v>
      </c>
      <c r="U52" s="76" t="s">
        <v>414</v>
      </c>
      <c r="V52" s="76" t="s">
        <v>415</v>
      </c>
      <c r="W52" s="76" t="s">
        <v>416</v>
      </c>
      <c r="X52" s="76" t="s">
        <v>417</v>
      </c>
    </row>
    <row r="53" ht="30">
      <c r="A53" s="73" t="str">
        <f>Translation!A76</f>
        <v>LINHA &gt; 500 cc</v>
      </c>
      <c r="B53" s="38" t="str">
        <f>Translation!$G$32</f>
        <v>CONTA</v>
      </c>
      <c r="C53" s="121" t="str">
        <f>Translation!$G$12</f>
        <v>UNIDADES</v>
      </c>
      <c r="D53" s="120" t="str">
        <f>Translation!$G$11</f>
        <v>RECEITA
(SEM IMPOSTOS)</v>
      </c>
      <c r="E53" s="120" t="str">
        <f>Translation!$G$33</f>
        <v>UNIDADES DEVOLVIDAS</v>
      </c>
      <c r="F53" s="120" t="str">
        <f>Translation!$G$14</f>
        <v>DEVOLUÇÃO
DE VENDAS</v>
      </c>
      <c r="G53" s="120" t="str">
        <f>Translation!$G$3</f>
        <v>ABAT. E DESCONTO</v>
      </c>
      <c r="H53" s="120" t="str">
        <f>Translation!$G$9</f>
        <v>RECEITA LÍQUIDA</v>
      </c>
      <c r="I53" s="121" t="str">
        <f>Translation!$G$2</f>
        <v>CUSTO</v>
      </c>
      <c r="J53" s="121" t="str">
        <f>Translation!$G$5</f>
        <v>LUCRO BRUTO</v>
      </c>
      <c r="O53" s="73" t="s">
        <v>418</v>
      </c>
      <c r="P53" s="38" t="str">
        <f>Translation!$G$32</f>
        <v>CONTA</v>
      </c>
      <c r="Q53" s="74" t="s">
        <v>2</v>
      </c>
      <c r="R53" s="74" t="s">
        <v>3</v>
      </c>
      <c r="S53" s="74" t="s">
        <v>4</v>
      </c>
      <c r="T53" s="74" t="s">
        <v>5</v>
      </c>
      <c r="U53" s="74" t="s">
        <v>6</v>
      </c>
      <c r="V53" s="74" t="s">
        <v>7</v>
      </c>
      <c r="W53" s="74" t="s">
        <v>8</v>
      </c>
      <c r="X53" s="74" t="s">
        <v>9</v>
      </c>
    </row>
    <row r="54">
      <c r="A54" s="77" t="str">
        <f>Translation!A77</f>
        <v>XJ6 N ABS</v>
      </c>
      <c r="B54" s="38" t="s">
        <v>419</v>
      </c>
      <c r="C54" s="107" t="e">
        <f>VLOOKUP(Q54,Data!$B:$E,3,FALSE)</f>
        <v>#N/A</v>
      </c>
      <c r="D54" s="140" t="e">
        <f>VLOOKUP(R54,Data!$B:$E,3,FALSE)</f>
        <v>#N/A</v>
      </c>
      <c r="E54" s="140" t="e">
        <f>VLOOKUP(S54,Data!$B:$E,3,FALSE)</f>
        <v>#N/A</v>
      </c>
      <c r="F54" s="140" t="e">
        <f>VLOOKUP(T54,Data!$B:$E,3,FALSE)</f>
        <v>#N/A</v>
      </c>
      <c r="G54" s="140" t="e">
        <f>VLOOKUP(U54,Data!$B:$E,3,FALSE)</f>
        <v>#N/A</v>
      </c>
      <c r="H54" s="141" t="e">
        <f>VLOOKUP(V54,Data!$B:$E,3,FALSE)</f>
        <v>#N/A</v>
      </c>
      <c r="I54" s="140" t="e">
        <f>VLOOKUP(W54,Data!$B:$E,3,FALSE)</f>
        <v>#N/A</v>
      </c>
      <c r="J54" s="141" t="e">
        <f>VLOOKUP(X54,Data!$B:$E,3,FALSE)</f>
        <v>#N/A</v>
      </c>
      <c r="O54" s="77" t="s">
        <v>420</v>
      </c>
      <c r="P54" s="38" t="s">
        <v>419</v>
      </c>
      <c r="Q54" s="78" t="s">
        <v>421</v>
      </c>
      <c r="R54" s="78" t="s">
        <v>422</v>
      </c>
      <c r="S54" s="78" t="s">
        <v>423</v>
      </c>
      <c r="T54" s="78" t="s">
        <v>424</v>
      </c>
      <c r="U54" s="78" t="s">
        <v>425</v>
      </c>
      <c r="V54" s="76" t="s">
        <v>426</v>
      </c>
      <c r="W54" s="78" t="s">
        <v>427</v>
      </c>
      <c r="X54" s="76" t="s">
        <v>428</v>
      </c>
    </row>
    <row r="55">
      <c r="A55" s="77" t="str">
        <f>Translation!A78</f>
        <v>XJ6 F ABS</v>
      </c>
      <c r="B55" s="38" t="s">
        <v>429</v>
      </c>
      <c r="C55" s="107" t="e">
        <f>VLOOKUP(Q55,Data!$B:$E,3,FALSE)</f>
        <v>#N/A</v>
      </c>
      <c r="D55" s="140" t="e">
        <f>VLOOKUP(R55,Data!$B:$E,3,FALSE)</f>
        <v>#N/A</v>
      </c>
      <c r="E55" s="140" t="e">
        <f>VLOOKUP(S55,Data!$B:$E,3,FALSE)</f>
        <v>#N/A</v>
      </c>
      <c r="F55" s="140" t="e">
        <f>VLOOKUP(T55,Data!$B:$E,3,FALSE)</f>
        <v>#N/A</v>
      </c>
      <c r="G55" s="140" t="e">
        <f>VLOOKUP(U55,Data!$B:$E,3,FALSE)</f>
        <v>#N/A</v>
      </c>
      <c r="H55" s="141" t="e">
        <f>VLOOKUP(V55,Data!$B:$E,3,FALSE)</f>
        <v>#N/A</v>
      </c>
      <c r="I55" s="140" t="e">
        <f>VLOOKUP(W55,Data!$B:$E,3,FALSE)</f>
        <v>#N/A</v>
      </c>
      <c r="J55" s="141" t="e">
        <f>VLOOKUP(X55,Data!$B:$E,3,FALSE)</f>
        <v>#N/A</v>
      </c>
      <c r="O55" s="77" t="s">
        <v>430</v>
      </c>
      <c r="P55" s="38" t="s">
        <v>429</v>
      </c>
      <c r="Q55" s="78" t="s">
        <v>431</v>
      </c>
      <c r="R55" s="78" t="s">
        <v>432</v>
      </c>
      <c r="S55" s="78" t="s">
        <v>433</v>
      </c>
      <c r="T55" s="78" t="s">
        <v>434</v>
      </c>
      <c r="U55" s="78" t="s">
        <v>435</v>
      </c>
      <c r="V55" s="76" t="s">
        <v>436</v>
      </c>
      <c r="W55" s="78" t="s">
        <v>437</v>
      </c>
      <c r="X55" s="76" t="s">
        <v>438</v>
      </c>
    </row>
    <row r="56">
      <c r="A56" s="77" t="str">
        <f>Translation!A79</f>
        <v>XT 660R</v>
      </c>
      <c r="B56" s="38" t="s">
        <v>439</v>
      </c>
      <c r="C56" s="107" t="e">
        <f>VLOOKUP(Q56,Data!$B:$E,3,FALSE)</f>
        <v>#N/A</v>
      </c>
      <c r="D56" s="140" t="e">
        <f>VLOOKUP(R56,Data!$B:$E,3,FALSE)</f>
        <v>#N/A</v>
      </c>
      <c r="E56" s="140" t="e">
        <f>VLOOKUP(S56,Data!$B:$E,3,FALSE)</f>
        <v>#N/A</v>
      </c>
      <c r="F56" s="140" t="e">
        <f>VLOOKUP(T56,Data!$B:$E,3,FALSE)</f>
        <v>#N/A</v>
      </c>
      <c r="G56" s="140" t="e">
        <f>VLOOKUP(U56,Data!$B:$E,3,FALSE)</f>
        <v>#N/A</v>
      </c>
      <c r="H56" s="141" t="e">
        <f>VLOOKUP(V56,Data!$B:$E,3,FALSE)</f>
        <v>#N/A</v>
      </c>
      <c r="I56" s="140" t="e">
        <f>VLOOKUP(W56,Data!$B:$E,3,FALSE)</f>
        <v>#N/A</v>
      </c>
      <c r="J56" s="141" t="e">
        <f>VLOOKUP(X56,Data!$B:$E,3,FALSE)</f>
        <v>#N/A</v>
      </c>
      <c r="O56" s="77" t="s">
        <v>440</v>
      </c>
      <c r="P56" s="38" t="s">
        <v>439</v>
      </c>
      <c r="Q56" s="78" t="s">
        <v>441</v>
      </c>
      <c r="R56" s="78" t="s">
        <v>442</v>
      </c>
      <c r="S56" s="78" t="s">
        <v>443</v>
      </c>
      <c r="T56" s="78" t="s">
        <v>444</v>
      </c>
      <c r="U56" s="78" t="s">
        <v>445</v>
      </c>
      <c r="V56" s="76" t="s">
        <v>446</v>
      </c>
      <c r="W56" s="78" t="s">
        <v>447</v>
      </c>
      <c r="X56" s="76" t="s">
        <v>448</v>
      </c>
    </row>
    <row r="57">
      <c r="A57" s="77" t="str">
        <f>Translation!A80</f>
        <v>XT 660Z TENERE ABS</v>
      </c>
      <c r="B57" s="38" t="s">
        <v>449</v>
      </c>
      <c r="C57" s="107" t="e">
        <f>VLOOKUP(Q57,Data!$B:$E,3,FALSE)</f>
        <v>#N/A</v>
      </c>
      <c r="D57" s="140" t="e">
        <f>VLOOKUP(R57,Data!$B:$E,3,FALSE)</f>
        <v>#N/A</v>
      </c>
      <c r="E57" s="140" t="e">
        <f>VLOOKUP(S57,Data!$B:$E,3,FALSE)</f>
        <v>#N/A</v>
      </c>
      <c r="F57" s="140" t="e">
        <f>VLOOKUP(T57,Data!$B:$E,3,FALSE)</f>
        <v>#N/A</v>
      </c>
      <c r="G57" s="140" t="e">
        <f>VLOOKUP(U57,Data!$B:$E,3,FALSE)</f>
        <v>#N/A</v>
      </c>
      <c r="H57" s="141" t="e">
        <f>VLOOKUP(V57,Data!$B:$E,3,FALSE)</f>
        <v>#N/A</v>
      </c>
      <c r="I57" s="140" t="e">
        <f>VLOOKUP(W57,Data!$B:$E,3,FALSE)</f>
        <v>#N/A</v>
      </c>
      <c r="J57" s="141" t="e">
        <f>VLOOKUP(X57,Data!$B:$E,3,FALSE)</f>
        <v>#N/A</v>
      </c>
      <c r="O57" s="77" t="s">
        <v>450</v>
      </c>
      <c r="P57" s="38" t="s">
        <v>449</v>
      </c>
      <c r="Q57" s="78" t="s">
        <v>451</v>
      </c>
      <c r="R57" s="78" t="s">
        <v>452</v>
      </c>
      <c r="S57" s="78" t="s">
        <v>453</v>
      </c>
      <c r="T57" s="78" t="s">
        <v>454</v>
      </c>
      <c r="U57" s="78" t="s">
        <v>455</v>
      </c>
      <c r="V57" s="76" t="s">
        <v>456</v>
      </c>
      <c r="W57" s="78" t="s">
        <v>457</v>
      </c>
      <c r="X57" s="76" t="s">
        <v>458</v>
      </c>
    </row>
    <row r="58">
      <c r="A58" s="77" t="str">
        <f>Translation!A81</f>
        <v>MT07</v>
      </c>
      <c r="B58" s="38" t="s">
        <v>459</v>
      </c>
      <c r="C58" s="107" t="e">
        <f>VLOOKUP(Q58,Data!$B:$E,3,FALSE)</f>
        <v>#N/A</v>
      </c>
      <c r="D58" s="140" t="e">
        <f>VLOOKUP(R58,Data!$B:$E,3,FALSE)</f>
        <v>#N/A</v>
      </c>
      <c r="E58" s="140" t="e">
        <f>VLOOKUP(S58,Data!$B:$E,3,FALSE)</f>
        <v>#N/A</v>
      </c>
      <c r="F58" s="140" t="e">
        <f>VLOOKUP(T58,Data!$B:$E,3,FALSE)</f>
        <v>#N/A</v>
      </c>
      <c r="G58" s="140" t="e">
        <f>VLOOKUP(U58,Data!$B:$E,3,FALSE)</f>
        <v>#N/A</v>
      </c>
      <c r="H58" s="141" t="e">
        <f>VLOOKUP(V58,Data!$B:$E,3,FALSE)</f>
        <v>#N/A</v>
      </c>
      <c r="I58" s="140" t="e">
        <f>VLOOKUP(W58,Data!$B:$E,3,FALSE)</f>
        <v>#N/A</v>
      </c>
      <c r="J58" s="141" t="e">
        <f>VLOOKUP(X58,Data!$B:$E,3,FALSE)</f>
        <v>#N/A</v>
      </c>
      <c r="O58" s="77" t="s">
        <v>460</v>
      </c>
      <c r="P58" s="38" t="s">
        <v>459</v>
      </c>
      <c r="Q58" s="78" t="s">
        <v>461</v>
      </c>
      <c r="R58" s="78" t="s">
        <v>462</v>
      </c>
      <c r="S58" s="78" t="s">
        <v>463</v>
      </c>
      <c r="T58" s="78" t="s">
        <v>464</v>
      </c>
      <c r="U58" s="78" t="s">
        <v>465</v>
      </c>
      <c r="V58" s="76" t="s">
        <v>466</v>
      </c>
      <c r="W58" s="78" t="s">
        <v>467</v>
      </c>
      <c r="X58" s="76" t="s">
        <v>468</v>
      </c>
    </row>
    <row r="59">
      <c r="A59" s="77" t="str">
        <f>Translation!A82</f>
        <v>MT07 ABS</v>
      </c>
      <c r="B59" s="38" t="s">
        <v>469</v>
      </c>
      <c r="C59" s="107" t="e">
        <f>VLOOKUP(Q59,Data!$B:$E,3,FALSE)</f>
        <v>#N/A</v>
      </c>
      <c r="D59" s="140" t="e">
        <f>VLOOKUP(R59,Data!$B:$E,3,FALSE)</f>
        <v>#N/A</v>
      </c>
      <c r="E59" s="140" t="e">
        <f>VLOOKUP(S59,Data!$B:$E,3,FALSE)</f>
        <v>#N/A</v>
      </c>
      <c r="F59" s="140" t="e">
        <f>VLOOKUP(T59,Data!$B:$E,3,FALSE)</f>
        <v>#N/A</v>
      </c>
      <c r="G59" s="140" t="e">
        <f>VLOOKUP(U59,Data!$B:$E,3,FALSE)</f>
        <v>#N/A</v>
      </c>
      <c r="H59" s="141" t="e">
        <f>VLOOKUP(V59,Data!$B:$E,3,FALSE)</f>
        <v>#N/A</v>
      </c>
      <c r="I59" s="140" t="e">
        <f>VLOOKUP(W59,Data!$B:$E,3,FALSE)</f>
        <v>#N/A</v>
      </c>
      <c r="J59" s="141" t="e">
        <f>VLOOKUP(X59,Data!$B:$E,3,FALSE)</f>
        <v>#N/A</v>
      </c>
      <c r="O59" s="77" t="s">
        <v>470</v>
      </c>
      <c r="P59" s="38" t="s">
        <v>469</v>
      </c>
      <c r="Q59" s="78" t="s">
        <v>471</v>
      </c>
      <c r="R59" s="78" t="s">
        <v>472</v>
      </c>
      <c r="S59" s="78" t="s">
        <v>473</v>
      </c>
      <c r="T59" s="78" t="s">
        <v>474</v>
      </c>
      <c r="U59" s="78" t="s">
        <v>475</v>
      </c>
      <c r="V59" s="76" t="s">
        <v>476</v>
      </c>
      <c r="W59" s="78" t="s">
        <v>477</v>
      </c>
      <c r="X59" s="76" t="s">
        <v>478</v>
      </c>
    </row>
    <row r="60">
      <c r="A60" s="77" t="str">
        <f>Translation!A83</f>
        <v>MT09</v>
      </c>
      <c r="B60" s="38" t="s">
        <v>479</v>
      </c>
      <c r="C60" s="107" t="e">
        <f>VLOOKUP(Q60,Data!$B:$E,3,FALSE)</f>
        <v>#N/A</v>
      </c>
      <c r="D60" s="140" t="e">
        <f>VLOOKUP(R60,Data!$B:$E,3,FALSE)</f>
        <v>#N/A</v>
      </c>
      <c r="E60" s="140" t="e">
        <f>VLOOKUP(S60,Data!$B:$E,3,FALSE)</f>
        <v>#N/A</v>
      </c>
      <c r="F60" s="140" t="e">
        <f>VLOOKUP(T60,Data!$B:$E,3,FALSE)</f>
        <v>#N/A</v>
      </c>
      <c r="G60" s="140" t="e">
        <f>VLOOKUP(U60,Data!$B:$E,3,FALSE)</f>
        <v>#N/A</v>
      </c>
      <c r="H60" s="141" t="e">
        <f>VLOOKUP(V60,Data!$B:$E,3,FALSE)</f>
        <v>#N/A</v>
      </c>
      <c r="I60" s="140" t="e">
        <f>VLOOKUP(W60,Data!$B:$E,3,FALSE)</f>
        <v>#N/A</v>
      </c>
      <c r="J60" s="141" t="e">
        <f>VLOOKUP(X60,Data!$B:$E,3,FALSE)</f>
        <v>#N/A</v>
      </c>
      <c r="O60" s="77" t="s">
        <v>480</v>
      </c>
      <c r="P60" s="38" t="s">
        <v>479</v>
      </c>
      <c r="Q60" s="78" t="s">
        <v>481</v>
      </c>
      <c r="R60" s="78" t="s">
        <v>482</v>
      </c>
      <c r="S60" s="78" t="s">
        <v>483</v>
      </c>
      <c r="T60" s="78" t="s">
        <v>484</v>
      </c>
      <c r="U60" s="78" t="s">
        <v>485</v>
      </c>
      <c r="V60" s="76" t="s">
        <v>486</v>
      </c>
      <c r="W60" s="78" t="s">
        <v>487</v>
      </c>
      <c r="X60" s="76" t="s">
        <v>488</v>
      </c>
    </row>
    <row r="61">
      <c r="A61" s="77" t="str">
        <f>Translation!A84</f>
        <v>MT09 SP</v>
      </c>
      <c r="B61" s="38" t="s">
        <v>489</v>
      </c>
      <c r="C61" s="107" t="e">
        <f>VLOOKUP(Q61,Data!$B:$E,3,FALSE)</f>
        <v>#N/A</v>
      </c>
      <c r="D61" s="140" t="e">
        <f>VLOOKUP(R61,Data!$B:$E,3,FALSE)</f>
        <v>#N/A</v>
      </c>
      <c r="E61" s="140" t="e">
        <f>VLOOKUP(S61,Data!$B:$E,3,FALSE)</f>
        <v>#N/A</v>
      </c>
      <c r="F61" s="140" t="e">
        <f>VLOOKUP(T61,Data!$B:$E,3,FALSE)</f>
        <v>#N/A</v>
      </c>
      <c r="G61" s="140" t="e">
        <f>VLOOKUP(U61,Data!$B:$E,3,FALSE)</f>
        <v>#N/A</v>
      </c>
      <c r="H61" s="141" t="e">
        <f>VLOOKUP(V61,Data!$B:$E,3,FALSE)</f>
        <v>#N/A</v>
      </c>
      <c r="I61" s="140" t="e">
        <f>VLOOKUP(W61,Data!$B:$E,3,FALSE)</f>
        <v>#N/A</v>
      </c>
      <c r="J61" s="141" t="e">
        <f>VLOOKUP(X61,Data!$B:$E,3,FALSE)</f>
        <v>#N/A</v>
      </c>
      <c r="O61" s="77" t="s">
        <v>490</v>
      </c>
      <c r="P61" s="38" t="s">
        <v>489</v>
      </c>
      <c r="Q61" s="78" t="s">
        <v>491</v>
      </c>
      <c r="R61" s="78" t="s">
        <v>492</v>
      </c>
      <c r="S61" s="78" t="s">
        <v>493</v>
      </c>
      <c r="T61" s="78" t="s">
        <v>494</v>
      </c>
      <c r="U61" s="78" t="s">
        <v>495</v>
      </c>
      <c r="V61" s="76" t="s">
        <v>496</v>
      </c>
      <c r="W61" s="78" t="s">
        <v>497</v>
      </c>
      <c r="X61" s="76" t="s">
        <v>498</v>
      </c>
    </row>
    <row r="62">
      <c r="A62" s="77" t="str">
        <f>Translation!A85</f>
        <v>MT09 TRACER</v>
      </c>
      <c r="B62" s="38" t="s">
        <v>499</v>
      </c>
      <c r="C62" s="107" t="e">
        <f>VLOOKUP(Q62,Data!$B:$E,3,FALSE)</f>
        <v>#N/A</v>
      </c>
      <c r="D62" s="140" t="e">
        <f>VLOOKUP(R62,Data!$B:$E,3,FALSE)</f>
        <v>#N/A</v>
      </c>
      <c r="E62" s="140" t="e">
        <f>VLOOKUP(S62,Data!$B:$E,3,FALSE)</f>
        <v>#N/A</v>
      </c>
      <c r="F62" s="140" t="e">
        <f>VLOOKUP(T62,Data!$B:$E,3,FALSE)</f>
        <v>#N/A</v>
      </c>
      <c r="G62" s="140" t="e">
        <f>VLOOKUP(U62,Data!$B:$E,3,FALSE)</f>
        <v>#N/A</v>
      </c>
      <c r="H62" s="141" t="e">
        <f>VLOOKUP(V62,Data!$B:$E,3,FALSE)</f>
        <v>#N/A</v>
      </c>
      <c r="I62" s="140" t="e">
        <f>VLOOKUP(W62,Data!$B:$E,3,FALSE)</f>
        <v>#N/A</v>
      </c>
      <c r="J62" s="141" t="e">
        <f>VLOOKUP(X62,Data!$B:$E,3,FALSE)</f>
        <v>#N/A</v>
      </c>
      <c r="O62" s="77" t="s">
        <v>500</v>
      </c>
      <c r="P62" s="38" t="s">
        <v>499</v>
      </c>
      <c r="Q62" s="78" t="s">
        <v>501</v>
      </c>
      <c r="R62" s="78" t="s">
        <v>502</v>
      </c>
      <c r="S62" s="78" t="s">
        <v>503</v>
      </c>
      <c r="T62" s="78" t="s">
        <v>504</v>
      </c>
      <c r="U62" s="78" t="s">
        <v>505</v>
      </c>
      <c r="V62" s="76" t="s">
        <v>506</v>
      </c>
      <c r="W62" s="78" t="s">
        <v>507</v>
      </c>
      <c r="X62" s="76" t="s">
        <v>508</v>
      </c>
    </row>
    <row r="63">
      <c r="A63" s="77" t="str">
        <f>Translation!A86</f>
        <v>YZF R1</v>
      </c>
      <c r="B63" s="38" t="s">
        <v>509</v>
      </c>
      <c r="C63" s="107" t="e">
        <f>VLOOKUP(Q63,Data!$B:$E,3,FALSE)</f>
        <v>#N/A</v>
      </c>
      <c r="D63" s="140" t="e">
        <f>VLOOKUP(R63,Data!$B:$E,3,FALSE)</f>
        <v>#N/A</v>
      </c>
      <c r="E63" s="140" t="e">
        <f>VLOOKUP(S63,Data!$B:$E,3,FALSE)</f>
        <v>#N/A</v>
      </c>
      <c r="F63" s="140" t="e">
        <f>VLOOKUP(T63,Data!$B:$E,3,FALSE)</f>
        <v>#N/A</v>
      </c>
      <c r="G63" s="140" t="e">
        <f>VLOOKUP(U63,Data!$B:$E,3,FALSE)</f>
        <v>#N/A</v>
      </c>
      <c r="H63" s="141" t="e">
        <f>VLOOKUP(V63,Data!$B:$E,3,FALSE)</f>
        <v>#N/A</v>
      </c>
      <c r="I63" s="140" t="e">
        <f>VLOOKUP(W63,Data!$B:$E,3,FALSE)</f>
        <v>#N/A</v>
      </c>
      <c r="J63" s="141" t="e">
        <f>VLOOKUP(X63,Data!$B:$E,3,FALSE)</f>
        <v>#N/A</v>
      </c>
      <c r="O63" s="77" t="s">
        <v>510</v>
      </c>
      <c r="P63" s="38" t="s">
        <v>509</v>
      </c>
      <c r="Q63" s="78" t="s">
        <v>511</v>
      </c>
      <c r="R63" s="78" t="s">
        <v>512</v>
      </c>
      <c r="S63" s="78" t="s">
        <v>513</v>
      </c>
      <c r="T63" s="78" t="s">
        <v>514</v>
      </c>
      <c r="U63" s="78" t="s">
        <v>515</v>
      </c>
      <c r="V63" s="76" t="s">
        <v>516</v>
      </c>
      <c r="W63" s="78" t="s">
        <v>517</v>
      </c>
      <c r="X63" s="76" t="s">
        <v>518</v>
      </c>
    </row>
    <row r="64">
      <c r="A64" s="77" t="str">
        <f>Translation!A87</f>
        <v>YZF R1M</v>
      </c>
      <c r="B64" s="38" t="s">
        <v>519</v>
      </c>
      <c r="C64" s="107" t="e">
        <f>VLOOKUP(Q64,Data!$B:$E,3,FALSE)</f>
        <v>#N/A</v>
      </c>
      <c r="D64" s="140" t="e">
        <f>VLOOKUP(R64,Data!$B:$E,3,FALSE)</f>
        <v>#N/A</v>
      </c>
      <c r="E64" s="140" t="e">
        <f>VLOOKUP(S64,Data!$B:$E,3,FALSE)</f>
        <v>#N/A</v>
      </c>
      <c r="F64" s="140" t="e">
        <f>VLOOKUP(T64,Data!$B:$E,3,FALSE)</f>
        <v>#N/A</v>
      </c>
      <c r="G64" s="140" t="e">
        <f>VLOOKUP(U64,Data!$B:$E,3,FALSE)</f>
        <v>#N/A</v>
      </c>
      <c r="H64" s="141" t="e">
        <f>VLOOKUP(V64,Data!$B:$E,3,FALSE)</f>
        <v>#N/A</v>
      </c>
      <c r="I64" s="140" t="e">
        <f>VLOOKUP(W64,Data!$B:$E,3,FALSE)</f>
        <v>#N/A</v>
      </c>
      <c r="J64" s="141" t="e">
        <f>VLOOKUP(X64,Data!$B:$E,3,FALSE)</f>
        <v>#N/A</v>
      </c>
      <c r="O64" s="77" t="s">
        <v>520</v>
      </c>
      <c r="P64" s="38" t="s">
        <v>519</v>
      </c>
      <c r="Q64" s="78" t="s">
        <v>521</v>
      </c>
      <c r="R64" s="78" t="s">
        <v>522</v>
      </c>
      <c r="S64" s="78" t="s">
        <v>523</v>
      </c>
      <c r="T64" s="78" t="s">
        <v>524</v>
      </c>
      <c r="U64" s="78" t="s">
        <v>525</v>
      </c>
      <c r="V64" s="76" t="s">
        <v>526</v>
      </c>
      <c r="W64" s="78" t="s">
        <v>527</v>
      </c>
      <c r="X64" s="76" t="s">
        <v>528</v>
      </c>
    </row>
    <row r="65">
      <c r="A65" s="77" t="s">
        <v>529</v>
      </c>
      <c r="B65" s="142" t="s">
        <v>530</v>
      </c>
      <c r="C65" s="107" t="e">
        <f>VLOOKUP(Q65,Data!$B:$E,3,FALSE)</f>
        <v>#N/A</v>
      </c>
      <c r="D65" s="140" t="e">
        <f>VLOOKUP(R65,Data!$B:$E,3,FALSE)</f>
        <v>#N/A</v>
      </c>
      <c r="E65" s="140" t="e">
        <f>VLOOKUP(S65,Data!$B:$E,3,FALSE)</f>
        <v>#N/A</v>
      </c>
      <c r="F65" s="140" t="e">
        <f>VLOOKUP(T65,Data!$B:$E,3,FALSE)</f>
        <v>#N/A</v>
      </c>
      <c r="G65" s="140" t="e">
        <f>VLOOKUP(U65,Data!$B:$E,3,FALSE)</f>
        <v>#N/A</v>
      </c>
      <c r="H65" s="141" t="e">
        <f>VLOOKUP(V65,Data!$B:$E,3,FALSE)</f>
        <v>#N/A</v>
      </c>
      <c r="I65" s="140" t="e">
        <f>VLOOKUP(W65,Data!$B:$E,3,FALSE)</f>
        <v>#N/A</v>
      </c>
      <c r="J65" s="141" t="e">
        <f>VLOOKUP(X65,Data!$B:$E,3,FALSE)</f>
        <v>#N/A</v>
      </c>
      <c r="O65" s="77" t="s">
        <v>529</v>
      </c>
      <c r="P65" s="142" t="s">
        <v>530</v>
      </c>
      <c r="Q65" s="78" t="s">
        <v>531</v>
      </c>
      <c r="R65" s="78" t="s">
        <v>532</v>
      </c>
      <c r="S65" s="78" t="s">
        <v>533</v>
      </c>
      <c r="T65" s="78" t="s">
        <v>534</v>
      </c>
      <c r="U65" s="78" t="s">
        <v>535</v>
      </c>
      <c r="V65" s="76" t="s">
        <v>536</v>
      </c>
      <c r="W65" s="78" t="s">
        <v>537</v>
      </c>
      <c r="X65" s="76" t="s">
        <v>538</v>
      </c>
    </row>
    <row r="66">
      <c r="A66" s="77" t="s">
        <v>539</v>
      </c>
      <c r="B66" s="142" t="s">
        <v>540</v>
      </c>
      <c r="C66" s="107" t="e">
        <f>VLOOKUP(Q66,Data!$B:$E,4,FALSE)</f>
        <v>#N/A</v>
      </c>
      <c r="D66" s="140" t="e">
        <f>VLOOKUP(R66,Data!$B:$E,4,FALSE)</f>
        <v>#N/A</v>
      </c>
      <c r="E66" s="140" t="e">
        <f>VLOOKUP(S66,Data!$B:$E,4,FALSE)</f>
        <v>#N/A</v>
      </c>
      <c r="F66" s="140" t="e">
        <f>VLOOKUP(T66,Data!$B:$E,4,FALSE)</f>
        <v>#N/A</v>
      </c>
      <c r="G66" s="140" t="e">
        <f>VLOOKUP(U66,Data!$B:$E,4,FALSE)</f>
        <v>#N/A</v>
      </c>
      <c r="H66" s="141" t="e">
        <f>VLOOKUP(V66,Data!$B:$E,4,FALSE)</f>
        <v>#N/A</v>
      </c>
      <c r="I66" s="140" t="e">
        <f>VLOOKUP(W66,Data!$B:$E,4,FALSE)</f>
        <v>#N/A</v>
      </c>
      <c r="J66" s="141" t="e">
        <f>VLOOKUP(X66,Data!$B:$E,4,FALSE)</f>
        <v>#N/A</v>
      </c>
      <c r="O66" s="77" t="s">
        <v>539</v>
      </c>
      <c r="P66" s="142" t="s">
        <v>540</v>
      </c>
      <c r="Q66" s="78" t="s">
        <v>541</v>
      </c>
      <c r="R66" s="78" t="s">
        <v>542</v>
      </c>
      <c r="S66" s="78" t="s">
        <v>543</v>
      </c>
      <c r="T66" s="78" t="s">
        <v>544</v>
      </c>
      <c r="U66" s="78" t="s">
        <v>545</v>
      </c>
      <c r="V66" s="76" t="s">
        <v>546</v>
      </c>
      <c r="W66" s="78" t="s">
        <v>547</v>
      </c>
      <c r="X66" s="76" t="s">
        <v>548</v>
      </c>
    </row>
    <row r="67">
      <c r="A67" s="77" t="s">
        <v>549</v>
      </c>
      <c r="B67" s="142" t="s">
        <v>550</v>
      </c>
      <c r="C67" s="107" t="e">
        <f>VLOOKUP(Q67,Data!$B:$E,4,FALSE)</f>
        <v>#N/A</v>
      </c>
      <c r="D67" s="140" t="e">
        <f>VLOOKUP(R67,Data!$B:$E,4,FALSE)</f>
        <v>#N/A</v>
      </c>
      <c r="E67" s="140" t="e">
        <f>VLOOKUP(S67,Data!$B:$E,4,FALSE)</f>
        <v>#N/A</v>
      </c>
      <c r="F67" s="140" t="e">
        <f>VLOOKUP(T67,Data!$B:$E,4,FALSE)</f>
        <v>#N/A</v>
      </c>
      <c r="G67" s="140" t="e">
        <f>VLOOKUP(U67,Data!$B:$E,4,FALSE)</f>
        <v>#N/A</v>
      </c>
      <c r="H67" s="141" t="e">
        <f>VLOOKUP(V67,Data!$B:$E,4,FALSE)</f>
        <v>#N/A</v>
      </c>
      <c r="I67" s="140" t="e">
        <f>VLOOKUP(W67,Data!$B:$E,4,FALSE)</f>
        <v>#N/A</v>
      </c>
      <c r="J67" s="141" t="e">
        <f>VLOOKUP(X67,Data!$B:$E,4,FALSE)</f>
        <v>#N/A</v>
      </c>
      <c r="O67" s="77" t="s">
        <v>549</v>
      </c>
      <c r="P67" s="142" t="s">
        <v>550</v>
      </c>
      <c r="Q67" s="78" t="s">
        <v>551</v>
      </c>
      <c r="R67" s="78" t="s">
        <v>552</v>
      </c>
      <c r="S67" s="78" t="s">
        <v>553</v>
      </c>
      <c r="T67" s="78" t="s">
        <v>554</v>
      </c>
      <c r="U67" s="78" t="s">
        <v>555</v>
      </c>
      <c r="V67" s="76" t="s">
        <v>556</v>
      </c>
      <c r="W67" s="78" t="s">
        <v>557</v>
      </c>
      <c r="X67" s="76" t="s">
        <v>558</v>
      </c>
    </row>
    <row r="68">
      <c r="A68" s="48" t="str">
        <f>Translation!A88</f>
        <v>TOTAL DE VENDAS - LINHA &gt; 500 cc</v>
      </c>
      <c r="B68" s="38" t="s">
        <v>559</v>
      </c>
      <c r="C68" s="108" t="e">
        <f>VLOOKUP(Q68,Data!$B:$E,3,FALSE)</f>
        <v>#N/A</v>
      </c>
      <c r="D68" s="141" t="e">
        <f>VLOOKUP(R68,Data!$B:$E,3,FALSE)</f>
        <v>#N/A</v>
      </c>
      <c r="E68" s="141" t="e">
        <f>VLOOKUP(S68,Data!$B:$E,3,FALSE)</f>
        <v>#N/A</v>
      </c>
      <c r="F68" s="141" t="e">
        <f>VLOOKUP(T68,Data!$B:$E,3,FALSE)</f>
        <v>#N/A</v>
      </c>
      <c r="G68" s="141" t="e">
        <f>VLOOKUP(U68,Data!$B:$E,3,FALSE)</f>
        <v>#N/A</v>
      </c>
      <c r="H68" s="141" t="e">
        <f>VLOOKUP(V68,Data!$B:$E,3,FALSE)</f>
        <v>#N/A</v>
      </c>
      <c r="I68" s="141" t="e">
        <f>VLOOKUP(W68,Data!$B:$E,3,FALSE)</f>
        <v>#N/A</v>
      </c>
      <c r="J68" s="141" t="e">
        <f>VLOOKUP(X68,Data!$B:$E,3,FALSE)</f>
        <v>#N/A</v>
      </c>
      <c r="O68" s="48" t="s">
        <v>560</v>
      </c>
      <c r="P68" s="38" t="s">
        <v>559</v>
      </c>
      <c r="Q68" s="76" t="s">
        <v>561</v>
      </c>
      <c r="R68" s="76" t="s">
        <v>562</v>
      </c>
      <c r="S68" s="76" t="s">
        <v>563</v>
      </c>
      <c r="T68" s="76" t="s">
        <v>564</v>
      </c>
      <c r="U68" s="76" t="s">
        <v>565</v>
      </c>
      <c r="V68" s="76" t="s">
        <v>566</v>
      </c>
      <c r="W68" s="76" t="s">
        <v>567</v>
      </c>
      <c r="X68" s="76" t="s">
        <v>568</v>
      </c>
    </row>
    <row r="69">
      <c r="A69" s="77" t="str">
        <f>Translation!A89</f>
        <v>TOTAL OUTROS</v>
      </c>
      <c r="B69" s="38" t="s">
        <v>569</v>
      </c>
      <c r="C69" s="107" t="e">
        <f>VLOOKUP(Q69,Data!$B:$E,3,FALSE)</f>
        <v>#N/A</v>
      </c>
      <c r="D69" s="140" t="e">
        <f>VLOOKUP(R69,Data!$B:$E,3,FALSE)</f>
        <v>#N/A</v>
      </c>
      <c r="E69" s="140" t="e">
        <f>VLOOKUP(S69,Data!$B:$E,3,FALSE)</f>
        <v>#N/A</v>
      </c>
      <c r="F69" s="140" t="e">
        <f>VLOOKUP(T69,Data!$B:$E,3,FALSE)</f>
        <v>#N/A</v>
      </c>
      <c r="G69" s="140" t="e">
        <f>VLOOKUP(U69,Data!$B:$E,3,FALSE)</f>
        <v>#N/A</v>
      </c>
      <c r="H69" s="141" t="e">
        <f>VLOOKUP(V69,Data!$B:$E,3,FALSE)</f>
        <v>#N/A</v>
      </c>
      <c r="I69" s="140" t="e">
        <f>VLOOKUP(W69,Data!$B:$E,3,FALSE)</f>
        <v>#N/A</v>
      </c>
      <c r="J69" s="141" t="e">
        <f>VLOOKUP(X69,Data!$B:$E,3,FALSE)</f>
        <v>#N/A</v>
      </c>
      <c r="O69" s="77" t="s">
        <v>570</v>
      </c>
      <c r="P69" s="38" t="s">
        <v>569</v>
      </c>
      <c r="Q69" s="78" t="s">
        <v>571</v>
      </c>
      <c r="R69" s="78" t="s">
        <v>572</v>
      </c>
      <c r="S69" s="78" t="s">
        <v>573</v>
      </c>
      <c r="T69" s="78" t="s">
        <v>574</v>
      </c>
      <c r="U69" s="78" t="s">
        <v>575</v>
      </c>
      <c r="V69" s="76" t="s">
        <v>576</v>
      </c>
      <c r="W69" s="78" t="s">
        <v>577</v>
      </c>
      <c r="X69" s="76" t="s">
        <v>578</v>
      </c>
    </row>
    <row r="70">
      <c r="A70" s="48" t="str">
        <f>Translation!A90</f>
        <v>TOTAL DE VENDAS DE NOVOS - MOTOCICLETAS</v>
      </c>
      <c r="B70" s="38" t="s">
        <v>579</v>
      </c>
      <c r="C70" s="108" t="e">
        <f>VLOOKUP(Q70,Data!$B:$E,3,FALSE)</f>
        <v>#N/A</v>
      </c>
      <c r="D70" s="141" t="e">
        <f>VLOOKUP(R70,Data!$B:$E,3,FALSE)</f>
        <v>#N/A</v>
      </c>
      <c r="E70" s="141" t="e">
        <f>VLOOKUP(S70,Data!$B:$E,3,FALSE)</f>
        <v>#N/A</v>
      </c>
      <c r="F70" s="141" t="e">
        <f>VLOOKUP(T70,Data!$B:$E,3,FALSE)</f>
        <v>#N/A</v>
      </c>
      <c r="G70" s="141" t="e">
        <f>VLOOKUP(U70,Data!$B:$E,3,FALSE)</f>
        <v>#N/A</v>
      </c>
      <c r="H70" s="141" t="e">
        <f>VLOOKUP(V70,Data!$B:$E,3,FALSE)</f>
        <v>#N/A</v>
      </c>
      <c r="I70" s="141" t="e">
        <f>VLOOKUP(W70,Data!$B:$E,3,FALSE)</f>
        <v>#N/A</v>
      </c>
      <c r="J70" s="141" t="e">
        <f>VLOOKUP(X70,Data!$B:$E,3,FALSE)</f>
        <v>#N/A</v>
      </c>
      <c r="O70" s="48" t="s">
        <v>580</v>
      </c>
      <c r="P70" s="38" t="s">
        <v>579</v>
      </c>
      <c r="Q70" s="76" t="s">
        <v>581</v>
      </c>
      <c r="R70" s="76" t="s">
        <v>582</v>
      </c>
      <c r="S70" s="76" t="s">
        <v>583</v>
      </c>
      <c r="T70" s="76" t="s">
        <v>584</v>
      </c>
      <c r="U70" s="76" t="s">
        <v>585</v>
      </c>
      <c r="V70" s="76" t="s">
        <v>586</v>
      </c>
      <c r="W70" s="76" t="s">
        <v>587</v>
      </c>
      <c r="X70" s="76" t="s">
        <v>588</v>
      </c>
    </row>
    <row r="71" ht="30">
      <c r="A71" s="73" t="str">
        <f>Translation!A91</f>
        <v>LINHA NÁUTICA</v>
      </c>
      <c r="B71" s="38" t="str">
        <f>Translation!$G$32</f>
        <v>CONTA</v>
      </c>
      <c r="C71" s="121" t="str">
        <f>Translation!$G$12</f>
        <v>UNIDADES</v>
      </c>
      <c r="D71" s="120" t="str">
        <f>Translation!$G$11</f>
        <v>RECEITA
(SEM IMPOSTOS)</v>
      </c>
      <c r="E71" s="120" t="str">
        <f>Translation!$G$33</f>
        <v>UNIDADES DEVOLVIDAS</v>
      </c>
      <c r="F71" s="120" t="str">
        <f>Translation!$G$14</f>
        <v>DEVOLUÇÃO
DE VENDAS</v>
      </c>
      <c r="G71" s="120" t="str">
        <f>Translation!$G$3</f>
        <v>ABAT. E DESCONTO</v>
      </c>
      <c r="H71" s="120" t="str">
        <f>Translation!$G$9</f>
        <v>RECEITA LÍQUIDA</v>
      </c>
      <c r="I71" s="121" t="str">
        <f>Translation!$G$2</f>
        <v>CUSTO</v>
      </c>
      <c r="J71" s="121" t="str">
        <f>Translation!$G$5</f>
        <v>LUCRO BRUTO</v>
      </c>
      <c r="O71" s="73" t="s">
        <v>589</v>
      </c>
      <c r="P71" s="38" t="str">
        <f>Translation!$G$32</f>
        <v>CONTA</v>
      </c>
      <c r="Q71" s="74" t="s">
        <v>2</v>
      </c>
      <c r="R71" s="74" t="s">
        <v>3</v>
      </c>
      <c r="S71" s="74" t="s">
        <v>4</v>
      </c>
      <c r="T71" s="74" t="s">
        <v>5</v>
      </c>
      <c r="U71" s="74" t="s">
        <v>6</v>
      </c>
      <c r="V71" s="74" t="s">
        <v>7</v>
      </c>
      <c r="W71" s="74" t="s">
        <v>8</v>
      </c>
      <c r="X71" s="74" t="s">
        <v>9</v>
      </c>
    </row>
    <row r="72">
      <c r="A72" s="77" t="str">
        <f>Translation!A92</f>
        <v>MOTORES</v>
      </c>
      <c r="B72" s="38" t="s">
        <v>590</v>
      </c>
      <c r="C72" s="107" t="e">
        <f>VLOOKUP(Q72,Data!$B:$E,3,FALSE)</f>
        <v>#N/A</v>
      </c>
      <c r="D72" s="140" t="e">
        <f>VLOOKUP(R72,Data!$B:$E,3,FALSE)</f>
        <v>#N/A</v>
      </c>
      <c r="E72" s="140" t="e">
        <f>VLOOKUP(S72,Data!$B:$E,3,FALSE)</f>
        <v>#N/A</v>
      </c>
      <c r="F72" s="140" t="e">
        <f>VLOOKUP(T72,Data!$B:$E,3,FALSE)</f>
        <v>#N/A</v>
      </c>
      <c r="G72" s="140" t="e">
        <f>VLOOKUP(U72,Data!$B:$E,3,FALSE)</f>
        <v>#N/A</v>
      </c>
      <c r="H72" s="141" t="e">
        <f>VLOOKUP(V72,Data!$B:$E,3,FALSE)</f>
        <v>#N/A</v>
      </c>
      <c r="I72" s="140" t="e">
        <f>VLOOKUP(W72,Data!$B:$E,3,FALSE)</f>
        <v>#N/A</v>
      </c>
      <c r="J72" s="141" t="e">
        <f>VLOOKUP(X72,Data!$B:$E,3,FALSE)</f>
        <v>#N/A</v>
      </c>
      <c r="O72" s="77" t="s">
        <v>591</v>
      </c>
      <c r="P72" s="38" t="s">
        <v>590</v>
      </c>
      <c r="Q72" s="78" t="s">
        <v>592</v>
      </c>
      <c r="R72" s="78" t="s">
        <v>593</v>
      </c>
      <c r="S72" s="78" t="s">
        <v>594</v>
      </c>
      <c r="T72" s="78" t="s">
        <v>595</v>
      </c>
      <c r="U72" s="78" t="s">
        <v>596</v>
      </c>
      <c r="V72" s="76" t="s">
        <v>597</v>
      </c>
      <c r="W72" s="78" t="s">
        <v>598</v>
      </c>
      <c r="X72" s="76" t="s">
        <v>599</v>
      </c>
    </row>
    <row r="73">
      <c r="A73" s="77" t="str">
        <f>Translation!A93</f>
        <v>WAVERUNNER</v>
      </c>
      <c r="B73" s="38" t="s">
        <v>600</v>
      </c>
      <c r="C73" s="107" t="e">
        <f>VLOOKUP(Q73,Data!$B:$E,3,FALSE)</f>
        <v>#N/A</v>
      </c>
      <c r="D73" s="140" t="e">
        <f>VLOOKUP(R73,Data!$B:$E,3,FALSE)</f>
        <v>#N/A</v>
      </c>
      <c r="E73" s="140" t="e">
        <f>VLOOKUP(S73,Data!$B:$E,3,FALSE)</f>
        <v>#N/A</v>
      </c>
      <c r="F73" s="140" t="e">
        <f>VLOOKUP(T73,Data!$B:$E,3,FALSE)</f>
        <v>#N/A</v>
      </c>
      <c r="G73" s="140" t="e">
        <f>VLOOKUP(U73,Data!$B:$E,3,FALSE)</f>
        <v>#N/A</v>
      </c>
      <c r="H73" s="141" t="e">
        <f>VLOOKUP(V73,Data!$B:$E,3,FALSE)</f>
        <v>#N/A</v>
      </c>
      <c r="I73" s="140" t="e">
        <f>VLOOKUP(W73,Data!$B:$E,3,FALSE)</f>
        <v>#N/A</v>
      </c>
      <c r="J73" s="141" t="e">
        <f>VLOOKUP(X73,Data!$B:$E,3,FALSE)</f>
        <v>#N/A</v>
      </c>
      <c r="O73" s="77" t="s">
        <v>601</v>
      </c>
      <c r="P73" s="38" t="s">
        <v>600</v>
      </c>
      <c r="Q73" s="78" t="s">
        <v>602</v>
      </c>
      <c r="R73" s="78" t="s">
        <v>603</v>
      </c>
      <c r="S73" s="78" t="s">
        <v>604</v>
      </c>
      <c r="T73" s="78" t="s">
        <v>605</v>
      </c>
      <c r="U73" s="78" t="s">
        <v>606</v>
      </c>
      <c r="V73" s="76" t="s">
        <v>607</v>
      </c>
      <c r="W73" s="78" t="s">
        <v>608</v>
      </c>
      <c r="X73" s="76" t="s">
        <v>609</v>
      </c>
    </row>
    <row r="74">
      <c r="A74" s="48" t="str">
        <f>Translation!A94</f>
        <v>TOTAL DE VENDAS - LINHA NAÚTICA</v>
      </c>
      <c r="B74" s="38" t="s">
        <v>610</v>
      </c>
      <c r="C74" s="108" t="e">
        <f>VLOOKUP(Q74,Data!$B:$E,3,FALSE)</f>
        <v>#N/A</v>
      </c>
      <c r="D74" s="141" t="e">
        <f>VLOOKUP(R74,Data!$B:$E,3,FALSE)</f>
        <v>#N/A</v>
      </c>
      <c r="E74" s="141" t="e">
        <f>VLOOKUP(S74,Data!$B:$E,3,FALSE)</f>
        <v>#N/A</v>
      </c>
      <c r="F74" s="141" t="e">
        <f>VLOOKUP(T74,Data!$B:$E,3,FALSE)</f>
        <v>#N/A</v>
      </c>
      <c r="G74" s="141" t="e">
        <f>VLOOKUP(U74,Data!$B:$E,3,FALSE)</f>
        <v>#N/A</v>
      </c>
      <c r="H74" s="141" t="e">
        <f>VLOOKUP(V74,Data!$B:$E,3,FALSE)</f>
        <v>#N/A</v>
      </c>
      <c r="I74" s="141" t="e">
        <f>VLOOKUP(W74,Data!$B:$E,3,FALSE)</f>
        <v>#N/A</v>
      </c>
      <c r="J74" s="141" t="e">
        <f>VLOOKUP(X74,Data!$B:$E,3,FALSE)</f>
        <v>#N/A</v>
      </c>
      <c r="O74" s="48" t="s">
        <v>611</v>
      </c>
      <c r="P74" s="38" t="s">
        <v>610</v>
      </c>
      <c r="Q74" s="76" t="s">
        <v>612</v>
      </c>
      <c r="R74" s="76" t="s">
        <v>613</v>
      </c>
      <c r="S74" s="76" t="s">
        <v>614</v>
      </c>
      <c r="T74" s="76" t="s">
        <v>615</v>
      </c>
      <c r="U74" s="76" t="s">
        <v>616</v>
      </c>
      <c r="V74" s="76" t="s">
        <v>617</v>
      </c>
      <c r="W74" s="76" t="s">
        <v>618</v>
      </c>
      <c r="X74" s="76" t="s">
        <v>619</v>
      </c>
    </row>
    <row r="75" ht="30">
      <c r="A75" s="73" t="str">
        <f>Translation!A95</f>
        <v>LINHA QUADRICICLOS</v>
      </c>
      <c r="B75" s="38" t="str">
        <f>Translation!$G$32</f>
        <v>CONTA</v>
      </c>
      <c r="C75" s="121" t="str">
        <f>Translation!$G$12</f>
        <v>UNIDADES</v>
      </c>
      <c r="D75" s="120" t="str">
        <f>Translation!$G$11</f>
        <v>RECEITA
(SEM IMPOSTOS)</v>
      </c>
      <c r="E75" s="120" t="str">
        <f>Translation!$G$33</f>
        <v>UNIDADES DEVOLVIDAS</v>
      </c>
      <c r="F75" s="120" t="str">
        <f>Translation!$G$14</f>
        <v>DEVOLUÇÃO
DE VENDAS</v>
      </c>
      <c r="G75" s="120" t="str">
        <f>Translation!$G$3</f>
        <v>ABAT. E DESCONTO</v>
      </c>
      <c r="H75" s="120" t="str">
        <f>Translation!$G$9</f>
        <v>RECEITA LÍQUIDA</v>
      </c>
      <c r="I75" s="121" t="str">
        <f>Translation!$G$2</f>
        <v>CUSTO</v>
      </c>
      <c r="J75" s="121" t="str">
        <f>Translation!$G$5</f>
        <v>LUCRO BRUTO</v>
      </c>
      <c r="O75" s="73" t="s">
        <v>620</v>
      </c>
      <c r="P75" s="38" t="str">
        <f>Translation!$G$32</f>
        <v>CONTA</v>
      </c>
      <c r="Q75" s="74" t="s">
        <v>2</v>
      </c>
      <c r="R75" s="74" t="s">
        <v>3</v>
      </c>
      <c r="S75" s="74" t="s">
        <v>4</v>
      </c>
      <c r="T75" s="74" t="s">
        <v>5</v>
      </c>
      <c r="U75" s="74" t="s">
        <v>6</v>
      </c>
      <c r="V75" s="74" t="s">
        <v>7</v>
      </c>
      <c r="W75" s="74" t="s">
        <v>8</v>
      </c>
      <c r="X75" s="74" t="s">
        <v>9</v>
      </c>
    </row>
    <row r="76">
      <c r="A76" s="77" t="str">
        <f>Translation!A96</f>
        <v>MODELO 1</v>
      </c>
      <c r="B76" s="38" t="s">
        <v>621</v>
      </c>
      <c r="C76" s="107" t="e">
        <f>VLOOKUP(Q76,Data!$B:$E,3,FALSE)</f>
        <v>#N/A</v>
      </c>
      <c r="D76" s="140" t="e">
        <f>VLOOKUP(R76,Data!$B:$E,3,FALSE)</f>
        <v>#N/A</v>
      </c>
      <c r="E76" s="140" t="e">
        <f>VLOOKUP(S76,Data!$B:$E,3,FALSE)</f>
        <v>#N/A</v>
      </c>
      <c r="F76" s="140" t="e">
        <f>VLOOKUP(T76,Data!$B:$E,3,FALSE)</f>
        <v>#N/A</v>
      </c>
      <c r="G76" s="140" t="e">
        <f>VLOOKUP(U76,Data!$B:$E,3,FALSE)</f>
        <v>#N/A</v>
      </c>
      <c r="H76" s="141" t="e">
        <f>VLOOKUP(V76,Data!$B:$E,3,FALSE)</f>
        <v>#N/A</v>
      </c>
      <c r="I76" s="140" t="e">
        <f>VLOOKUP(W76,Data!$B:$E,3,FALSE)</f>
        <v>#N/A</v>
      </c>
      <c r="J76" s="141" t="e">
        <f>VLOOKUP(X76,Data!$B:$E,3,FALSE)</f>
        <v>#N/A</v>
      </c>
      <c r="O76" s="77" t="s">
        <v>622</v>
      </c>
      <c r="P76" s="38" t="s">
        <v>621</v>
      </c>
      <c r="Q76" s="78" t="s">
        <v>623</v>
      </c>
      <c r="R76" s="78" t="s">
        <v>624</v>
      </c>
      <c r="S76" s="78" t="s">
        <v>625</v>
      </c>
      <c r="T76" s="78" t="s">
        <v>626</v>
      </c>
      <c r="U76" s="78" t="s">
        <v>627</v>
      </c>
      <c r="V76" s="76" t="s">
        <v>628</v>
      </c>
      <c r="W76" s="78" t="s">
        <v>629</v>
      </c>
      <c r="X76" s="76" t="s">
        <v>630</v>
      </c>
    </row>
    <row r="77">
      <c r="A77" s="77" t="str">
        <f>Translation!A97</f>
        <v>MODELO 2</v>
      </c>
      <c r="B77" s="38" t="s">
        <v>631</v>
      </c>
      <c r="C77" s="107" t="e">
        <f>VLOOKUP(Q77,Data!$B:$E,3,FALSE)</f>
        <v>#N/A</v>
      </c>
      <c r="D77" s="140" t="e">
        <f>VLOOKUP(R77,Data!$B:$E,3,FALSE)</f>
        <v>#N/A</v>
      </c>
      <c r="E77" s="140" t="e">
        <f>VLOOKUP(S77,Data!$B:$E,3,FALSE)</f>
        <v>#N/A</v>
      </c>
      <c r="F77" s="140" t="e">
        <f>VLOOKUP(T77,Data!$B:$E,3,FALSE)</f>
        <v>#N/A</v>
      </c>
      <c r="G77" s="140" t="e">
        <f>VLOOKUP(U77,Data!$B:$E,3,FALSE)</f>
        <v>#N/A</v>
      </c>
      <c r="H77" s="141" t="e">
        <f>VLOOKUP(V77,Data!$B:$E,3,FALSE)</f>
        <v>#N/A</v>
      </c>
      <c r="I77" s="140" t="e">
        <f>VLOOKUP(W77,Data!$B:$E,3,FALSE)</f>
        <v>#N/A</v>
      </c>
      <c r="J77" s="141" t="e">
        <f>VLOOKUP(X77,Data!$B:$E,3,FALSE)</f>
        <v>#N/A</v>
      </c>
      <c r="O77" s="77" t="s">
        <v>632</v>
      </c>
      <c r="P77" s="38" t="s">
        <v>631</v>
      </c>
      <c r="Q77" s="78" t="s">
        <v>633</v>
      </c>
      <c r="R77" s="78" t="s">
        <v>634</v>
      </c>
      <c r="S77" s="78" t="s">
        <v>635</v>
      </c>
      <c r="T77" s="78" t="s">
        <v>636</v>
      </c>
      <c r="U77" s="78" t="s">
        <v>637</v>
      </c>
      <c r="V77" s="76" t="s">
        <v>638</v>
      </c>
      <c r="W77" s="78" t="s">
        <v>639</v>
      </c>
      <c r="X77" s="76" t="s">
        <v>640</v>
      </c>
    </row>
    <row r="78">
      <c r="A78" s="77" t="str">
        <f>Translation!A98</f>
        <v>MODELO 3</v>
      </c>
      <c r="B78" s="38" t="s">
        <v>641</v>
      </c>
      <c r="C78" s="107" t="e">
        <f>VLOOKUP(Q78,Data!$B:$E,3,FALSE)</f>
        <v>#N/A</v>
      </c>
      <c r="D78" s="140" t="e">
        <f>VLOOKUP(R78,Data!$B:$E,3,FALSE)</f>
        <v>#N/A</v>
      </c>
      <c r="E78" s="140" t="e">
        <f>VLOOKUP(S78,Data!$B:$E,3,FALSE)</f>
        <v>#N/A</v>
      </c>
      <c r="F78" s="140" t="e">
        <f>VLOOKUP(T78,Data!$B:$E,3,FALSE)</f>
        <v>#N/A</v>
      </c>
      <c r="G78" s="140" t="e">
        <f>VLOOKUP(U78,Data!$B:$E,3,FALSE)</f>
        <v>#N/A</v>
      </c>
      <c r="H78" s="141" t="e">
        <f>VLOOKUP(V78,Data!$B:$E,3,FALSE)</f>
        <v>#N/A</v>
      </c>
      <c r="I78" s="140" t="e">
        <f>VLOOKUP(W78,Data!$B:$E,3,FALSE)</f>
        <v>#N/A</v>
      </c>
      <c r="J78" s="141" t="e">
        <f>VLOOKUP(X78,Data!$B:$E,3,FALSE)</f>
        <v>#N/A</v>
      </c>
      <c r="O78" s="77" t="s">
        <v>642</v>
      </c>
      <c r="P78" s="38" t="s">
        <v>641</v>
      </c>
      <c r="Q78" s="78" t="s">
        <v>643</v>
      </c>
      <c r="R78" s="78" t="s">
        <v>644</v>
      </c>
      <c r="S78" s="78" t="s">
        <v>645</v>
      </c>
      <c r="T78" s="78" t="s">
        <v>646</v>
      </c>
      <c r="U78" s="78" t="s">
        <v>647</v>
      </c>
      <c r="V78" s="76" t="s">
        <v>648</v>
      </c>
      <c r="W78" s="78" t="s">
        <v>649</v>
      </c>
      <c r="X78" s="76" t="s">
        <v>650</v>
      </c>
    </row>
    <row r="79">
      <c r="A79" s="48" t="str">
        <f>Translation!A99</f>
        <v>TOTAL DE VENDAS - LINHA QUADRICICLOS</v>
      </c>
      <c r="B79" s="38" t="s">
        <v>651</v>
      </c>
      <c r="C79" s="108" t="e">
        <f>VLOOKUP(Q79,Data!$B:$E,3,FALSE)</f>
        <v>#N/A</v>
      </c>
      <c r="D79" s="141" t="e">
        <f>VLOOKUP(R79,Data!$B:$E,3,FALSE)</f>
        <v>#N/A</v>
      </c>
      <c r="E79" s="141" t="e">
        <f>VLOOKUP(S79,Data!$B:$E,3,FALSE)</f>
        <v>#N/A</v>
      </c>
      <c r="F79" s="141" t="e">
        <f>VLOOKUP(T79,Data!$B:$E,3,FALSE)</f>
        <v>#N/A</v>
      </c>
      <c r="G79" s="141" t="e">
        <f>VLOOKUP(U79,Data!$B:$E,3,FALSE)</f>
        <v>#N/A</v>
      </c>
      <c r="H79" s="141" t="e">
        <f>VLOOKUP(V79,Data!$B:$E,3,FALSE)</f>
        <v>#N/A</v>
      </c>
      <c r="I79" s="141" t="e">
        <f>VLOOKUP(W79,Data!$B:$E,3,FALSE)</f>
        <v>#N/A</v>
      </c>
      <c r="J79" s="141" t="e">
        <f>VLOOKUP(X79,Data!$B:$E,3,FALSE)</f>
        <v>#N/A</v>
      </c>
      <c r="O79" s="48" t="s">
        <v>652</v>
      </c>
      <c r="P79" s="38" t="s">
        <v>651</v>
      </c>
      <c r="Q79" s="76" t="s">
        <v>653</v>
      </c>
      <c r="R79" s="76" t="s">
        <v>654</v>
      </c>
      <c r="S79" s="76" t="s">
        <v>655</v>
      </c>
      <c r="T79" s="76" t="s">
        <v>656</v>
      </c>
      <c r="U79" s="76" t="s">
        <v>657</v>
      </c>
      <c r="V79" s="76" t="s">
        <v>658</v>
      </c>
      <c r="W79" s="76" t="s">
        <v>659</v>
      </c>
      <c r="X79" s="76" t="s">
        <v>660</v>
      </c>
    </row>
    <row r="80">
      <c r="A80" s="48" t="str">
        <f>Translation!A100</f>
        <v>TOTAL DE VENDAS DE VEÍCULOS</v>
      </c>
      <c r="B80" s="38" t="s">
        <v>661</v>
      </c>
      <c r="C80" s="108" t="e">
        <f>VLOOKUP(Q80,Data!$B:$E,3,FALSE)</f>
        <v>#N/A</v>
      </c>
      <c r="D80" s="141" t="e">
        <f>VLOOKUP(R80,Data!$B:$E,3,FALSE)</f>
        <v>#N/A</v>
      </c>
      <c r="E80" s="141" t="e">
        <f>VLOOKUP(S80,Data!$B:$E,3,FALSE)</f>
        <v>#N/A</v>
      </c>
      <c r="F80" s="141" t="e">
        <f>VLOOKUP(T80,Data!$B:$E,3,FALSE)</f>
        <v>#N/A</v>
      </c>
      <c r="G80" s="141" t="e">
        <f>VLOOKUP(U80,Data!$B:$E,3,FALSE)</f>
        <v>#N/A</v>
      </c>
      <c r="H80" s="141" t="e">
        <f>VLOOKUP(V80,Data!$B:$E,3,FALSE)</f>
        <v>#N/A</v>
      </c>
      <c r="I80" s="141" t="e">
        <f>VLOOKUP(W80,Data!$B:$E,3,FALSE)</f>
        <v>#N/A</v>
      </c>
      <c r="J80" s="141" t="e">
        <f>VLOOKUP(X80,Data!$B:$E,3,FALSE)</f>
        <v>#N/A</v>
      </c>
      <c r="O80" s="48" t="s">
        <v>662</v>
      </c>
      <c r="P80" s="38" t="s">
        <v>661</v>
      </c>
      <c r="Q80" s="76" t="s">
        <v>663</v>
      </c>
      <c r="R80" s="76" t="s">
        <v>664</v>
      </c>
      <c r="S80" s="76" t="s">
        <v>665</v>
      </c>
      <c r="T80" s="76" t="s">
        <v>666</v>
      </c>
      <c r="U80" s="76" t="s">
        <v>667</v>
      </c>
      <c r="V80" s="76" t="s">
        <v>668</v>
      </c>
      <c r="W80" s="76" t="s">
        <v>669</v>
      </c>
      <c r="X80" s="76" t="s">
        <v>670</v>
      </c>
    </row>
    <row r="81">
      <c r="A81" s="73" t="str">
        <f>Translation!A101</f>
        <v>OUTRAS RECEITAS OPERACIONAIS</v>
      </c>
      <c r="B81" s="38" t="str">
        <f>Translation!$G$32</f>
        <v>CONTA</v>
      </c>
      <c r="C81" s="121" t="str">
        <f>Translation!$G$1</f>
        <v>VALOR</v>
      </c>
      <c r="D81" s="109"/>
      <c r="E81" s="109"/>
      <c r="F81" s="109"/>
      <c r="G81" s="109"/>
      <c r="H81" s="109"/>
      <c r="I81" s="109"/>
      <c r="O81" s="73" t="s">
        <v>671</v>
      </c>
      <c r="P81" s="38" t="str">
        <f>Translation!$G$32</f>
        <v>CONTA</v>
      </c>
      <c r="Q81" s="79" t="str">
        <f>Translation!$G$1</f>
        <v>VALOR</v>
      </c>
    </row>
    <row r="82">
      <c r="A82" s="77" t="str">
        <f>Translation!A102</f>
        <v>INCENTIVOS DE VAREJO</v>
      </c>
      <c r="B82" s="38" t="s">
        <v>672</v>
      </c>
      <c r="C82" s="140" t="e">
        <f>VLOOKUP(Q82,Data!$B:$E,3,FALSE)</f>
        <v>#N/A</v>
      </c>
      <c r="D82" s="109"/>
      <c r="E82" s="109"/>
      <c r="F82" s="109"/>
      <c r="G82" s="109"/>
      <c r="H82" s="109"/>
      <c r="I82" s="109"/>
      <c r="O82" s="77" t="s">
        <v>673</v>
      </c>
      <c r="P82" s="38" t="s">
        <v>672</v>
      </c>
      <c r="Q82" s="80" t="s">
        <v>674</v>
      </c>
    </row>
    <row r="83">
      <c r="A83" s="77" t="str">
        <f>Translation!A103</f>
        <v>BONIFICAÇÕES 1</v>
      </c>
      <c r="B83" s="38" t="s">
        <v>675</v>
      </c>
      <c r="C83" s="140" t="e">
        <f>VLOOKUP(Q83,Data!$B:$E,3,FALSE)</f>
        <v>#N/A</v>
      </c>
      <c r="D83" s="109"/>
      <c r="E83" s="109"/>
      <c r="F83" s="109"/>
      <c r="G83" s="109"/>
      <c r="H83" s="109"/>
      <c r="I83" s="109"/>
      <c r="O83" s="77" t="s">
        <v>676</v>
      </c>
      <c r="P83" s="38" t="s">
        <v>675</v>
      </c>
      <c r="Q83" s="80" t="s">
        <v>677</v>
      </c>
    </row>
    <row r="84">
      <c r="A84" s="77" t="str">
        <f>Translation!A104</f>
        <v>BONIFICAÇÕES 2</v>
      </c>
      <c r="B84" s="38" t="s">
        <v>678</v>
      </c>
      <c r="C84" s="140" t="e">
        <f>VLOOKUP(Q84,Data!$B:$E,3,FALSE)</f>
        <v>#N/A</v>
      </c>
      <c r="D84" s="109"/>
      <c r="E84" s="109"/>
      <c r="F84" s="109"/>
      <c r="G84" s="109"/>
      <c r="H84" s="109"/>
      <c r="I84" s="109"/>
      <c r="O84" s="77" t="s">
        <v>679</v>
      </c>
      <c r="P84" s="38" t="s">
        <v>678</v>
      </c>
      <c r="Q84" s="80" t="s">
        <v>680</v>
      </c>
    </row>
    <row r="85">
      <c r="A85" s="77" t="str">
        <f>Translation!A105</f>
        <v>COMISSÕES DIVERSAS</v>
      </c>
      <c r="B85" s="38" t="s">
        <v>681</v>
      </c>
      <c r="C85" s="140" t="e">
        <f>VLOOKUP(Q85,Data!$B:$E,3,FALSE)</f>
        <v>#N/A</v>
      </c>
      <c r="D85" s="109"/>
      <c r="E85" s="109"/>
      <c r="F85" s="109"/>
      <c r="G85" s="109"/>
      <c r="H85" s="109"/>
      <c r="I85" s="109"/>
      <c r="O85" s="77" t="s">
        <v>682</v>
      </c>
      <c r="P85" s="38" t="s">
        <v>681</v>
      </c>
      <c r="Q85" s="80" t="s">
        <v>683</v>
      </c>
    </row>
    <row r="86">
      <c r="A86" s="77" t="str">
        <f>Translation!A106</f>
        <v>OUTRAS RECEITAS</v>
      </c>
      <c r="B86" s="38" t="s">
        <v>684</v>
      </c>
      <c r="C86" s="140" t="e">
        <f>VLOOKUP(Q86,Data!$B:$E,3,FALSE)</f>
        <v>#N/A</v>
      </c>
      <c r="D86" s="109"/>
      <c r="E86" s="109"/>
      <c r="F86" s="109"/>
      <c r="G86" s="109"/>
      <c r="H86" s="109"/>
      <c r="I86" s="109"/>
      <c r="O86" s="77" t="s">
        <v>685</v>
      </c>
      <c r="P86" s="38" t="s">
        <v>684</v>
      </c>
      <c r="Q86" s="80" t="s">
        <v>686</v>
      </c>
    </row>
    <row r="87">
      <c r="A87" s="48" t="str">
        <f>Translation!A107</f>
        <v>TOTAL DE OUTRAS RECEITAS OPERACIONAIS</v>
      </c>
      <c r="B87" s="38" t="s">
        <v>687</v>
      </c>
      <c r="C87" s="141" t="e">
        <f>VLOOKUP(Q87,Data!$B:$E,3,FALSE)</f>
        <v>#N/A</v>
      </c>
      <c r="D87" s="109"/>
      <c r="E87" s="109"/>
      <c r="F87" s="109"/>
      <c r="G87" s="109"/>
      <c r="H87" s="109"/>
      <c r="I87" s="109"/>
      <c r="O87" s="48" t="s">
        <v>688</v>
      </c>
      <c r="P87" s="38" t="s">
        <v>687</v>
      </c>
      <c r="Q87" s="81" t="s">
        <v>689</v>
      </c>
    </row>
    <row r="88">
      <c r="A88" s="73" t="str">
        <f>Translation!A108</f>
        <v>DESPESAS VARIÁVEIS</v>
      </c>
      <c r="B88" s="38" t="str">
        <f>Translation!$G$32</f>
        <v>CONTA</v>
      </c>
      <c r="C88" s="121" t="str">
        <f>Translation!$G$1</f>
        <v>VALOR</v>
      </c>
      <c r="D88" s="109"/>
      <c r="E88" s="109"/>
      <c r="F88" s="109"/>
      <c r="G88" s="109"/>
      <c r="H88" s="109"/>
      <c r="I88" s="109"/>
      <c r="O88" s="73" t="s">
        <v>690</v>
      </c>
      <c r="P88" s="38" t="str">
        <f>Translation!$G$32</f>
        <v>CONTA</v>
      </c>
      <c r="Q88" s="79" t="str">
        <f>Translation!$G$1</f>
        <v>VALOR</v>
      </c>
    </row>
    <row r="89">
      <c r="A89" s="77" t="str">
        <f>Translation!A109</f>
        <v>COMISSÕES SOBRE VENDAS</v>
      </c>
      <c r="B89" s="38" t="s">
        <v>691</v>
      </c>
      <c r="C89" s="140" t="e">
        <f>VLOOKUP(Q89,Data!$B:$E,3,FALSE)</f>
        <v>#N/A</v>
      </c>
      <c r="D89" s="109"/>
      <c r="E89" s="109"/>
      <c r="F89" s="109"/>
      <c r="G89" s="109"/>
      <c r="H89" s="109"/>
      <c r="I89" s="109"/>
      <c r="O89" s="77" t="s">
        <v>692</v>
      </c>
      <c r="P89" s="38" t="s">
        <v>691</v>
      </c>
      <c r="Q89" s="80" t="s">
        <v>693</v>
      </c>
    </row>
    <row r="90">
      <c r="A90" s="77" t="str">
        <f>Translation!A110</f>
        <v>ENCARGOS SOBRE COMISSÕES (-)</v>
      </c>
      <c r="B90" s="38" t="s">
        <v>694</v>
      </c>
      <c r="C90" s="140" t="e">
        <f>VLOOKUP(Q90,Data!$B:$E,3,FALSE)</f>
        <v>#N/A</v>
      </c>
      <c r="D90" s="109"/>
      <c r="E90" s="109"/>
      <c r="F90" s="109"/>
      <c r="G90" s="109"/>
      <c r="H90" s="109"/>
      <c r="I90" s="109"/>
      <c r="O90" s="77" t="s">
        <v>695</v>
      </c>
      <c r="P90" s="38" t="s">
        <v>694</v>
      </c>
      <c r="Q90" s="80" t="s">
        <v>696</v>
      </c>
    </row>
    <row r="91">
      <c r="A91" s="77" t="str">
        <f>Translation!A111</f>
        <v>OUTRAS DESPESAS</v>
      </c>
      <c r="B91" s="38" t="s">
        <v>697</v>
      </c>
      <c r="C91" s="140" t="e">
        <f>VLOOKUP(Q91,Data!$B:$E,3,FALSE)</f>
        <v>#N/A</v>
      </c>
      <c r="D91" s="109"/>
      <c r="E91" s="109"/>
      <c r="F91" s="109"/>
      <c r="G91" s="109"/>
      <c r="H91" s="109"/>
      <c r="I91" s="109"/>
      <c r="O91" s="77" t="s">
        <v>698</v>
      </c>
      <c r="P91" s="38" t="s">
        <v>697</v>
      </c>
      <c r="Q91" s="80" t="s">
        <v>699</v>
      </c>
    </row>
    <row r="92">
      <c r="A92" s="48" t="str">
        <f>Translation!A112</f>
        <v>TOTAL DE DESPESAS VARIÁVEIS</v>
      </c>
      <c r="B92" s="38" t="s">
        <v>700</v>
      </c>
      <c r="C92" s="141" t="e">
        <f>VLOOKUP(Q92,Data!$B:$E,3,FALSE)</f>
        <v>#N/A</v>
      </c>
      <c r="D92" s="109"/>
      <c r="E92" s="109"/>
      <c r="F92" s="109"/>
      <c r="G92" s="109"/>
      <c r="H92" s="109"/>
      <c r="I92" s="109"/>
      <c r="O92" s="48" t="s">
        <v>701</v>
      </c>
      <c r="P92" s="38" t="s">
        <v>700</v>
      </c>
      <c r="Q92" s="81" t="s">
        <v>702</v>
      </c>
    </row>
    <row r="93">
      <c r="A93" s="27" t="str">
        <f>Translation!A113</f>
        <v>MARGEM DE CONTRIBUIÇÃO</v>
      </c>
      <c r="B93" s="38" t="str">
        <f>Translation!$G$32</f>
        <v>CONTA</v>
      </c>
      <c r="C93" s="121" t="str">
        <f>Translation!$G$1</f>
        <v>VALOR</v>
      </c>
      <c r="D93" s="109"/>
      <c r="E93" s="109"/>
      <c r="F93" s="109"/>
      <c r="G93" s="109"/>
      <c r="H93" s="109"/>
      <c r="I93" s="109"/>
      <c r="O93" s="27" t="s">
        <v>703</v>
      </c>
      <c r="P93" s="38" t="str">
        <f>Translation!$G$32</f>
        <v>CONTA</v>
      </c>
      <c r="Q93" s="79" t="str">
        <f>Translation!$G$1</f>
        <v>VALOR</v>
      </c>
    </row>
    <row r="94">
      <c r="A94" s="48" t="str">
        <f>Translation!A114</f>
        <v>MARGEM DE CONTRIBUIÇÃO</v>
      </c>
      <c r="B94" s="38" t="s">
        <v>704</v>
      </c>
      <c r="C94" s="141" t="e">
        <f>VLOOKUP(Q94,Data!$B:$E,3,FALSE)</f>
        <v>#N/A</v>
      </c>
      <c r="D94" s="109"/>
      <c r="E94" s="109"/>
      <c r="F94" s="109"/>
      <c r="G94" s="109"/>
      <c r="H94" s="109"/>
      <c r="I94" s="109"/>
      <c r="O94" s="48" t="s">
        <v>703</v>
      </c>
      <c r="P94" s="38" t="s">
        <v>704</v>
      </c>
      <c r="Q94" s="81" t="s">
        <v>705</v>
      </c>
    </row>
    <row r="95">
      <c r="A95" s="27" t="str">
        <f>Translation!A115</f>
        <v>DESPESAS</v>
      </c>
      <c r="B95" s="38" t="str">
        <f>Translation!$G$32</f>
        <v>CONTA</v>
      </c>
      <c r="C95" s="121" t="str">
        <f>Translation!$G$1</f>
        <v>VALOR</v>
      </c>
      <c r="D95" s="109"/>
      <c r="E95" s="109"/>
      <c r="F95" s="109"/>
      <c r="G95" s="109"/>
      <c r="H95" s="109"/>
      <c r="I95" s="109"/>
      <c r="O95" s="27" t="s">
        <v>706</v>
      </c>
      <c r="P95" s="38" t="str">
        <f>Translation!$G$32</f>
        <v>CONTA</v>
      </c>
      <c r="Q95" s="79" t="str">
        <f>Translation!$G$1</f>
        <v>VALOR</v>
      </c>
    </row>
    <row r="96">
      <c r="A96" s="48" t="str">
        <f>Translation!A116</f>
        <v>TOTAL DE DESPESAS COM PESSOAL (A)</v>
      </c>
      <c r="B96" s="39" t="s">
        <v>707</v>
      </c>
      <c r="C96" s="141" t="e">
        <f>VLOOKUP(Q96,Data!$B:$E,3,FALSE)</f>
        <v>#N/A</v>
      </c>
      <c r="D96" s="109"/>
      <c r="E96" s="109"/>
      <c r="F96" s="109"/>
      <c r="G96" s="109"/>
      <c r="H96" s="109"/>
      <c r="I96" s="109"/>
      <c r="O96" s="48" t="s">
        <v>708</v>
      </c>
      <c r="P96" s="39" t="s">
        <v>707</v>
      </c>
      <c r="Q96" s="81" t="s">
        <v>709</v>
      </c>
    </row>
    <row r="97">
      <c r="A97" s="48" t="str">
        <f>Translation!A117</f>
        <v>TOTAL DE DESPESAS COM ESTRUTURA - IMÓVEIS (B)</v>
      </c>
      <c r="B97" s="39" t="s">
        <v>710</v>
      </c>
      <c r="C97" s="141" t="e">
        <f>VLOOKUP(Q97,Data!$B:$E,3,FALSE)</f>
        <v>#N/A</v>
      </c>
      <c r="D97" s="109"/>
      <c r="E97" s="109"/>
      <c r="F97" s="109"/>
      <c r="G97" s="109"/>
      <c r="H97" s="109"/>
      <c r="I97" s="109"/>
      <c r="O97" s="48" t="s">
        <v>711</v>
      </c>
      <c r="P97" s="39" t="s">
        <v>710</v>
      </c>
      <c r="Q97" s="81" t="s">
        <v>712</v>
      </c>
    </row>
    <row r="98">
      <c r="A98" s="48" t="str">
        <f>Translation!A118</f>
        <v>TOTAL DE DESPESAS GERAIS (C)</v>
      </c>
      <c r="B98" s="39" t="s">
        <v>713</v>
      </c>
      <c r="C98" s="141" t="e">
        <f>VLOOKUP(Q98,Data!$B:$E,3,FALSE)</f>
        <v>#N/A</v>
      </c>
      <c r="D98" s="109"/>
      <c r="E98" s="109"/>
      <c r="F98" s="109"/>
      <c r="G98" s="109"/>
      <c r="H98" s="109"/>
      <c r="I98" s="109"/>
      <c r="O98" s="48" t="s">
        <v>714</v>
      </c>
      <c r="P98" s="39" t="s">
        <v>713</v>
      </c>
      <c r="Q98" s="81" t="s">
        <v>715</v>
      </c>
    </row>
    <row r="99">
      <c r="A99" s="48" t="str">
        <f>Translation!A119</f>
        <v>TOTAL DE DESPESAS FIXAS (A+B+C)</v>
      </c>
      <c r="B99" s="39" t="s">
        <v>716</v>
      </c>
      <c r="C99" s="141" t="e">
        <f>VLOOKUP(Q99,Data!$B:$E,3,FALSE)</f>
        <v>#N/A</v>
      </c>
      <c r="D99" s="109"/>
      <c r="E99" s="109"/>
      <c r="F99" s="109"/>
      <c r="G99" s="109"/>
      <c r="H99" s="109"/>
      <c r="I99" s="109"/>
      <c r="O99" s="48" t="s">
        <v>717</v>
      </c>
      <c r="P99" s="39" t="s">
        <v>716</v>
      </c>
      <c r="Q99" s="81" t="s">
        <v>718</v>
      </c>
    </row>
    <row r="100">
      <c r="A100" s="28" t="str">
        <f>Translation!A120</f>
        <v>LUCRO / PREJUÍZO OPERACIONAL</v>
      </c>
      <c r="B100" s="38" t="str">
        <f>Translation!$G$32</f>
        <v>CONTA</v>
      </c>
      <c r="C100" s="121" t="str">
        <f>Translation!$G$1</f>
        <v>VALOR</v>
      </c>
      <c r="D100" s="109"/>
      <c r="E100" s="109"/>
      <c r="F100" s="109"/>
      <c r="G100" s="109"/>
      <c r="H100" s="109"/>
      <c r="I100" s="109"/>
      <c r="O100" s="28" t="s">
        <v>719</v>
      </c>
      <c r="P100" s="38" t="str">
        <f>Translation!$G$32</f>
        <v>CONTA</v>
      </c>
      <c r="Q100" s="79" t="str">
        <f>Translation!$G$1</f>
        <v>VALOR</v>
      </c>
    </row>
    <row r="101">
      <c r="A101" s="48" t="str">
        <f>Translation!A121</f>
        <v>LUCRO / PREJUÍZO OPERACIONAL</v>
      </c>
      <c r="B101" s="38" t="s">
        <v>720</v>
      </c>
      <c r="C101" s="141" t="e">
        <f>VLOOKUP(Q101,Data!$B:$E,3,FALSE)</f>
        <v>#N/A</v>
      </c>
      <c r="D101" s="109"/>
      <c r="E101" s="109"/>
      <c r="F101" s="109"/>
      <c r="G101" s="109"/>
      <c r="H101" s="109"/>
      <c r="I101" s="109"/>
      <c r="O101" s="48" t="s">
        <v>719</v>
      </c>
      <c r="P101" s="38" t="s">
        <v>720</v>
      </c>
      <c r="Q101" s="81" t="s">
        <v>721</v>
      </c>
    </row>
    <row r="102">
      <c r="A102" s="28" t="str">
        <f>Translation!A122</f>
        <v>DESPESAS / RECEITAS NÃO-OPERACIONAIS E FINANCEIRAS </v>
      </c>
      <c r="B102" s="38" t="str">
        <f>Translation!$G$32</f>
        <v>CONTA</v>
      </c>
      <c r="C102" s="121" t="str">
        <f>Translation!$G$1</f>
        <v>VALOR</v>
      </c>
      <c r="D102" s="109"/>
      <c r="E102" s="109"/>
      <c r="F102" s="109"/>
      <c r="G102" s="109"/>
      <c r="H102" s="109"/>
      <c r="I102" s="109"/>
      <c r="O102" s="28" t="s">
        <v>722</v>
      </c>
      <c r="P102" s="38" t="str">
        <f>Translation!$G$32</f>
        <v>CONTA</v>
      </c>
      <c r="Q102" s="79" t="str">
        <f>Translation!$G$1</f>
        <v>VALOR</v>
      </c>
    </row>
    <row r="103">
      <c r="A103" s="31" t="str">
        <f>Translation!A123</f>
        <v>TOTAL DE DESPESAS NÃO-OPERACIONAIS</v>
      </c>
      <c r="B103" s="38" t="s">
        <v>723</v>
      </c>
      <c r="C103" s="141" t="e">
        <f>VLOOKUP(Q103,Data!$B:$E,3,FALSE)</f>
        <v>#N/A</v>
      </c>
      <c r="D103" s="109"/>
      <c r="E103" s="109"/>
      <c r="F103" s="109"/>
      <c r="G103" s="109"/>
      <c r="H103" s="109"/>
      <c r="I103" s="109"/>
      <c r="O103" s="48" t="s">
        <v>724</v>
      </c>
      <c r="P103" s="38" t="s">
        <v>723</v>
      </c>
      <c r="Q103" s="81" t="s">
        <v>725</v>
      </c>
    </row>
    <row r="104">
      <c r="A104" s="31" t="str">
        <f>Translation!A124</f>
        <v>TOTAL DE DESPESAS FINANCEIRAS</v>
      </c>
      <c r="B104" s="38" t="s">
        <v>726</v>
      </c>
      <c r="C104" s="141" t="e">
        <f>VLOOKUP(Q104,Data!$B:$E,3,FALSE)</f>
        <v>#N/A</v>
      </c>
      <c r="D104" s="109"/>
      <c r="E104" s="109"/>
      <c r="F104" s="109"/>
      <c r="G104" s="109"/>
      <c r="H104" s="109"/>
      <c r="I104" s="109"/>
      <c r="O104" s="48" t="s">
        <v>727</v>
      </c>
      <c r="P104" s="38" t="s">
        <v>726</v>
      </c>
      <c r="Q104" s="81" t="s">
        <v>728</v>
      </c>
    </row>
    <row r="105">
      <c r="A105" s="31" t="str">
        <f>Translation!A125</f>
        <v>TOTAL DE RECEITAS NÃO-OPERACIONAIS</v>
      </c>
      <c r="B105" s="38" t="s">
        <v>729</v>
      </c>
      <c r="C105" s="141" t="e">
        <f>VLOOKUP(Q105,Data!$B:$E,3,FALSE)</f>
        <v>#N/A</v>
      </c>
      <c r="D105" s="109"/>
      <c r="E105" s="109"/>
      <c r="F105" s="109"/>
      <c r="G105" s="109"/>
      <c r="H105" s="109"/>
      <c r="I105" s="109"/>
      <c r="O105" s="48" t="s">
        <v>730</v>
      </c>
      <c r="P105" s="38" t="s">
        <v>729</v>
      </c>
      <c r="Q105" s="81" t="s">
        <v>731</v>
      </c>
    </row>
    <row r="106">
      <c r="A106" s="31" t="str">
        <f>Translation!A126</f>
        <v>TOTAL DE RECEITAS FINANCEIRAS</v>
      </c>
      <c r="B106" s="38" t="s">
        <v>732</v>
      </c>
      <c r="C106" s="141" t="e">
        <f>VLOOKUP(Q106,Data!$B:$E,3,FALSE)</f>
        <v>#N/A</v>
      </c>
      <c r="D106" s="109"/>
      <c r="E106" s="109"/>
      <c r="F106" s="109"/>
      <c r="G106" s="109"/>
      <c r="H106" s="109"/>
      <c r="I106" s="109"/>
      <c r="O106" s="48" t="s">
        <v>733</v>
      </c>
      <c r="P106" s="38" t="s">
        <v>732</v>
      </c>
      <c r="Q106" s="81" t="s">
        <v>734</v>
      </c>
    </row>
    <row r="107">
      <c r="A107" s="27" t="str">
        <f>Translation!A127</f>
        <v>FLOOR PLAN</v>
      </c>
      <c r="B107" s="38" t="str">
        <f>Translation!$G$32</f>
        <v>CONTA</v>
      </c>
      <c r="C107" s="121" t="str">
        <f>Translation!$G$1</f>
        <v>VALOR</v>
      </c>
      <c r="D107" s="109"/>
      <c r="E107" s="109"/>
      <c r="F107" s="109"/>
      <c r="G107" s="109"/>
      <c r="H107" s="109"/>
      <c r="I107" s="109"/>
      <c r="O107" s="27" t="s">
        <v>735</v>
      </c>
      <c r="P107" s="38" t="str">
        <f>Translation!$G$32</f>
        <v>CONTA</v>
      </c>
      <c r="Q107" s="79" t="str">
        <f>Translation!$G$1</f>
        <v>VALOR</v>
      </c>
    </row>
    <row r="108">
      <c r="A108" s="29" t="str">
        <f>Translation!A128</f>
        <v>IOF </v>
      </c>
      <c r="B108" s="38" t="s">
        <v>736</v>
      </c>
      <c r="C108" s="140" t="e">
        <f>VLOOKUP(Q108,Data!$B:$E,3,FALSE)</f>
        <v>#N/A</v>
      </c>
      <c r="D108" s="109"/>
      <c r="E108" s="109"/>
      <c r="F108" s="109"/>
      <c r="G108" s="109"/>
      <c r="H108" s="109"/>
      <c r="I108" s="109"/>
      <c r="O108" s="29" t="s">
        <v>737</v>
      </c>
      <c r="P108" s="38" t="s">
        <v>736</v>
      </c>
      <c r="Q108" s="80" t="s">
        <v>738</v>
      </c>
    </row>
    <row r="109">
      <c r="A109" s="29" t="str">
        <f>Translation!A129</f>
        <v>JUROS CONTRATUAIS</v>
      </c>
      <c r="B109" s="38" t="s">
        <v>739</v>
      </c>
      <c r="C109" s="140" t="e">
        <f>VLOOKUP(Q109,Data!$B:$E,3,FALSE)</f>
        <v>#N/A</v>
      </c>
      <c r="D109" s="109"/>
      <c r="E109" s="109"/>
      <c r="F109" s="109"/>
      <c r="G109" s="109"/>
      <c r="H109" s="109"/>
      <c r="I109" s="109"/>
      <c r="O109" s="29" t="s">
        <v>740</v>
      </c>
      <c r="P109" s="38" t="s">
        <v>739</v>
      </c>
      <c r="Q109" s="80" t="s">
        <v>741</v>
      </c>
    </row>
    <row r="110">
      <c r="A110" s="29" t="str">
        <f>Translation!A130</f>
        <v>JUROS DE MORA</v>
      </c>
      <c r="B110" s="38" t="s">
        <v>742</v>
      </c>
      <c r="C110" s="140" t="e">
        <f>VLOOKUP(Q110,Data!$B:$E,3,FALSE)</f>
        <v>#N/A</v>
      </c>
      <c r="D110" s="109"/>
      <c r="E110" s="109"/>
      <c r="F110" s="109"/>
      <c r="G110" s="109"/>
      <c r="H110" s="109"/>
      <c r="I110" s="109"/>
      <c r="O110" s="29" t="s">
        <v>743</v>
      </c>
      <c r="P110" s="38" t="s">
        <v>742</v>
      </c>
      <c r="Q110" s="80" t="s">
        <v>744</v>
      </c>
    </row>
    <row r="111">
      <c r="A111" s="48" t="str">
        <f>Translation!A131</f>
        <v>TOTAL DE DESPESAS DE FLOOR PLAN</v>
      </c>
      <c r="B111" s="38" t="s">
        <v>745</v>
      </c>
      <c r="C111" s="141" t="e">
        <f>VLOOKUP(Q111,Data!$B:$E,3,FALSE)</f>
        <v>#N/A</v>
      </c>
      <c r="D111" s="109"/>
      <c r="E111" s="109"/>
      <c r="F111" s="109"/>
      <c r="G111" s="109"/>
      <c r="H111" s="109"/>
      <c r="I111" s="109"/>
      <c r="O111" s="48" t="s">
        <v>746</v>
      </c>
      <c r="P111" s="38" t="s">
        <v>745</v>
      </c>
      <c r="Q111" s="81" t="s">
        <v>747</v>
      </c>
    </row>
    <row r="112">
      <c r="A112" s="27" t="str">
        <f>Translation!A132</f>
        <v>RESULTADO DEPARTAMENTAL</v>
      </c>
      <c r="B112" s="38" t="str">
        <f>Translation!$G$32</f>
        <v>CONTA</v>
      </c>
      <c r="C112" s="121" t="str">
        <f>Translation!$G$1</f>
        <v>VALOR</v>
      </c>
      <c r="D112" s="109"/>
      <c r="E112" s="109"/>
      <c r="F112" s="109"/>
      <c r="G112" s="109"/>
      <c r="H112" s="109"/>
      <c r="I112" s="109"/>
      <c r="O112" s="27" t="s">
        <v>748</v>
      </c>
      <c r="P112" s="38" t="str">
        <f>Translation!$G$32</f>
        <v>CONTA</v>
      </c>
      <c r="Q112" s="79" t="str">
        <f>Translation!$G$1</f>
        <v>VALOR</v>
      </c>
    </row>
    <row r="113">
      <c r="A113" s="48" t="str">
        <f>Translation!A133</f>
        <v>RESULTADO DO DEPARTAMENTO DE NOVOS</v>
      </c>
      <c r="B113" s="38" t="s">
        <v>749</v>
      </c>
      <c r="C113" s="141" t="e">
        <f>VLOOKUP(Q113,Data!$B:$E,3,FALSE)</f>
        <v>#N/A</v>
      </c>
      <c r="D113" s="109"/>
      <c r="E113" s="109"/>
      <c r="F113" s="109"/>
      <c r="G113" s="109"/>
      <c r="H113" s="109"/>
      <c r="I113" s="109"/>
      <c r="O113" s="48" t="s">
        <v>750</v>
      </c>
      <c r="P113" s="38" t="s">
        <v>749</v>
      </c>
      <c r="Q113" s="81" t="s">
        <v>751</v>
      </c>
    </row>
    <row r="114">
      <c r="A114" s="27" t="str">
        <f>Translation!A134</f>
        <v>ESTOQUE - LINHA SCOOTER &lt;200 cc</v>
      </c>
      <c r="B114" s="38" t="str">
        <f>Translation!$G$32</f>
        <v>CONTA</v>
      </c>
      <c r="C114" s="121" t="str">
        <f>Translation!$G$30</f>
        <v>ESTOQUE FINAL</v>
      </c>
      <c r="D114" s="109"/>
      <c r="E114" s="109"/>
      <c r="F114" s="109"/>
      <c r="G114" s="109"/>
      <c r="H114" s="109"/>
      <c r="I114" s="109"/>
      <c r="O114" s="27" t="s">
        <v>752</v>
      </c>
      <c r="P114" s="38" t="str">
        <f>Translation!$G$32</f>
        <v>CONTA</v>
      </c>
      <c r="Q114" s="79" t="str">
        <f>Translation!$G$30</f>
        <v>ESTOQUE FINAL</v>
      </c>
    </row>
    <row r="115">
      <c r="A115" s="29" t="str">
        <f>Translation!A135</f>
        <v>NEO 125</v>
      </c>
      <c r="B115" s="38" t="s">
        <v>753</v>
      </c>
      <c r="C115" s="110" t="e">
        <f>VLOOKUP(Q115,Data!$B:$E,3,FALSE)</f>
        <v>#N/A</v>
      </c>
      <c r="D115" s="109"/>
      <c r="E115" s="109"/>
      <c r="F115" s="109"/>
      <c r="G115" s="109"/>
      <c r="H115" s="109"/>
      <c r="I115" s="109"/>
      <c r="O115" s="29" t="s">
        <v>11</v>
      </c>
      <c r="P115" s="38" t="s">
        <v>753</v>
      </c>
      <c r="Q115" s="80" t="s">
        <v>754</v>
      </c>
    </row>
    <row r="116">
      <c r="A116" s="29" t="str">
        <f>Translation!A136</f>
        <v>NMAX 160 ABS</v>
      </c>
      <c r="B116" s="38" t="s">
        <v>755</v>
      </c>
      <c r="C116" s="110" t="e">
        <f>VLOOKUP(Q116,Data!$B:$E,3,FALSE)</f>
        <v>#N/A</v>
      </c>
      <c r="D116" s="109"/>
      <c r="E116" s="109"/>
      <c r="F116" s="109"/>
      <c r="G116" s="109"/>
      <c r="H116" s="109"/>
      <c r="I116" s="109"/>
      <c r="O116" s="29" t="s">
        <v>21</v>
      </c>
      <c r="P116" s="38" t="s">
        <v>755</v>
      </c>
      <c r="Q116" s="80" t="s">
        <v>756</v>
      </c>
    </row>
    <row r="117">
      <c r="A117" s="27" t="str">
        <f>Translation!A137</f>
        <v>ESTOQUE - LINHA SCOOTER &gt;200 cc</v>
      </c>
      <c r="B117" s="38" t="str">
        <f>Translation!$G$32</f>
        <v>CONTA</v>
      </c>
      <c r="C117" s="121" t="str">
        <f>Translation!$G$30</f>
        <v>ESTOQUE FINAL</v>
      </c>
      <c r="D117" s="109"/>
      <c r="E117" s="109"/>
      <c r="F117" s="109"/>
      <c r="G117" s="109"/>
      <c r="H117" s="109"/>
      <c r="I117" s="109"/>
      <c r="O117" s="27" t="s">
        <v>757</v>
      </c>
      <c r="P117" s="38" t="str">
        <f>Translation!$G$32</f>
        <v>CONTA</v>
      </c>
      <c r="Q117" s="79" t="str">
        <f>Translation!$G$30</f>
        <v>ESTOQUE FINAL</v>
      </c>
    </row>
    <row r="118">
      <c r="A118" s="29" t="str">
        <f>Translation!A138</f>
        <v>TMAX 530</v>
      </c>
      <c r="B118" s="38" t="s">
        <v>758</v>
      </c>
      <c r="C118" s="110" t="e">
        <f>VLOOKUP(Q118,Data!$B:$E,3,FALSE)</f>
        <v>#N/A</v>
      </c>
      <c r="D118" s="109"/>
      <c r="E118" s="109"/>
      <c r="F118" s="109"/>
      <c r="G118" s="109"/>
      <c r="H118" s="109"/>
      <c r="I118" s="109"/>
      <c r="O118" s="29" t="s">
        <v>32</v>
      </c>
      <c r="P118" s="38" t="s">
        <v>758</v>
      </c>
      <c r="Q118" s="80" t="s">
        <v>759</v>
      </c>
    </row>
    <row r="119">
      <c r="A119" s="146" t="s">
        <v>41</v>
      </c>
      <c r="B119" s="142" t="s">
        <v>760</v>
      </c>
      <c r="C119" s="110" t="e">
        <f>VLOOKUP(Q119,Data!$B:$E,4,FALSE)</f>
        <v>#N/A</v>
      </c>
      <c r="D119" s="109"/>
      <c r="E119" s="109"/>
      <c r="F119" s="109"/>
      <c r="G119" s="109"/>
      <c r="H119" s="109"/>
      <c r="I119" s="109"/>
      <c r="O119" s="29" t="s">
        <v>41</v>
      </c>
      <c r="P119" s="38" t="s">
        <v>760</v>
      </c>
      <c r="Q119" s="80" t="s">
        <v>761</v>
      </c>
    </row>
    <row r="120">
      <c r="A120" s="146" t="s">
        <v>51</v>
      </c>
      <c r="B120" s="142" t="s">
        <v>762</v>
      </c>
      <c r="C120" s="110" t="e">
        <f>VLOOKUP(Q120,Data!$B:$E,4,FALSE)</f>
        <v>#N/A</v>
      </c>
      <c r="D120" s="109"/>
      <c r="E120" s="109"/>
      <c r="F120" s="109"/>
      <c r="G120" s="109"/>
      <c r="H120" s="109"/>
      <c r="I120" s="109"/>
      <c r="O120" s="29" t="s">
        <v>51</v>
      </c>
      <c r="P120" s="38" t="s">
        <v>762</v>
      </c>
      <c r="Q120" s="80" t="s">
        <v>763</v>
      </c>
    </row>
    <row r="121">
      <c r="A121" s="27" t="str">
        <f>Translation!A139</f>
        <v>ESTOQUE - LINHA OFF ROAD</v>
      </c>
      <c r="B121" s="38" t="str">
        <f>Translation!$G$32</f>
        <v>CONTA</v>
      </c>
      <c r="C121" s="121" t="str">
        <f>Translation!$G$30</f>
        <v>ESTOQUE FINAL</v>
      </c>
      <c r="D121" s="109"/>
      <c r="E121" s="109"/>
      <c r="F121" s="109"/>
      <c r="G121" s="109"/>
      <c r="H121" s="109"/>
      <c r="I121" s="109"/>
      <c r="O121" s="27" t="s">
        <v>764</v>
      </c>
      <c r="P121" s="38" t="str">
        <f>Translation!$G$32</f>
        <v>CONTA</v>
      </c>
      <c r="Q121" s="79" t="str">
        <f>Translation!$G$30</f>
        <v>ESTOQUE FINAL</v>
      </c>
    </row>
    <row r="122">
      <c r="A122" s="29" t="str">
        <f>Translation!A140</f>
        <v>TTR 230 </v>
      </c>
      <c r="B122" s="142" t="s">
        <v>765</v>
      </c>
      <c r="C122" s="110" t="e">
        <f>VLOOKUP(Q122,Data!$B:$E,3,FALSE)</f>
        <v>#N/A</v>
      </c>
      <c r="D122" s="109"/>
      <c r="E122" s="109"/>
      <c r="F122" s="109"/>
      <c r="G122" s="109"/>
      <c r="H122" s="109"/>
      <c r="I122" s="109"/>
      <c r="O122" s="29" t="s">
        <v>73</v>
      </c>
      <c r="P122" s="142" t="s">
        <v>765</v>
      </c>
      <c r="Q122" s="80" t="s">
        <v>766</v>
      </c>
    </row>
    <row r="123">
      <c r="A123" s="29" t="str">
        <f>Translation!A141</f>
        <v>YZ 85LW</v>
      </c>
      <c r="B123" s="142" t="s">
        <v>767</v>
      </c>
      <c r="C123" s="110" t="e">
        <f>VLOOKUP(Q123,Data!$B:$E,3,FALSE)</f>
        <v>#N/A</v>
      </c>
      <c r="D123" s="109"/>
      <c r="E123" s="109"/>
      <c r="F123" s="109"/>
      <c r="G123" s="109"/>
      <c r="H123" s="109"/>
      <c r="I123" s="109"/>
      <c r="O123" s="29" t="s">
        <v>82</v>
      </c>
      <c r="P123" s="142" t="s">
        <v>767</v>
      </c>
      <c r="Q123" s="80" t="s">
        <v>768</v>
      </c>
    </row>
    <row r="124">
      <c r="A124" s="29" t="str">
        <f>Translation!A142</f>
        <v>YZ 250</v>
      </c>
      <c r="B124" s="142" t="s">
        <v>769</v>
      </c>
      <c r="C124" s="110" t="e">
        <f>VLOOKUP(Q124,Data!$B:$E,3,FALSE)</f>
        <v>#N/A</v>
      </c>
      <c r="D124" s="109"/>
      <c r="E124" s="109"/>
      <c r="F124" s="109"/>
      <c r="G124" s="109"/>
      <c r="H124" s="109"/>
      <c r="I124" s="109"/>
      <c r="O124" s="29" t="s">
        <v>93</v>
      </c>
      <c r="P124" s="142" t="s">
        <v>769</v>
      </c>
      <c r="Q124" s="80" t="s">
        <v>770</v>
      </c>
    </row>
    <row r="125">
      <c r="A125" s="29" t="str">
        <f>Translation!A143</f>
        <v>YZ 250F</v>
      </c>
      <c r="B125" s="142" t="s">
        <v>771</v>
      </c>
      <c r="C125" s="110" t="e">
        <f>VLOOKUP(Q125,Data!$B:$E,3,FALSE)</f>
        <v>#N/A</v>
      </c>
      <c r="D125" s="109"/>
      <c r="E125" s="109"/>
      <c r="F125" s="109"/>
      <c r="G125" s="109"/>
      <c r="H125" s="109"/>
      <c r="I125" s="109"/>
      <c r="O125" s="29" t="s">
        <v>103</v>
      </c>
      <c r="P125" s="142" t="s">
        <v>771</v>
      </c>
      <c r="Q125" s="80" t="s">
        <v>772</v>
      </c>
    </row>
    <row r="126">
      <c r="A126" s="29" t="str">
        <f>Translation!A144</f>
        <v>YZ 250FX</v>
      </c>
      <c r="B126" s="142" t="s">
        <v>773</v>
      </c>
      <c r="C126" s="110" t="e">
        <f>VLOOKUP(Q126,Data!$B:$E,3,FALSE)</f>
        <v>#N/A</v>
      </c>
      <c r="D126" s="109"/>
      <c r="E126" s="109"/>
      <c r="F126" s="109"/>
      <c r="G126" s="109"/>
      <c r="H126" s="109"/>
      <c r="I126" s="109"/>
      <c r="O126" s="29" t="s">
        <v>113</v>
      </c>
      <c r="P126" s="142" t="s">
        <v>773</v>
      </c>
      <c r="Q126" s="80" t="s">
        <v>774</v>
      </c>
    </row>
    <row r="127">
      <c r="A127" s="29" t="str">
        <f>Translation!A145</f>
        <v>YZ 250X </v>
      </c>
      <c r="B127" s="142" t="s">
        <v>775</v>
      </c>
      <c r="C127" s="110" t="e">
        <f>VLOOKUP(Q127,Data!$B:$E,3,FALSE)</f>
        <v>#N/A</v>
      </c>
      <c r="D127" s="109"/>
      <c r="E127" s="109"/>
      <c r="F127" s="109"/>
      <c r="G127" s="109"/>
      <c r="H127" s="109"/>
      <c r="I127" s="109"/>
      <c r="O127" s="29" t="s">
        <v>776</v>
      </c>
      <c r="P127" s="142" t="s">
        <v>775</v>
      </c>
      <c r="Q127" s="80" t="s">
        <v>777</v>
      </c>
    </row>
    <row r="128">
      <c r="A128" s="29" t="str">
        <f>Translation!A146</f>
        <v>YZ 450F</v>
      </c>
      <c r="B128" s="142" t="s">
        <v>778</v>
      </c>
      <c r="C128" s="110" t="e">
        <f>VLOOKUP(Q128,Data!$B:$E,3,FALSE)</f>
        <v>#N/A</v>
      </c>
      <c r="D128" s="109"/>
      <c r="E128" s="109"/>
      <c r="F128" s="109"/>
      <c r="G128" s="109"/>
      <c r="H128" s="109"/>
      <c r="I128" s="109"/>
      <c r="O128" s="29" t="s">
        <v>133</v>
      </c>
      <c r="P128" s="142" t="s">
        <v>778</v>
      </c>
      <c r="Q128" s="80" t="s">
        <v>779</v>
      </c>
    </row>
    <row r="129">
      <c r="A129" s="29" t="str">
        <f>Translation!A147</f>
        <v>YZ 450FX</v>
      </c>
      <c r="B129" s="142" t="s">
        <v>780</v>
      </c>
      <c r="C129" s="110" t="e">
        <f>VLOOKUP(Q129,Data!$B:$E,3,FALSE)</f>
        <v>#N/A</v>
      </c>
      <c r="D129" s="109"/>
      <c r="E129" s="109"/>
      <c r="F129" s="109"/>
      <c r="G129" s="109"/>
      <c r="H129" s="109"/>
      <c r="I129" s="109"/>
      <c r="O129" s="29" t="s">
        <v>781</v>
      </c>
      <c r="P129" s="142" t="s">
        <v>780</v>
      </c>
      <c r="Q129" s="80" t="s">
        <v>782</v>
      </c>
    </row>
    <row r="130">
      <c r="A130" s="29" t="str">
        <f>Translation!A148</f>
        <v>WR 250F</v>
      </c>
      <c r="B130" s="142" t="s">
        <v>783</v>
      </c>
      <c r="C130" s="110" t="e">
        <f>VLOOKUP(Q130,Data!$B:$E,3,FALSE)</f>
        <v>#N/A</v>
      </c>
      <c r="D130" s="109"/>
      <c r="E130" s="109"/>
      <c r="F130" s="109"/>
      <c r="G130" s="109"/>
      <c r="H130" s="109"/>
      <c r="I130" s="109"/>
      <c r="O130" s="29" t="s">
        <v>153</v>
      </c>
      <c r="P130" s="142" t="s">
        <v>783</v>
      </c>
      <c r="Q130" s="80" t="s">
        <v>784</v>
      </c>
    </row>
    <row r="131">
      <c r="A131" s="29" t="str">
        <f>Translation!A149</f>
        <v>WR 450F</v>
      </c>
      <c r="B131" s="142" t="s">
        <v>785</v>
      </c>
      <c r="C131" s="110" t="e">
        <f>VLOOKUP(Q131,Data!$B:$E,3,FALSE)</f>
        <v>#N/A</v>
      </c>
      <c r="D131" s="109"/>
      <c r="E131" s="109"/>
      <c r="F131" s="109"/>
      <c r="G131" s="109"/>
      <c r="H131" s="109"/>
      <c r="I131" s="109"/>
      <c r="O131" s="29" t="s">
        <v>162</v>
      </c>
      <c r="P131" s="142" t="s">
        <v>785</v>
      </c>
      <c r="Q131" s="80" t="s">
        <v>786</v>
      </c>
    </row>
    <row r="132">
      <c r="A132" s="27" t="str">
        <f>Translation!A150</f>
        <v>ESTOQUE - LINHA 125 cc</v>
      </c>
      <c r="B132" s="38" t="str">
        <f>Translation!$G$32</f>
        <v>CONTA</v>
      </c>
      <c r="C132" s="121" t="str">
        <f>Translation!$G$30</f>
        <v>ESTOQUE FINAL</v>
      </c>
      <c r="D132" s="109"/>
      <c r="E132" s="109"/>
      <c r="F132" s="109"/>
      <c r="G132" s="109"/>
      <c r="H132" s="109"/>
      <c r="I132" s="109"/>
      <c r="O132" s="27" t="s">
        <v>787</v>
      </c>
      <c r="P132" s="38" t="str">
        <f>Translation!$G$32</f>
        <v>CONTA</v>
      </c>
      <c r="Q132" s="79" t="str">
        <f>Translation!$G$30</f>
        <v>ESTOQUE FINAL</v>
      </c>
    </row>
    <row r="133">
      <c r="A133" s="29" t="str">
        <f>Translation!A151</f>
        <v>FACTOR YBR 125i ED</v>
      </c>
      <c r="B133" s="38" t="s">
        <v>788</v>
      </c>
      <c r="C133" s="110" t="e">
        <f>VLOOKUP(Q133,Data!$B:$E,3,FALSE)</f>
        <v>#N/A</v>
      </c>
      <c r="D133" s="109"/>
      <c r="E133" s="109"/>
      <c r="F133" s="109"/>
      <c r="G133" s="109"/>
      <c r="H133" s="109"/>
      <c r="I133" s="109"/>
      <c r="O133" s="29" t="s">
        <v>184</v>
      </c>
      <c r="P133" s="38" t="s">
        <v>788</v>
      </c>
      <c r="Q133" s="80" t="s">
        <v>789</v>
      </c>
    </row>
    <row r="134">
      <c r="A134" s="146" t="s">
        <v>193</v>
      </c>
      <c r="B134" s="142" t="s">
        <v>790</v>
      </c>
      <c r="C134" s="110" t="e">
        <f>VLOOKUP(Q134,Data!$B:$E,4,FALSE)</f>
        <v>#N/A</v>
      </c>
      <c r="D134" s="109"/>
      <c r="E134" s="109"/>
      <c r="F134" s="109"/>
      <c r="G134" s="109"/>
      <c r="H134" s="109"/>
      <c r="I134" s="109"/>
      <c r="O134" s="29" t="s">
        <v>193</v>
      </c>
      <c r="P134" s="38" t="s">
        <v>790</v>
      </c>
      <c r="Q134" s="80" t="s">
        <v>791</v>
      </c>
    </row>
    <row r="135">
      <c r="A135" s="27" t="str">
        <f>Translation!A152</f>
        <v>ESTOQUE - LINHA 150 cc - Street</v>
      </c>
      <c r="B135" s="38" t="str">
        <f>Translation!$G$32</f>
        <v>CONTA</v>
      </c>
      <c r="C135" s="121" t="str">
        <f>Translation!$G$30</f>
        <v>ESTOQUE FINAL</v>
      </c>
      <c r="D135" s="109"/>
      <c r="E135" s="109"/>
      <c r="F135" s="109"/>
      <c r="G135" s="109"/>
      <c r="H135" s="109"/>
      <c r="I135" s="109"/>
      <c r="O135" s="27" t="s">
        <v>792</v>
      </c>
      <c r="P135" s="38" t="str">
        <f>Translation!$G$32</f>
        <v>CONTA</v>
      </c>
      <c r="Q135" s="79" t="str">
        <f>Translation!$G$30</f>
        <v>ESTOQUE FINAL</v>
      </c>
    </row>
    <row r="136">
      <c r="A136" s="29" t="str">
        <f>Translation!A153</f>
        <v>FACTOR 150E</v>
      </c>
      <c r="B136" s="38" t="s">
        <v>793</v>
      </c>
      <c r="C136" s="110" t="e">
        <f>VLOOKUP(Q136,Data!$B:$E,3,FALSE)</f>
        <v>#N/A</v>
      </c>
      <c r="D136" s="109"/>
      <c r="E136" s="109"/>
      <c r="F136" s="109"/>
      <c r="G136" s="109"/>
      <c r="H136" s="109"/>
      <c r="I136" s="109"/>
      <c r="O136" s="29" t="s">
        <v>215</v>
      </c>
      <c r="P136" s="38" t="s">
        <v>793</v>
      </c>
      <c r="Q136" s="80" t="s">
        <v>794</v>
      </c>
    </row>
    <row r="137">
      <c r="A137" s="29" t="str">
        <f>Translation!A154</f>
        <v>FACTOR 150ED</v>
      </c>
      <c r="B137" s="38" t="s">
        <v>795</v>
      </c>
      <c r="C137" s="110" t="e">
        <f>VLOOKUP(Q137,Data!$B:$E,3,FALSE)</f>
        <v>#N/A</v>
      </c>
      <c r="D137" s="109"/>
      <c r="E137" s="109"/>
      <c r="F137" s="109"/>
      <c r="G137" s="109"/>
      <c r="H137" s="109"/>
      <c r="I137" s="109"/>
      <c r="O137" s="29" t="s">
        <v>225</v>
      </c>
      <c r="P137" s="38" t="s">
        <v>795</v>
      </c>
      <c r="Q137" s="80" t="s">
        <v>796</v>
      </c>
    </row>
    <row r="138">
      <c r="A138" s="29" t="str">
        <f>Translation!A155</f>
        <v>YS 150 FAZER SED</v>
      </c>
      <c r="B138" s="38" t="s">
        <v>797</v>
      </c>
      <c r="C138" s="110" t="e">
        <f>VLOOKUP(Q138,Data!$B:$E,3,FALSE)</f>
        <v>#N/A</v>
      </c>
      <c r="D138" s="109"/>
      <c r="E138" s="109"/>
      <c r="F138" s="109"/>
      <c r="G138" s="109"/>
      <c r="H138" s="109"/>
      <c r="I138" s="109"/>
      <c r="O138" s="29" t="s">
        <v>235</v>
      </c>
      <c r="P138" s="38" t="s">
        <v>797</v>
      </c>
      <c r="Q138" s="80" t="s">
        <v>798</v>
      </c>
    </row>
    <row r="139">
      <c r="A139" s="146" t="s">
        <v>244</v>
      </c>
      <c r="B139" s="142" t="s">
        <v>799</v>
      </c>
      <c r="C139" s="110" t="e">
        <f>VLOOKUP(Q139,Data!$B:$E,4,FALSE)</f>
        <v>#N/A</v>
      </c>
      <c r="D139" s="109"/>
      <c r="E139" s="109"/>
      <c r="F139" s="109"/>
      <c r="G139" s="109"/>
      <c r="H139" s="109"/>
      <c r="I139" s="109"/>
      <c r="O139" s="29" t="s">
        <v>244</v>
      </c>
      <c r="P139" s="38" t="s">
        <v>799</v>
      </c>
      <c r="Q139" s="80" t="s">
        <v>800</v>
      </c>
    </row>
    <row r="140">
      <c r="A140" s="146" t="s">
        <v>254</v>
      </c>
      <c r="B140" s="142" t="s">
        <v>801</v>
      </c>
      <c r="C140" s="110" t="e">
        <f>VLOOKUP(Q140,Data!$B:$E,4,FALSE)</f>
        <v>#N/A</v>
      </c>
      <c r="D140" s="109"/>
      <c r="E140" s="109"/>
      <c r="F140" s="109"/>
      <c r="G140" s="109"/>
      <c r="H140" s="109"/>
      <c r="I140" s="109"/>
      <c r="O140" s="29" t="s">
        <v>254</v>
      </c>
      <c r="P140" s="38" t="s">
        <v>801</v>
      </c>
      <c r="Q140" s="80" t="s">
        <v>802</v>
      </c>
    </row>
    <row r="141">
      <c r="A141" s="27" t="str">
        <f>Translation!A156</f>
        <v>ESTOQUE - LINHA 150 cc - On/Off</v>
      </c>
      <c r="B141" s="38" t="str">
        <f>Translation!$G$32</f>
        <v>CONTA</v>
      </c>
      <c r="C141" s="121" t="str">
        <f>Translation!$G$30</f>
        <v>ESTOQUE FINAL</v>
      </c>
      <c r="D141" s="109"/>
      <c r="E141" s="109"/>
      <c r="F141" s="109"/>
      <c r="G141" s="109"/>
      <c r="H141" s="109"/>
      <c r="I141" s="109"/>
      <c r="O141" s="27" t="s">
        <v>803</v>
      </c>
      <c r="P141" s="38" t="str">
        <f>Translation!$G$32</f>
        <v>CONTA</v>
      </c>
      <c r="Q141" s="79" t="str">
        <f>Translation!$G$30</f>
        <v>ESTOQUE FINAL</v>
      </c>
    </row>
    <row r="142">
      <c r="A142" s="29" t="str">
        <f>Translation!A157</f>
        <v>XTZ 150 CROSSER E</v>
      </c>
      <c r="B142" s="38" t="s">
        <v>804</v>
      </c>
      <c r="C142" s="110" t="e">
        <f>VLOOKUP(Q142,Data!$B:$E,3,FALSE)</f>
        <v>#N/A</v>
      </c>
      <c r="D142" s="109"/>
      <c r="E142" s="109"/>
      <c r="F142" s="109"/>
      <c r="G142" s="109"/>
      <c r="H142" s="109"/>
      <c r="I142" s="109"/>
      <c r="O142" s="29" t="s">
        <v>266</v>
      </c>
      <c r="P142" s="38" t="s">
        <v>804</v>
      </c>
      <c r="Q142" s="80" t="s">
        <v>805</v>
      </c>
    </row>
    <row r="143">
      <c r="A143" s="29" t="str">
        <f>Translation!A158</f>
        <v>XTZ 150 CROSSER ED</v>
      </c>
      <c r="B143" s="38" t="s">
        <v>806</v>
      </c>
      <c r="C143" s="110" t="e">
        <f>VLOOKUP(Q143,Data!$B:$E,3,FALSE)</f>
        <v>#N/A</v>
      </c>
      <c r="D143" s="109"/>
      <c r="E143" s="109"/>
      <c r="F143" s="109"/>
      <c r="G143" s="109"/>
      <c r="H143" s="109"/>
      <c r="I143" s="109"/>
      <c r="O143" s="29" t="s">
        <v>276</v>
      </c>
      <c r="P143" s="38" t="s">
        <v>806</v>
      </c>
      <c r="Q143" s="80" t="s">
        <v>807</v>
      </c>
    </row>
    <row r="144">
      <c r="A144" s="146" t="s">
        <v>285</v>
      </c>
      <c r="B144" s="142" t="s">
        <v>808</v>
      </c>
      <c r="C144" s="110" t="e">
        <f>VLOOKUP(Q144,Data!$B:$E,4,FALSE)</f>
        <v>#N/A</v>
      </c>
      <c r="D144" s="109"/>
      <c r="E144" s="109"/>
      <c r="F144" s="109"/>
      <c r="G144" s="109"/>
      <c r="H144" s="109"/>
      <c r="I144" s="109"/>
      <c r="O144" s="29" t="s">
        <v>285</v>
      </c>
      <c r="P144" s="38" t="s">
        <v>808</v>
      </c>
      <c r="Q144" s="80" t="s">
        <v>809</v>
      </c>
    </row>
    <row r="145">
      <c r="A145" s="146" t="s">
        <v>295</v>
      </c>
      <c r="B145" s="142" t="s">
        <v>810</v>
      </c>
      <c r="C145" s="110" t="e">
        <f>VLOOKUP(Q145,Data!$B:$E,4,FALSE)</f>
        <v>#N/A</v>
      </c>
      <c r="D145" s="109"/>
      <c r="E145" s="109"/>
      <c r="F145" s="109"/>
      <c r="G145" s="109"/>
      <c r="H145" s="109"/>
      <c r="I145" s="109"/>
      <c r="O145" s="29" t="s">
        <v>295</v>
      </c>
      <c r="P145" s="38" t="s">
        <v>810</v>
      </c>
      <c r="Q145" s="80" t="s">
        <v>811</v>
      </c>
    </row>
    <row r="146">
      <c r="A146" s="27" t="str">
        <f>Translation!A159</f>
        <v>ESTOQUE - LINHA 250 cc - Street</v>
      </c>
      <c r="B146" s="38" t="str">
        <f>Translation!$G$32</f>
        <v>CONTA</v>
      </c>
      <c r="C146" s="121" t="str">
        <f>Translation!$G$30</f>
        <v>ESTOQUE FINAL</v>
      </c>
      <c r="D146" s="109"/>
      <c r="E146" s="109"/>
      <c r="F146" s="109"/>
      <c r="G146" s="109"/>
      <c r="H146" s="109"/>
      <c r="I146" s="109"/>
      <c r="O146" s="27" t="s">
        <v>812</v>
      </c>
      <c r="P146" s="38" t="str">
        <f>Translation!$G$32</f>
        <v>CONTA</v>
      </c>
      <c r="Q146" s="79" t="str">
        <f>Translation!$G$30</f>
        <v>ESTOQUE FINAL</v>
      </c>
    </row>
    <row r="147">
      <c r="A147" s="29" t="str">
        <f>Translation!A160</f>
        <v>YS 250 FAZER BLUEFLEX</v>
      </c>
      <c r="B147" s="38" t="s">
        <v>813</v>
      </c>
      <c r="C147" s="110" t="e">
        <f>VLOOKUP(Q147,Data!$B:$E,3,FALSE)</f>
        <v>#N/A</v>
      </c>
      <c r="D147" s="109"/>
      <c r="E147" s="109"/>
      <c r="F147" s="109"/>
      <c r="G147" s="109"/>
      <c r="H147" s="109"/>
      <c r="I147" s="109"/>
      <c r="O147" s="29" t="s">
        <v>317</v>
      </c>
      <c r="P147" s="38" t="s">
        <v>813</v>
      </c>
      <c r="Q147" s="80" t="s">
        <v>814</v>
      </c>
    </row>
    <row r="148">
      <c r="A148" s="146" t="s">
        <v>326</v>
      </c>
      <c r="B148" s="142" t="s">
        <v>815</v>
      </c>
      <c r="C148" s="110" t="e">
        <f>VLOOKUP(Q148,Data!$B:$E,4,FALSE)</f>
        <v>#N/A</v>
      </c>
      <c r="D148" s="109"/>
      <c r="E148" s="109"/>
      <c r="F148" s="109"/>
      <c r="G148" s="109"/>
      <c r="H148" s="109"/>
      <c r="I148" s="109"/>
      <c r="O148" s="29" t="s">
        <v>326</v>
      </c>
      <c r="P148" s="38" t="s">
        <v>815</v>
      </c>
      <c r="Q148" s="80" t="s">
        <v>816</v>
      </c>
    </row>
    <row r="149">
      <c r="A149" s="27" t="str">
        <f>Translation!A161</f>
        <v>ESTOQUE - LINHA 250 cc - On/Off</v>
      </c>
      <c r="B149" s="38" t="str">
        <f>Translation!$G$32</f>
        <v>CONTA</v>
      </c>
      <c r="C149" s="121" t="str">
        <f>Translation!$G$30</f>
        <v>ESTOQUE FINAL</v>
      </c>
      <c r="D149" s="109"/>
      <c r="E149" s="109"/>
      <c r="F149" s="109"/>
      <c r="G149" s="109"/>
      <c r="H149" s="109"/>
      <c r="I149" s="109"/>
      <c r="O149" s="27" t="s">
        <v>817</v>
      </c>
      <c r="P149" s="38" t="str">
        <f>Translation!$G$32</f>
        <v>CONTA</v>
      </c>
      <c r="Q149" s="79" t="str">
        <f>Translation!$G$30</f>
        <v>ESTOQUE FINAL</v>
      </c>
    </row>
    <row r="150">
      <c r="A150" s="29" t="str">
        <f>Translation!A162</f>
        <v>XTZ 250 LANDER</v>
      </c>
      <c r="B150" s="38" t="s">
        <v>818</v>
      </c>
      <c r="C150" s="110" t="e">
        <f>VLOOKUP(Q150,Data!$B:$E,3,FALSE)</f>
        <v>#N/A</v>
      </c>
      <c r="D150" s="109"/>
      <c r="E150" s="109"/>
      <c r="F150" s="109"/>
      <c r="G150" s="109"/>
      <c r="H150" s="109"/>
      <c r="I150" s="109"/>
      <c r="O150" s="29" t="s">
        <v>338</v>
      </c>
      <c r="P150" s="38" t="s">
        <v>818</v>
      </c>
      <c r="Q150" s="80" t="s">
        <v>819</v>
      </c>
    </row>
    <row r="151">
      <c r="A151" s="29" t="str">
        <f>Translation!A163</f>
        <v>XTZ 250 TENERE</v>
      </c>
      <c r="B151" s="38" t="s">
        <v>820</v>
      </c>
      <c r="C151" s="110" t="e">
        <f>VLOOKUP(Q151,Data!$B:$E,3,FALSE)</f>
        <v>#N/A</v>
      </c>
      <c r="D151" s="109"/>
      <c r="E151" s="109"/>
      <c r="F151" s="109"/>
      <c r="G151" s="109"/>
      <c r="H151" s="109"/>
      <c r="I151" s="109"/>
      <c r="O151" s="29" t="s">
        <v>348</v>
      </c>
      <c r="P151" s="38" t="s">
        <v>820</v>
      </c>
      <c r="Q151" s="80" t="s">
        <v>821</v>
      </c>
    </row>
    <row r="152">
      <c r="A152" s="27" t="str">
        <f>Translation!A164</f>
        <v>ESTOQUE - LINHA 320 cc</v>
      </c>
      <c r="B152" s="38" t="str">
        <f>Translation!$G$32</f>
        <v>CONTA</v>
      </c>
      <c r="C152" s="121" t="str">
        <f>Translation!$G$30</f>
        <v>ESTOQUE FINAL</v>
      </c>
      <c r="D152" s="109"/>
      <c r="E152" s="109"/>
      <c r="F152" s="109"/>
      <c r="G152" s="109"/>
      <c r="H152" s="109"/>
      <c r="I152" s="109"/>
      <c r="O152" s="27" t="s">
        <v>822</v>
      </c>
      <c r="P152" s="38" t="str">
        <f>Translation!$G$32</f>
        <v>CONTA</v>
      </c>
      <c r="Q152" s="79" t="str">
        <f>Translation!$G$30</f>
        <v>ESTOQUE FINAL</v>
      </c>
    </row>
    <row r="153">
      <c r="A153" s="29" t="str">
        <f>Translation!A165</f>
        <v>YZF R3 </v>
      </c>
      <c r="B153" s="38" t="s">
        <v>823</v>
      </c>
      <c r="C153" s="110" t="e">
        <f>VLOOKUP(Q153,Data!$B:$E,3,FALSE)</f>
        <v>#N/A</v>
      </c>
      <c r="D153" s="109"/>
      <c r="E153" s="109"/>
      <c r="F153" s="109"/>
      <c r="G153" s="109"/>
      <c r="H153" s="109"/>
      <c r="I153" s="109"/>
      <c r="O153" s="29" t="s">
        <v>369</v>
      </c>
      <c r="P153" s="38" t="s">
        <v>823</v>
      </c>
      <c r="Q153" s="80" t="s">
        <v>824</v>
      </c>
    </row>
    <row r="154">
      <c r="A154" s="29" t="str">
        <f>Translation!A166</f>
        <v>YZF R3 ABS</v>
      </c>
      <c r="B154" s="38" t="s">
        <v>825</v>
      </c>
      <c r="C154" s="110" t="e">
        <f>VLOOKUP(Q154,Data!$B:$E,3,FALSE)</f>
        <v>#N/A</v>
      </c>
      <c r="D154" s="109"/>
      <c r="E154" s="109"/>
      <c r="F154" s="109"/>
      <c r="G154" s="109"/>
      <c r="H154" s="109"/>
      <c r="I154" s="109"/>
      <c r="O154" s="29" t="s">
        <v>379</v>
      </c>
      <c r="P154" s="38" t="s">
        <v>825</v>
      </c>
      <c r="Q154" s="80" t="s">
        <v>826</v>
      </c>
    </row>
    <row r="155">
      <c r="A155" s="29" t="str">
        <f>Translation!A167</f>
        <v>MT03</v>
      </c>
      <c r="B155" s="38" t="s">
        <v>827</v>
      </c>
      <c r="C155" s="110" t="e">
        <f>VLOOKUP(Q155,Data!$B:$E,3,FALSE)</f>
        <v>#N/A</v>
      </c>
      <c r="D155" s="109"/>
      <c r="E155" s="109"/>
      <c r="F155" s="109"/>
      <c r="G155" s="109"/>
      <c r="H155" s="109"/>
      <c r="I155" s="109"/>
      <c r="O155" s="29" t="s">
        <v>389</v>
      </c>
      <c r="P155" s="38" t="s">
        <v>827</v>
      </c>
      <c r="Q155" s="80" t="s">
        <v>828</v>
      </c>
    </row>
    <row r="156">
      <c r="A156" s="29" t="str">
        <f>Translation!A168</f>
        <v>MT03 ABS</v>
      </c>
      <c r="B156" s="38" t="s">
        <v>829</v>
      </c>
      <c r="C156" s="110" t="e">
        <f>VLOOKUP(Q156,Data!$B:$E,3,FALSE)</f>
        <v>#N/A</v>
      </c>
      <c r="D156" s="109"/>
      <c r="E156" s="109"/>
      <c r="F156" s="109"/>
      <c r="G156" s="109"/>
      <c r="H156" s="109"/>
      <c r="I156" s="109"/>
      <c r="O156" s="29" t="s">
        <v>399</v>
      </c>
      <c r="P156" s="38" t="s">
        <v>829</v>
      </c>
      <c r="Q156" s="80" t="s">
        <v>830</v>
      </c>
    </row>
    <row r="157">
      <c r="A157" s="27" t="str">
        <f>Translation!A169</f>
        <v>ESTOQUE - LINHA &gt; 500 cc</v>
      </c>
      <c r="B157" s="38" t="str">
        <f>Translation!$G$32</f>
        <v>CONTA</v>
      </c>
      <c r="C157" s="121" t="str">
        <f>Translation!$G$30</f>
        <v>ESTOQUE FINAL</v>
      </c>
      <c r="D157" s="109"/>
      <c r="E157" s="109"/>
      <c r="F157" s="109"/>
      <c r="G157" s="109"/>
      <c r="H157" s="109"/>
      <c r="I157" s="109"/>
      <c r="O157" s="27" t="s">
        <v>831</v>
      </c>
      <c r="P157" s="38" t="str">
        <f>Translation!$G$32</f>
        <v>CONTA</v>
      </c>
      <c r="Q157" s="79" t="str">
        <f>Translation!$G$30</f>
        <v>ESTOQUE FINAL</v>
      </c>
    </row>
    <row r="158">
      <c r="A158" s="29" t="str">
        <f>Translation!A170</f>
        <v>XJ6 N ABS</v>
      </c>
      <c r="B158" s="38" t="s">
        <v>832</v>
      </c>
      <c r="C158" s="110" t="e">
        <f>VLOOKUP(Q158,Data!$B:$E,3,FALSE)</f>
        <v>#N/A</v>
      </c>
      <c r="D158" s="109"/>
      <c r="E158" s="109"/>
      <c r="F158" s="109"/>
      <c r="G158" s="109"/>
      <c r="H158" s="109"/>
      <c r="I158" s="109"/>
      <c r="O158" s="29" t="s">
        <v>420</v>
      </c>
      <c r="P158" s="38" t="s">
        <v>832</v>
      </c>
      <c r="Q158" s="80" t="s">
        <v>833</v>
      </c>
    </row>
    <row r="159">
      <c r="A159" s="29" t="str">
        <f>Translation!A171</f>
        <v>XJ6 F ABS</v>
      </c>
      <c r="B159" s="38" t="s">
        <v>834</v>
      </c>
      <c r="C159" s="110" t="e">
        <f>VLOOKUP(Q159,Data!$B:$E,3,FALSE)</f>
        <v>#N/A</v>
      </c>
      <c r="D159" s="109"/>
      <c r="E159" s="109"/>
      <c r="F159" s="109"/>
      <c r="G159" s="109"/>
      <c r="H159" s="109"/>
      <c r="I159" s="109"/>
      <c r="O159" s="29" t="s">
        <v>430</v>
      </c>
      <c r="P159" s="38" t="s">
        <v>834</v>
      </c>
      <c r="Q159" s="80" t="s">
        <v>835</v>
      </c>
    </row>
    <row r="160">
      <c r="A160" s="29" t="str">
        <f>Translation!A172</f>
        <v>XT 660R</v>
      </c>
      <c r="B160" s="38" t="s">
        <v>836</v>
      </c>
      <c r="C160" s="110" t="e">
        <f>VLOOKUP(Q160,Data!$B:$E,3,FALSE)</f>
        <v>#N/A</v>
      </c>
      <c r="D160" s="109"/>
      <c r="E160" s="109"/>
      <c r="F160" s="109"/>
      <c r="G160" s="109"/>
      <c r="H160" s="109"/>
      <c r="I160" s="109"/>
      <c r="O160" s="29" t="s">
        <v>440</v>
      </c>
      <c r="P160" s="38" t="s">
        <v>836</v>
      </c>
      <c r="Q160" s="80" t="s">
        <v>837</v>
      </c>
    </row>
    <row r="161">
      <c r="A161" s="29" t="str">
        <f>Translation!A173</f>
        <v>XT 660Z TENERE ABS</v>
      </c>
      <c r="B161" s="38" t="s">
        <v>838</v>
      </c>
      <c r="C161" s="110" t="e">
        <f>VLOOKUP(Q161,Data!$B:$E,3,FALSE)</f>
        <v>#N/A</v>
      </c>
      <c r="D161" s="109"/>
      <c r="E161" s="109"/>
      <c r="F161" s="109"/>
      <c r="G161" s="109"/>
      <c r="H161" s="109"/>
      <c r="I161" s="109"/>
      <c r="O161" s="29" t="s">
        <v>450</v>
      </c>
      <c r="P161" s="38" t="s">
        <v>838</v>
      </c>
      <c r="Q161" s="80" t="s">
        <v>839</v>
      </c>
    </row>
    <row r="162">
      <c r="A162" s="29" t="str">
        <f>Translation!A174</f>
        <v>MT07</v>
      </c>
      <c r="B162" s="38" t="s">
        <v>840</v>
      </c>
      <c r="C162" s="110" t="e">
        <f>VLOOKUP(Q162,Data!$B:$E,3,FALSE)</f>
        <v>#N/A</v>
      </c>
      <c r="D162" s="109"/>
      <c r="E162" s="109"/>
      <c r="F162" s="109"/>
      <c r="G162" s="109"/>
      <c r="H162" s="109"/>
      <c r="I162" s="109"/>
      <c r="O162" s="29" t="s">
        <v>460</v>
      </c>
      <c r="P162" s="38" t="s">
        <v>840</v>
      </c>
      <c r="Q162" s="80" t="s">
        <v>841</v>
      </c>
    </row>
    <row r="163">
      <c r="A163" s="29" t="str">
        <f>Translation!A175</f>
        <v>MT07 ABS</v>
      </c>
      <c r="B163" s="38" t="s">
        <v>842</v>
      </c>
      <c r="C163" s="110" t="e">
        <f>VLOOKUP(Q163,Data!$B:$E,3,FALSE)</f>
        <v>#N/A</v>
      </c>
      <c r="D163" s="109"/>
      <c r="E163" s="109"/>
      <c r="F163" s="109"/>
      <c r="G163" s="109"/>
      <c r="H163" s="109"/>
      <c r="I163" s="109"/>
      <c r="O163" s="29" t="s">
        <v>470</v>
      </c>
      <c r="P163" s="38" t="s">
        <v>842</v>
      </c>
      <c r="Q163" s="80" t="s">
        <v>843</v>
      </c>
    </row>
    <row r="164">
      <c r="A164" s="29" t="str">
        <f>Translation!A176</f>
        <v>MT09</v>
      </c>
      <c r="B164" s="38" t="s">
        <v>844</v>
      </c>
      <c r="C164" s="110" t="e">
        <f>VLOOKUP(Q164,Data!$B:$E,3,FALSE)</f>
        <v>#N/A</v>
      </c>
      <c r="D164" s="109"/>
      <c r="E164" s="109"/>
      <c r="F164" s="109"/>
      <c r="G164" s="109"/>
      <c r="H164" s="109"/>
      <c r="I164" s="109"/>
      <c r="O164" s="29" t="s">
        <v>480</v>
      </c>
      <c r="P164" s="38" t="s">
        <v>844</v>
      </c>
      <c r="Q164" s="80" t="s">
        <v>845</v>
      </c>
    </row>
    <row r="165">
      <c r="A165" s="29" t="str">
        <f>Translation!A177</f>
        <v>MT09 SP</v>
      </c>
      <c r="B165" s="38" t="s">
        <v>846</v>
      </c>
      <c r="C165" s="110" t="e">
        <f>VLOOKUP(Q165,Data!$B:$E,3,FALSE)</f>
        <v>#N/A</v>
      </c>
      <c r="D165" s="109"/>
      <c r="E165" s="109"/>
      <c r="F165" s="109"/>
      <c r="G165" s="109"/>
      <c r="H165" s="109"/>
      <c r="I165" s="109"/>
      <c r="O165" s="29" t="s">
        <v>490</v>
      </c>
      <c r="P165" s="38" t="s">
        <v>846</v>
      </c>
      <c r="Q165" s="80" t="s">
        <v>847</v>
      </c>
    </row>
    <row r="166">
      <c r="A166" s="29" t="str">
        <f>Translation!A178</f>
        <v>MT09 TRACER</v>
      </c>
      <c r="B166" s="38" t="s">
        <v>848</v>
      </c>
      <c r="C166" s="110" t="e">
        <f>VLOOKUP(Q166,Data!$B:$E,3,FALSE)</f>
        <v>#N/A</v>
      </c>
      <c r="D166" s="109"/>
      <c r="E166" s="109"/>
      <c r="F166" s="109"/>
      <c r="G166" s="109"/>
      <c r="H166" s="109"/>
      <c r="I166" s="109"/>
      <c r="O166" s="29" t="s">
        <v>500</v>
      </c>
      <c r="P166" s="38" t="s">
        <v>848</v>
      </c>
      <c r="Q166" s="80" t="s">
        <v>849</v>
      </c>
    </row>
    <row r="167">
      <c r="A167" s="29" t="str">
        <f>Translation!A179</f>
        <v>YZF R1</v>
      </c>
      <c r="B167" s="38" t="s">
        <v>850</v>
      </c>
      <c r="C167" s="110" t="e">
        <f>VLOOKUP(Q167,Data!$B:$E,3,FALSE)</f>
        <v>#N/A</v>
      </c>
      <c r="D167" s="109"/>
      <c r="E167" s="109"/>
      <c r="F167" s="109"/>
      <c r="G167" s="109"/>
      <c r="H167" s="109"/>
      <c r="I167" s="109"/>
      <c r="O167" s="29" t="s">
        <v>510</v>
      </c>
      <c r="P167" s="38" t="s">
        <v>850</v>
      </c>
      <c r="Q167" s="80" t="s">
        <v>851</v>
      </c>
    </row>
    <row r="168">
      <c r="A168" s="29" t="str">
        <f>Translation!A180</f>
        <v>YZF R1M</v>
      </c>
      <c r="B168" s="38" t="s">
        <v>852</v>
      </c>
      <c r="C168" s="110" t="e">
        <f>VLOOKUP(Q168,Data!$B:$E,3,FALSE)</f>
        <v>#N/A</v>
      </c>
      <c r="D168" s="109"/>
      <c r="E168" s="109"/>
      <c r="F168" s="109"/>
      <c r="G168" s="109"/>
      <c r="H168" s="109"/>
      <c r="I168" s="109"/>
      <c r="O168" s="29" t="s">
        <v>520</v>
      </c>
      <c r="P168" s="38" t="s">
        <v>852</v>
      </c>
      <c r="Q168" s="80" t="s">
        <v>853</v>
      </c>
    </row>
    <row r="169">
      <c r="A169" s="146" t="s">
        <v>539</v>
      </c>
      <c r="B169" s="142" t="s">
        <v>854</v>
      </c>
      <c r="C169" s="110" t="e">
        <f>VLOOKUP(Q169,Data!$B:$E,4,FALSE)</f>
        <v>#N/A</v>
      </c>
      <c r="D169" s="109"/>
      <c r="E169" s="109"/>
      <c r="F169" s="109"/>
      <c r="G169" s="109"/>
      <c r="H169" s="109"/>
      <c r="I169" s="109"/>
      <c r="O169" s="29" t="s">
        <v>539</v>
      </c>
      <c r="P169" s="38" t="s">
        <v>854</v>
      </c>
      <c r="Q169" s="80" t="s">
        <v>855</v>
      </c>
    </row>
    <row r="170">
      <c r="A170" s="146" t="s">
        <v>529</v>
      </c>
      <c r="B170" s="142" t="s">
        <v>856</v>
      </c>
      <c r="C170" s="110" t="e">
        <f>VLOOKUP(Q170,Data!$B:$E,4,FALSE)</f>
        <v>#N/A</v>
      </c>
      <c r="D170" s="109"/>
      <c r="E170" s="109"/>
      <c r="F170" s="109"/>
      <c r="G170" s="109"/>
      <c r="H170" s="109"/>
      <c r="I170" s="109"/>
      <c r="O170" s="29" t="s">
        <v>529</v>
      </c>
      <c r="P170" s="38" t="s">
        <v>856</v>
      </c>
      <c r="Q170" s="80" t="s">
        <v>857</v>
      </c>
    </row>
    <row r="171">
      <c r="A171" s="146" t="s">
        <v>549</v>
      </c>
      <c r="B171" s="142" t="s">
        <v>858</v>
      </c>
      <c r="C171" s="110" t="e">
        <f>VLOOKUP(Q171,Data!$B:$E,4,FALSE)</f>
        <v>#N/A</v>
      </c>
      <c r="D171" s="109"/>
      <c r="E171" s="109"/>
      <c r="F171" s="109"/>
      <c r="G171" s="109"/>
      <c r="H171" s="109"/>
      <c r="I171" s="109"/>
      <c r="O171" s="146" t="s">
        <v>549</v>
      </c>
      <c r="P171" s="142" t="s">
        <v>858</v>
      </c>
      <c r="Q171" s="80" t="s">
        <v>859</v>
      </c>
    </row>
    <row r="172">
      <c r="A172" s="48" t="str">
        <f>Translation!A181</f>
        <v>TOTAL DE MOTOCICLETAS</v>
      </c>
      <c r="B172" s="38" t="s">
        <v>860</v>
      </c>
      <c r="C172" s="108" t="e">
        <f>VLOOKUP(Q172,Data!$B:$E,3,FALSE)</f>
        <v>#N/A</v>
      </c>
      <c r="D172" s="109"/>
      <c r="E172" s="109"/>
      <c r="F172" s="109"/>
      <c r="G172" s="109"/>
      <c r="H172" s="109"/>
      <c r="I172" s="109"/>
      <c r="O172" s="48" t="s">
        <v>861</v>
      </c>
      <c r="P172" s="38" t="s">
        <v>860</v>
      </c>
      <c r="Q172" s="81" t="s">
        <v>862</v>
      </c>
    </row>
    <row r="173">
      <c r="A173" s="27" t="str">
        <f>Translation!A182</f>
        <v>ESTOQUE - LINHA NÁUTICA</v>
      </c>
      <c r="B173" s="38" t="str">
        <f>Translation!$G$32</f>
        <v>CONTA</v>
      </c>
      <c r="C173" s="121" t="str">
        <f>Translation!$G$30</f>
        <v>ESTOQUE FINAL</v>
      </c>
      <c r="D173" s="109"/>
      <c r="E173" s="109"/>
      <c r="F173" s="109"/>
      <c r="G173" s="109"/>
      <c r="H173" s="109"/>
      <c r="I173" s="109"/>
      <c r="O173" s="27" t="s">
        <v>863</v>
      </c>
      <c r="P173" s="38" t="str">
        <f>Translation!$G$32</f>
        <v>CONTA</v>
      </c>
      <c r="Q173" s="79" t="str">
        <f>Translation!$G$30</f>
        <v>ESTOQUE FINAL</v>
      </c>
    </row>
    <row r="174">
      <c r="A174" s="29" t="str">
        <f>Translation!A183</f>
        <v>MOTORES</v>
      </c>
      <c r="B174" s="38" t="s">
        <v>864</v>
      </c>
      <c r="C174" s="110" t="e">
        <f>VLOOKUP(Q174,Data!$B:$E,3,FALSE)</f>
        <v>#N/A</v>
      </c>
      <c r="D174" s="109"/>
      <c r="E174" s="109"/>
      <c r="F174" s="109"/>
      <c r="G174" s="109"/>
      <c r="H174" s="109"/>
      <c r="I174" s="109"/>
      <c r="O174" s="29" t="s">
        <v>591</v>
      </c>
      <c r="P174" s="38" t="s">
        <v>864</v>
      </c>
      <c r="Q174" s="80" t="s">
        <v>865</v>
      </c>
    </row>
    <row r="175">
      <c r="A175" s="29" t="str">
        <f>Translation!A184</f>
        <v>WAVERUNNER</v>
      </c>
      <c r="B175" s="38" t="s">
        <v>866</v>
      </c>
      <c r="C175" s="110" t="e">
        <f>VLOOKUP(Q175,Data!$B:$E,3,FALSE)</f>
        <v>#N/A</v>
      </c>
      <c r="D175" s="109"/>
      <c r="E175" s="109"/>
      <c r="F175" s="109"/>
      <c r="G175" s="109"/>
      <c r="H175" s="109"/>
      <c r="I175" s="109"/>
      <c r="O175" s="29" t="s">
        <v>601</v>
      </c>
      <c r="P175" s="38" t="s">
        <v>866</v>
      </c>
      <c r="Q175" s="80" t="s">
        <v>867</v>
      </c>
    </row>
    <row r="176">
      <c r="A176" s="48" t="str">
        <f>Translation!A185</f>
        <v>TOTAL DE LINHA NÁUTICA</v>
      </c>
      <c r="B176" s="38" t="s">
        <v>868</v>
      </c>
      <c r="C176" s="108" t="e">
        <f>VLOOKUP(Q176,Data!$B:$E,3,FALSE)</f>
        <v>#N/A</v>
      </c>
      <c r="D176" s="109"/>
      <c r="E176" s="109"/>
      <c r="F176" s="109"/>
      <c r="G176" s="109"/>
      <c r="H176" s="109"/>
      <c r="I176" s="109"/>
      <c r="O176" s="48" t="s">
        <v>869</v>
      </c>
      <c r="P176" s="38" t="s">
        <v>868</v>
      </c>
      <c r="Q176" s="81" t="s">
        <v>870</v>
      </c>
    </row>
    <row r="177">
      <c r="A177" s="27" t="str">
        <f>Translation!A186</f>
        <v>ESTOQUE - LINHA QUADRICICLOS</v>
      </c>
      <c r="B177" s="38" t="str">
        <f>Translation!$G$32</f>
        <v>CONTA</v>
      </c>
      <c r="C177" s="121" t="str">
        <f>Translation!$G$30</f>
        <v>ESTOQUE FINAL</v>
      </c>
      <c r="D177" s="109"/>
      <c r="E177" s="109"/>
      <c r="F177" s="109"/>
      <c r="G177" s="109"/>
      <c r="H177" s="109"/>
      <c r="I177" s="109"/>
      <c r="O177" s="27" t="s">
        <v>871</v>
      </c>
      <c r="P177" s="38" t="str">
        <f>Translation!$G$32</f>
        <v>CONTA</v>
      </c>
      <c r="Q177" s="79" t="str">
        <f>Translation!$G$30</f>
        <v>ESTOQUE FINAL</v>
      </c>
    </row>
    <row r="178">
      <c r="A178" s="29" t="str">
        <f>Translation!A187</f>
        <v>MODELO 1</v>
      </c>
      <c r="B178" s="38" t="s">
        <v>872</v>
      </c>
      <c r="C178" s="110" t="e">
        <f>VLOOKUP(Q178,Data!$B:$E,3,FALSE)</f>
        <v>#N/A</v>
      </c>
      <c r="D178" s="109"/>
      <c r="E178" s="109"/>
      <c r="F178" s="109"/>
      <c r="G178" s="109"/>
      <c r="H178" s="109"/>
      <c r="I178" s="109"/>
      <c r="O178" s="29" t="s">
        <v>622</v>
      </c>
      <c r="P178" s="38" t="s">
        <v>872</v>
      </c>
      <c r="Q178" s="80" t="s">
        <v>873</v>
      </c>
    </row>
    <row r="179">
      <c r="A179" s="29" t="str">
        <f>Translation!A188</f>
        <v>MODELO 2</v>
      </c>
      <c r="B179" s="38" t="s">
        <v>874</v>
      </c>
      <c r="C179" s="110" t="e">
        <f>VLOOKUP(Q179,Data!$B:$E,3,FALSE)</f>
        <v>#N/A</v>
      </c>
      <c r="D179" s="109"/>
      <c r="E179" s="109"/>
      <c r="F179" s="109"/>
      <c r="G179" s="109"/>
      <c r="H179" s="109"/>
      <c r="I179" s="109"/>
      <c r="O179" s="29" t="s">
        <v>632</v>
      </c>
      <c r="P179" s="38" t="s">
        <v>874</v>
      </c>
      <c r="Q179" s="80" t="s">
        <v>875</v>
      </c>
    </row>
    <row r="180">
      <c r="A180" s="29" t="str">
        <f>Translation!A189</f>
        <v>MODELO 3</v>
      </c>
      <c r="B180" s="38" t="s">
        <v>876</v>
      </c>
      <c r="C180" s="110" t="e">
        <f>VLOOKUP(Q180,Data!$B:$E,3,FALSE)</f>
        <v>#N/A</v>
      </c>
      <c r="D180" s="109"/>
      <c r="E180" s="109"/>
      <c r="F180" s="109"/>
      <c r="G180" s="109"/>
      <c r="H180" s="109"/>
      <c r="I180" s="109"/>
      <c r="O180" s="29" t="s">
        <v>642</v>
      </c>
      <c r="P180" s="38" t="s">
        <v>876</v>
      </c>
      <c r="Q180" s="80" t="s">
        <v>877</v>
      </c>
    </row>
    <row r="181">
      <c r="A181" s="48" t="str">
        <f>Translation!A190</f>
        <v>TOTAL DE LINHA QUADRICICLOS</v>
      </c>
      <c r="B181" s="38" t="s">
        <v>878</v>
      </c>
      <c r="C181" s="108" t="e">
        <f>VLOOKUP(Q181,Data!$B:$E,3,FALSE)</f>
        <v>#N/A</v>
      </c>
      <c r="D181" s="109"/>
      <c r="E181" s="109"/>
      <c r="F181" s="109"/>
      <c r="G181" s="109"/>
      <c r="H181" s="109"/>
      <c r="I181" s="109"/>
      <c r="O181" s="48" t="s">
        <v>879</v>
      </c>
      <c r="P181" s="38" t="s">
        <v>878</v>
      </c>
      <c r="Q181" s="81" t="s">
        <v>880</v>
      </c>
    </row>
    <row r="182">
      <c r="A182" s="48" t="str">
        <f>Translation!A191</f>
        <v>TOTAL DE ESTOQUE DE NOVOS</v>
      </c>
      <c r="B182" s="38" t="s">
        <v>881</v>
      </c>
      <c r="C182" s="108" t="e">
        <f>VLOOKUP(Q182,Data!$B:$E,3,FALSE)</f>
        <v>#N/A</v>
      </c>
      <c r="D182" s="109"/>
      <c r="E182" s="109"/>
      <c r="F182" s="109"/>
      <c r="G182" s="109"/>
      <c r="H182" s="109"/>
      <c r="I182" s="109"/>
      <c r="O182" s="48" t="s">
        <v>882</v>
      </c>
      <c r="P182" s="38" t="s">
        <v>881</v>
      </c>
      <c r="Q182" s="81" t="s">
        <v>883</v>
      </c>
    </row>
    <row r="183">
      <c r="A183" s="71" t="str">
        <f>Translation!A2</f>
        <v>VENDAS DE USADOS</v>
      </c>
      <c r="B183" s="82"/>
      <c r="C183" s="102"/>
      <c r="D183" s="102"/>
      <c r="E183" s="102"/>
      <c r="F183" s="102"/>
      <c r="G183" s="102"/>
      <c r="H183" s="103"/>
      <c r="I183" s="104"/>
      <c r="J183" s="104"/>
      <c r="O183" s="71" t="s">
        <v>884</v>
      </c>
      <c r="P183" s="82"/>
    </row>
    <row r="184" ht="30">
      <c r="A184" s="73" t="str">
        <f>Translation!A193</f>
        <v>VENDAS DE USADOS</v>
      </c>
      <c r="B184" s="38" t="str">
        <f>Translation!$G$32</f>
        <v>CONTA</v>
      </c>
      <c r="C184" s="121" t="str">
        <f>Translation!$G$12</f>
        <v>UNIDADES</v>
      </c>
      <c r="D184" s="120" t="str">
        <f>Translation!$G$11</f>
        <v>RECEITA
(SEM IMPOSTOS)</v>
      </c>
      <c r="E184" s="120" t="str">
        <f>Translation!$G$33</f>
        <v>UNIDADES DEVOLVIDAS</v>
      </c>
      <c r="F184" s="120" t="str">
        <f>Translation!$G$14</f>
        <v>DEVOLUÇÃO
DE VENDAS</v>
      </c>
      <c r="G184" s="120" t="str">
        <f>Translation!$G$3</f>
        <v>ABAT. E DESCONTO</v>
      </c>
      <c r="H184" s="120" t="str">
        <f>Translation!$G$9</f>
        <v>RECEITA LÍQUIDA</v>
      </c>
      <c r="I184" s="121" t="str">
        <f>Translation!$G$2</f>
        <v>CUSTO</v>
      </c>
      <c r="J184" s="121" t="str">
        <f>Translation!$G$5</f>
        <v>LUCRO BRUTO</v>
      </c>
      <c r="O184" s="73" t="s">
        <v>885</v>
      </c>
      <c r="P184" s="38" t="str">
        <f>Translation!$G$32</f>
        <v>CONTA</v>
      </c>
      <c r="Q184" s="79" t="s">
        <v>2</v>
      </c>
      <c r="R184" s="79" t="s">
        <v>3</v>
      </c>
      <c r="S184" s="74" t="s">
        <v>4</v>
      </c>
      <c r="T184" s="79" t="s">
        <v>5</v>
      </c>
      <c r="U184" s="79" t="s">
        <v>6</v>
      </c>
      <c r="V184" s="79" t="s">
        <v>7</v>
      </c>
      <c r="W184" s="79" t="s">
        <v>8</v>
      </c>
      <c r="X184" s="79" t="s">
        <v>9</v>
      </c>
    </row>
    <row r="185">
      <c r="A185" s="26" t="str">
        <f>Translation!A194</f>
        <v>MOTOCICLETAS YAMAHA</v>
      </c>
      <c r="B185" s="38" t="s">
        <v>886</v>
      </c>
      <c r="C185" s="111" t="e">
        <f>VLOOKUP(Q185,Data!$B:$E,3,FALSE)</f>
        <v>#N/A</v>
      </c>
      <c r="D185" s="140" t="e">
        <f>VLOOKUP(R185,Data!$B:$E,3,FALSE)</f>
        <v>#N/A</v>
      </c>
      <c r="E185" s="140" t="e">
        <f>VLOOKUP(T185,Data!$B:$E,3,FALSE)</f>
        <v>#N/A</v>
      </c>
      <c r="F185" s="140" t="e">
        <f>VLOOKUP(T185,Data!$B:$E,3,FALSE)</f>
        <v>#N/A</v>
      </c>
      <c r="G185" s="140" t="e">
        <f>VLOOKUP(U185,Data!$B:$E,3,FALSE)</f>
        <v>#N/A</v>
      </c>
      <c r="H185" s="141" t="e">
        <f>VLOOKUP(V185,Data!$B:$E,3,FALSE)</f>
        <v>#N/A</v>
      </c>
      <c r="I185" s="140" t="e">
        <f>VLOOKUP(W185,Data!$B:$E,3,FALSE)</f>
        <v>#N/A</v>
      </c>
      <c r="J185" s="141" t="e">
        <f>VLOOKUP(X185,Data!$B:$E,3,FALSE)</f>
        <v>#N/A</v>
      </c>
      <c r="O185" s="29" t="s">
        <v>887</v>
      </c>
      <c r="P185" s="38" t="s">
        <v>886</v>
      </c>
      <c r="Q185" s="83" t="s">
        <v>888</v>
      </c>
      <c r="R185" s="83" t="s">
        <v>889</v>
      </c>
      <c r="S185" s="83" t="s">
        <v>890</v>
      </c>
      <c r="T185" s="83" t="s">
        <v>891</v>
      </c>
      <c r="U185" s="83" t="s">
        <v>892</v>
      </c>
      <c r="V185" s="81" t="s">
        <v>893</v>
      </c>
      <c r="W185" s="83" t="s">
        <v>894</v>
      </c>
      <c r="X185" s="81" t="s">
        <v>895</v>
      </c>
    </row>
    <row r="186">
      <c r="A186" s="26" t="str">
        <f>Translation!A195</f>
        <v>MOTOCICLETAS OUTRAS MARCAS</v>
      </c>
      <c r="B186" s="38" t="s">
        <v>896</v>
      </c>
      <c r="C186" s="111" t="e">
        <f>VLOOKUP(Q186,Data!$B:$E,3,FALSE)</f>
        <v>#N/A</v>
      </c>
      <c r="D186" s="140" t="e">
        <f>VLOOKUP(R186,Data!$B:$E,3,FALSE)</f>
        <v>#N/A</v>
      </c>
      <c r="E186" s="140" t="e">
        <f>VLOOKUP(T186,Data!$B:$E,3,FALSE)</f>
        <v>#N/A</v>
      </c>
      <c r="F186" s="140" t="e">
        <f>VLOOKUP(T186,Data!$B:$E,3,FALSE)</f>
        <v>#N/A</v>
      </c>
      <c r="G186" s="140" t="e">
        <f>VLOOKUP(U186,Data!$B:$E,3,FALSE)</f>
        <v>#N/A</v>
      </c>
      <c r="H186" s="141" t="e">
        <f>VLOOKUP(V186,Data!$B:$E,3,FALSE)</f>
        <v>#N/A</v>
      </c>
      <c r="I186" s="140" t="e">
        <f>VLOOKUP(W186,Data!$B:$E,3,FALSE)</f>
        <v>#N/A</v>
      </c>
      <c r="J186" s="141" t="e">
        <f>VLOOKUP(X186,Data!$B:$E,3,FALSE)</f>
        <v>#N/A</v>
      </c>
      <c r="O186" s="29" t="s">
        <v>897</v>
      </c>
      <c r="P186" s="38" t="s">
        <v>896</v>
      </c>
      <c r="Q186" s="83" t="s">
        <v>898</v>
      </c>
      <c r="R186" s="83" t="s">
        <v>899</v>
      </c>
      <c r="S186" s="83" t="s">
        <v>900</v>
      </c>
      <c r="T186" s="83" t="s">
        <v>901</v>
      </c>
      <c r="U186" s="83" t="s">
        <v>902</v>
      </c>
      <c r="V186" s="81" t="s">
        <v>903</v>
      </c>
      <c r="W186" s="83" t="s">
        <v>904</v>
      </c>
      <c r="X186" s="81" t="s">
        <v>905</v>
      </c>
    </row>
    <row r="187">
      <c r="A187" s="31" t="str">
        <f>Translation!A196</f>
        <v>VENDAS DE USADOS - MOTOCICLETAS</v>
      </c>
      <c r="B187" s="38" t="s">
        <v>906</v>
      </c>
      <c r="C187" s="112" t="e">
        <f>VLOOKUP(Q187,Data!$B:$E,3,FALSE)</f>
        <v>#N/A</v>
      </c>
      <c r="D187" s="141" t="e">
        <f>VLOOKUP(R187,Data!$B:$E,3,FALSE)</f>
        <v>#N/A</v>
      </c>
      <c r="E187" s="141" t="e">
        <f>VLOOKUP(T187,Data!$B:$E,3,FALSE)</f>
        <v>#N/A</v>
      </c>
      <c r="F187" s="141" t="e">
        <f>VLOOKUP(T187,Data!$B:$E,3,FALSE)</f>
        <v>#N/A</v>
      </c>
      <c r="G187" s="141" t="e">
        <f>VLOOKUP(U187,Data!$B:$E,3,FALSE)</f>
        <v>#N/A</v>
      </c>
      <c r="H187" s="141" t="e">
        <f>VLOOKUP(V187,Data!$B:$E,3,FALSE)</f>
        <v>#N/A</v>
      </c>
      <c r="I187" s="141" t="e">
        <f>VLOOKUP(W187,Data!$B:$E,3,FALSE)</f>
        <v>#N/A</v>
      </c>
      <c r="J187" s="141" t="e">
        <f>VLOOKUP(X187,Data!$B:$E,3,FALSE)</f>
        <v>#N/A</v>
      </c>
      <c r="O187" s="48" t="s">
        <v>907</v>
      </c>
      <c r="P187" s="38" t="s">
        <v>906</v>
      </c>
      <c r="Q187" s="81" t="s">
        <v>908</v>
      </c>
      <c r="R187" s="81" t="s">
        <v>909</v>
      </c>
      <c r="S187" s="81" t="s">
        <v>910</v>
      </c>
      <c r="T187" s="81" t="s">
        <v>911</v>
      </c>
      <c r="U187" s="81" t="s">
        <v>912</v>
      </c>
      <c r="V187" s="81" t="s">
        <v>913</v>
      </c>
      <c r="W187" s="81" t="s">
        <v>914</v>
      </c>
      <c r="X187" s="81" t="s">
        <v>915</v>
      </c>
    </row>
    <row r="188" ht="30">
      <c r="A188" s="30" t="str">
        <f>Translation!A197</f>
        <v>VENDAS DE USADOS - OUTROS PRODUTOS</v>
      </c>
      <c r="B188" s="38" t="str">
        <f>Translation!$G$32</f>
        <v>CONTA</v>
      </c>
      <c r="C188" s="121" t="str">
        <f>Translation!$G$12</f>
        <v>UNIDADES</v>
      </c>
      <c r="D188" s="120" t="str">
        <f>Translation!$G$11</f>
        <v>RECEITA
(SEM IMPOSTOS)</v>
      </c>
      <c r="E188" s="120" t="str">
        <f>Translation!$G$33</f>
        <v>UNIDADES DEVOLVIDAS</v>
      </c>
      <c r="F188" s="120" t="str">
        <f>Translation!$G$14</f>
        <v>DEVOLUÇÃO
DE VENDAS</v>
      </c>
      <c r="G188" s="120" t="str">
        <f>Translation!$G$3</f>
        <v>ABAT. E DESCONTO</v>
      </c>
      <c r="H188" s="120" t="str">
        <f>Translation!$G$9</f>
        <v>RECEITA LÍQUIDA</v>
      </c>
      <c r="I188" s="121" t="str">
        <f>Translation!$G$2</f>
        <v>CUSTO</v>
      </c>
      <c r="J188" s="121" t="str">
        <f>Translation!$G$5</f>
        <v>LUCRO BRUTO</v>
      </c>
      <c r="O188" s="27" t="s">
        <v>916</v>
      </c>
      <c r="P188" s="38" t="str">
        <f>Translation!$G$32</f>
        <v>CONTA</v>
      </c>
      <c r="Q188" s="79" t="s">
        <v>2</v>
      </c>
      <c r="R188" s="79" t="s">
        <v>3</v>
      </c>
      <c r="S188" s="74" t="s">
        <v>4</v>
      </c>
      <c r="T188" s="79" t="s">
        <v>5</v>
      </c>
      <c r="U188" s="79" t="s">
        <v>6</v>
      </c>
      <c r="V188" s="79" t="s">
        <v>7</v>
      </c>
      <c r="W188" s="79" t="s">
        <v>8</v>
      </c>
      <c r="X188" s="79" t="s">
        <v>9</v>
      </c>
    </row>
    <row r="189">
      <c r="A189" s="26" t="str">
        <f>Translation!A198</f>
        <v>OUTROS PRODUTOS YAMAHA</v>
      </c>
      <c r="B189" s="38" t="s">
        <v>917</v>
      </c>
      <c r="C189" s="111" t="e">
        <f>VLOOKUP(Q189,Data!$B:$E,3,FALSE)</f>
        <v>#N/A</v>
      </c>
      <c r="D189" s="140" t="e">
        <f>VLOOKUP(R189,Data!$B:$E,3,FALSE)</f>
        <v>#N/A</v>
      </c>
      <c r="E189" s="140" t="e">
        <f>VLOOKUP(T189,Data!$B:$E,3,FALSE)</f>
        <v>#N/A</v>
      </c>
      <c r="F189" s="140" t="e">
        <f>VLOOKUP(T189,Data!$B:$E,3,FALSE)</f>
        <v>#N/A</v>
      </c>
      <c r="G189" s="140" t="e">
        <f>VLOOKUP(U189,Data!$B:$E,3,FALSE)</f>
        <v>#N/A</v>
      </c>
      <c r="H189" s="141" t="e">
        <f>VLOOKUP(V189,Data!$B:$E,3,FALSE)</f>
        <v>#N/A</v>
      </c>
      <c r="I189" s="140" t="e">
        <f>VLOOKUP(W189,Data!$B:$E,3,FALSE)</f>
        <v>#N/A</v>
      </c>
      <c r="J189" s="141" t="e">
        <f>VLOOKUP(X189,Data!$B:$E,3,FALSE)</f>
        <v>#N/A</v>
      </c>
      <c r="O189" s="29" t="s">
        <v>918</v>
      </c>
      <c r="P189" s="38" t="s">
        <v>917</v>
      </c>
      <c r="Q189" s="83" t="s">
        <v>919</v>
      </c>
      <c r="R189" s="83" t="s">
        <v>920</v>
      </c>
      <c r="S189" s="83" t="s">
        <v>921</v>
      </c>
      <c r="T189" s="83" t="s">
        <v>922</v>
      </c>
      <c r="U189" s="83" t="s">
        <v>923</v>
      </c>
      <c r="V189" s="81" t="s">
        <v>924</v>
      </c>
      <c r="W189" s="83" t="s">
        <v>925</v>
      </c>
      <c r="X189" s="81" t="s">
        <v>926</v>
      </c>
    </row>
    <row r="190">
      <c r="A190" s="31" t="str">
        <f>Translation!A199</f>
        <v>TOTAL DE VENDAS DE USADOS</v>
      </c>
      <c r="B190" s="38" t="s">
        <v>927</v>
      </c>
      <c r="C190" s="112" t="e">
        <f>VLOOKUP(Q190,Data!$B:$E,3,FALSE)</f>
        <v>#N/A</v>
      </c>
      <c r="D190" s="141" t="e">
        <f>VLOOKUP(R190,Data!$B:$E,3,FALSE)</f>
        <v>#N/A</v>
      </c>
      <c r="E190" s="141" t="e">
        <f>VLOOKUP(T190,Data!$B:$E,3,FALSE)</f>
        <v>#N/A</v>
      </c>
      <c r="F190" s="141" t="e">
        <f>VLOOKUP(T190,Data!$B:$E,3,FALSE)</f>
        <v>#N/A</v>
      </c>
      <c r="G190" s="141" t="e">
        <f>VLOOKUP(U190,Data!$B:$E,3,FALSE)</f>
        <v>#N/A</v>
      </c>
      <c r="H190" s="141" t="e">
        <f>VLOOKUP(V190,Data!$B:$E,3,FALSE)</f>
        <v>#N/A</v>
      </c>
      <c r="I190" s="141" t="e">
        <f>VLOOKUP(W190,Data!$B:$E,3,FALSE)</f>
        <v>#N/A</v>
      </c>
      <c r="J190" s="141" t="e">
        <f>VLOOKUP(X190,Data!$B:$E,3,FALSE)</f>
        <v>#N/A</v>
      </c>
      <c r="O190" s="48" t="s">
        <v>928</v>
      </c>
      <c r="P190" s="38" t="s">
        <v>927</v>
      </c>
      <c r="Q190" s="81" t="s">
        <v>929</v>
      </c>
      <c r="R190" s="81" t="s">
        <v>930</v>
      </c>
      <c r="S190" s="81" t="s">
        <v>931</v>
      </c>
      <c r="T190" s="81" t="s">
        <v>932</v>
      </c>
      <c r="U190" s="81" t="s">
        <v>933</v>
      </c>
      <c r="V190" s="81" t="s">
        <v>934</v>
      </c>
      <c r="W190" s="81" t="s">
        <v>935</v>
      </c>
      <c r="X190" s="81" t="s">
        <v>936</v>
      </c>
    </row>
    <row r="191">
      <c r="A191" s="30" t="str">
        <f>Translation!A200</f>
        <v>OUTRAS RECEITAS OPERACIONAIS</v>
      </c>
      <c r="B191" s="40" t="str">
        <f>Translation!$G$32</f>
        <v>CONTA</v>
      </c>
      <c r="C191" s="121" t="str">
        <f>Translation!$G$1</f>
        <v>VALOR</v>
      </c>
      <c r="D191" s="113"/>
      <c r="E191" s="113"/>
      <c r="F191" s="113"/>
      <c r="G191" s="113"/>
      <c r="H191" s="113"/>
      <c r="I191" s="113"/>
      <c r="O191" s="27" t="s">
        <v>671</v>
      </c>
      <c r="P191" s="40" t="str">
        <f>Translation!$G$32</f>
        <v>CONTA</v>
      </c>
      <c r="Q191" s="79" t="str">
        <f>Translation!$G$1</f>
        <v>VALOR</v>
      </c>
      <c r="R191" s="84"/>
      <c r="S191" s="84"/>
      <c r="T191" s="84"/>
      <c r="U191" s="84"/>
      <c r="V191" s="84"/>
      <c r="W191" s="84"/>
    </row>
    <row r="192">
      <c r="A192" s="26" t="str">
        <f>Translation!A201</f>
        <v>INCENTIVOS DE VAREJO</v>
      </c>
      <c r="B192" s="40" t="s">
        <v>937</v>
      </c>
      <c r="C192" s="140" t="e">
        <f>VLOOKUP(Q192,Data!$B:$E,3,FALSE)</f>
        <v>#N/A</v>
      </c>
      <c r="D192" s="114"/>
      <c r="E192" s="114"/>
      <c r="F192" s="113"/>
      <c r="G192" s="113"/>
      <c r="H192" s="113"/>
      <c r="I192" s="113"/>
      <c r="O192" s="29" t="s">
        <v>673</v>
      </c>
      <c r="P192" s="40" t="s">
        <v>937</v>
      </c>
      <c r="Q192" s="83" t="s">
        <v>938</v>
      </c>
      <c r="R192" s="83"/>
      <c r="S192" s="83"/>
      <c r="T192" s="84"/>
      <c r="U192" s="84"/>
      <c r="V192" s="84"/>
      <c r="W192" s="84"/>
    </row>
    <row r="193">
      <c r="A193" s="26" t="str">
        <f>Translation!A202</f>
        <v>BONIFICAÇÕES 1</v>
      </c>
      <c r="B193" s="40" t="s">
        <v>939</v>
      </c>
      <c r="C193" s="140" t="e">
        <f>VLOOKUP(Q193,Data!$B:$E,3,FALSE)</f>
        <v>#N/A</v>
      </c>
      <c r="D193" s="115"/>
      <c r="E193" s="115"/>
      <c r="F193" s="115"/>
      <c r="G193" s="116"/>
      <c r="H193" s="115"/>
      <c r="I193" s="115"/>
      <c r="O193" s="29" t="s">
        <v>676</v>
      </c>
      <c r="P193" s="40" t="s">
        <v>939</v>
      </c>
      <c r="Q193" s="85" t="s">
        <v>940</v>
      </c>
      <c r="R193" s="85"/>
      <c r="S193" s="85"/>
      <c r="T193" s="85"/>
      <c r="U193" s="86"/>
      <c r="V193" s="85"/>
      <c r="W193" s="85"/>
    </row>
    <row r="194">
      <c r="A194" s="26" t="str">
        <f>Translation!A203</f>
        <v>BONIFICAÇÕES 2</v>
      </c>
      <c r="B194" s="40" t="s">
        <v>941</v>
      </c>
      <c r="C194" s="140" t="e">
        <f>VLOOKUP(Q194,Data!$B:$E,3,FALSE)</f>
        <v>#N/A</v>
      </c>
      <c r="D194" s="113"/>
      <c r="E194" s="113"/>
      <c r="F194" s="113"/>
      <c r="G194" s="113"/>
      <c r="H194" s="113"/>
      <c r="I194" s="113"/>
      <c r="O194" s="29" t="s">
        <v>679</v>
      </c>
      <c r="P194" s="40" t="s">
        <v>941</v>
      </c>
      <c r="Q194" s="84" t="s">
        <v>942</v>
      </c>
      <c r="R194" s="84"/>
      <c r="S194" s="84"/>
      <c r="T194" s="84"/>
      <c r="U194" s="84"/>
      <c r="V194" s="84"/>
      <c r="W194" s="84"/>
    </row>
    <row r="195">
      <c r="A195" s="26" t="str">
        <f>Translation!A204</f>
        <v>COMISSÕES DIVERSAS</v>
      </c>
      <c r="B195" s="40" t="s">
        <v>943</v>
      </c>
      <c r="C195" s="140" t="e">
        <f>VLOOKUP(Q195,Data!$B:$E,3,FALSE)</f>
        <v>#N/A</v>
      </c>
      <c r="D195" s="113"/>
      <c r="E195" s="113"/>
      <c r="F195" s="113"/>
      <c r="G195" s="113"/>
      <c r="H195" s="113"/>
      <c r="I195" s="113"/>
      <c r="O195" s="29" t="s">
        <v>682</v>
      </c>
      <c r="P195" s="40" t="s">
        <v>943</v>
      </c>
      <c r="Q195" s="84" t="s">
        <v>944</v>
      </c>
      <c r="R195" s="84"/>
      <c r="S195" s="84"/>
      <c r="T195" s="84"/>
      <c r="U195" s="84"/>
      <c r="V195" s="84"/>
      <c r="W195" s="84"/>
    </row>
    <row r="196">
      <c r="A196" s="26" t="str">
        <f>Translation!A205</f>
        <v>OUTRAS RECEITAS</v>
      </c>
      <c r="B196" s="40" t="s">
        <v>945</v>
      </c>
      <c r="C196" s="140" t="e">
        <f>VLOOKUP(Q196,Data!$B:$E,3,FALSE)</f>
        <v>#N/A</v>
      </c>
      <c r="D196" s="113"/>
      <c r="E196" s="113"/>
      <c r="F196" s="113"/>
      <c r="G196" s="113"/>
      <c r="H196" s="113"/>
      <c r="I196" s="113"/>
      <c r="O196" s="29" t="s">
        <v>685</v>
      </c>
      <c r="P196" s="40" t="s">
        <v>945</v>
      </c>
      <c r="Q196" s="84" t="s">
        <v>946</v>
      </c>
      <c r="R196" s="84"/>
      <c r="S196" s="84"/>
      <c r="T196" s="84"/>
      <c r="U196" s="84"/>
      <c r="V196" s="84"/>
      <c r="W196" s="84"/>
    </row>
    <row r="197">
      <c r="A197" s="31" t="str">
        <f>Translation!A206</f>
        <v>TOTAL DE OUTRAS RECEITAS OPERACIONAIS</v>
      </c>
      <c r="B197" s="38" t="s">
        <v>947</v>
      </c>
      <c r="C197" s="141" t="e">
        <f>VLOOKUP(Q197,Data!$B:$E,3,FALSE)</f>
        <v>#N/A</v>
      </c>
      <c r="D197" s="117"/>
      <c r="E197" s="117"/>
      <c r="F197" s="117"/>
      <c r="G197" s="117"/>
      <c r="H197" s="117"/>
      <c r="I197" s="117"/>
      <c r="O197" s="48" t="s">
        <v>688</v>
      </c>
      <c r="P197" s="38" t="s">
        <v>947</v>
      </c>
      <c r="Q197" s="81" t="s">
        <v>948</v>
      </c>
      <c r="R197" s="87"/>
      <c r="S197" s="87"/>
      <c r="T197" s="87"/>
      <c r="U197" s="87"/>
      <c r="V197" s="87"/>
      <c r="W197" s="87"/>
    </row>
    <row r="198">
      <c r="A198" s="30" t="str">
        <f>Translation!A207</f>
        <v>DESPESAS VARIÁVEIS</v>
      </c>
      <c r="B198" s="40" t="str">
        <f>Translation!$G$32</f>
        <v>CONTA</v>
      </c>
      <c r="C198" s="121" t="str">
        <f>Translation!$G$1</f>
        <v>VALOR</v>
      </c>
      <c r="D198" s="113"/>
      <c r="E198" s="113"/>
      <c r="F198" s="113"/>
      <c r="G198" s="113"/>
      <c r="H198" s="113"/>
      <c r="I198" s="113"/>
      <c r="O198" s="27" t="s">
        <v>690</v>
      </c>
      <c r="P198" s="40" t="str">
        <f>Translation!$G$32</f>
        <v>CONTA</v>
      </c>
      <c r="Q198" s="79" t="str">
        <f>Translation!$G$1</f>
        <v>VALOR</v>
      </c>
      <c r="R198" s="84"/>
      <c r="S198" s="84"/>
      <c r="T198" s="84"/>
      <c r="U198" s="84"/>
      <c r="V198" s="84"/>
      <c r="W198" s="84"/>
    </row>
    <row r="199">
      <c r="A199" s="26" t="str">
        <f>Translation!A208</f>
        <v>COMISSÕES SOBRE VENDAS</v>
      </c>
      <c r="B199" s="40" t="s">
        <v>949</v>
      </c>
      <c r="C199" s="140" t="e">
        <f>VLOOKUP(Q199,Data!$B:$E,3,FALSE)</f>
        <v>#N/A</v>
      </c>
      <c r="D199" s="114"/>
      <c r="E199" s="114"/>
      <c r="F199" s="113"/>
      <c r="G199" s="113"/>
      <c r="H199" s="113"/>
      <c r="I199" s="113"/>
      <c r="O199" s="29" t="s">
        <v>692</v>
      </c>
      <c r="P199" s="40" t="s">
        <v>949</v>
      </c>
      <c r="Q199" s="83" t="s">
        <v>950</v>
      </c>
      <c r="R199" s="83"/>
      <c r="S199" s="83"/>
      <c r="T199" s="84"/>
      <c r="U199" s="84"/>
      <c r="V199" s="84"/>
      <c r="W199" s="84"/>
    </row>
    <row r="200">
      <c r="A200" s="26" t="str">
        <f>Translation!A209</f>
        <v>ENCARGOS SOBRE COMISSÕES (-)</v>
      </c>
      <c r="B200" s="40" t="s">
        <v>951</v>
      </c>
      <c r="C200" s="140" t="e">
        <f>VLOOKUP(Q200,Data!$B:$E,3,FALSE)</f>
        <v>#N/A</v>
      </c>
      <c r="D200" s="115"/>
      <c r="E200" s="115"/>
      <c r="F200" s="115"/>
      <c r="G200" s="116"/>
      <c r="H200" s="115"/>
      <c r="I200" s="115"/>
      <c r="O200" s="29" t="s">
        <v>695</v>
      </c>
      <c r="P200" s="40" t="s">
        <v>951</v>
      </c>
      <c r="Q200" s="86" t="s">
        <v>952</v>
      </c>
      <c r="R200" s="85"/>
      <c r="S200" s="85"/>
      <c r="T200" s="85"/>
      <c r="U200" s="86"/>
      <c r="V200" s="85"/>
      <c r="W200" s="85"/>
    </row>
    <row r="201">
      <c r="A201" s="26" t="str">
        <f>Translation!A210</f>
        <v>OUTRAS DESPESAS</v>
      </c>
      <c r="B201" s="40" t="s">
        <v>953</v>
      </c>
      <c r="C201" s="140" t="e">
        <f>VLOOKUP(Q201,Data!$B:$E,3,FALSE)</f>
        <v>#N/A</v>
      </c>
      <c r="D201" s="113"/>
      <c r="E201" s="113"/>
      <c r="F201" s="113"/>
      <c r="G201" s="113"/>
      <c r="H201" s="113"/>
      <c r="I201" s="113"/>
      <c r="O201" s="29" t="s">
        <v>698</v>
      </c>
      <c r="P201" s="40" t="s">
        <v>953</v>
      </c>
      <c r="Q201" s="84" t="s">
        <v>954</v>
      </c>
      <c r="R201" s="84"/>
      <c r="S201" s="84"/>
      <c r="T201" s="84"/>
      <c r="U201" s="84"/>
      <c r="V201" s="84"/>
      <c r="W201" s="84"/>
    </row>
    <row r="202">
      <c r="A202" s="31" t="str">
        <f>Translation!A211</f>
        <v>TOTAL DE DESPESAS VARIÁVEIS</v>
      </c>
      <c r="B202" s="38" t="s">
        <v>955</v>
      </c>
      <c r="C202" s="141" t="e">
        <f>VLOOKUP(Q202,Data!$B:$E,3,FALSE)</f>
        <v>#N/A</v>
      </c>
      <c r="D202" s="113"/>
      <c r="E202" s="113"/>
      <c r="F202" s="113"/>
      <c r="G202" s="113"/>
      <c r="H202" s="113"/>
      <c r="I202" s="113"/>
      <c r="O202" s="48" t="s">
        <v>701</v>
      </c>
      <c r="P202" s="38" t="s">
        <v>955</v>
      </c>
      <c r="Q202" s="81" t="s">
        <v>956</v>
      </c>
      <c r="R202" s="84"/>
      <c r="S202" s="84"/>
      <c r="T202" s="84"/>
      <c r="U202" s="84"/>
      <c r="V202" s="84"/>
      <c r="W202" s="84"/>
    </row>
    <row r="203">
      <c r="A203" s="46" t="str">
        <f>Translation!A212</f>
        <v>MARGEM DE CONTRIBUIÇÃO</v>
      </c>
      <c r="B203" s="40" t="str">
        <f>Translation!$G$32</f>
        <v>CONTA</v>
      </c>
      <c r="C203" s="121" t="str">
        <f>Translation!$G$1</f>
        <v>VALOR</v>
      </c>
      <c r="D203" s="113"/>
      <c r="E203" s="113"/>
      <c r="F203" s="113"/>
      <c r="G203" s="113"/>
      <c r="H203" s="113"/>
      <c r="I203" s="113"/>
      <c r="O203" s="28" t="s">
        <v>703</v>
      </c>
      <c r="P203" s="40" t="str">
        <f>Translation!$G$32</f>
        <v>CONTA</v>
      </c>
      <c r="Q203" s="79" t="str">
        <f>Translation!$G$1</f>
        <v>VALOR</v>
      </c>
      <c r="R203" s="84"/>
      <c r="S203" s="84"/>
      <c r="T203" s="84"/>
      <c r="U203" s="84"/>
      <c r="V203" s="84"/>
      <c r="W203" s="84"/>
    </row>
    <row r="204">
      <c r="A204" s="31" t="str">
        <f>Translation!A213</f>
        <v>MARGEM DE CONTRIBUIÇÃO</v>
      </c>
      <c r="B204" s="38" t="s">
        <v>957</v>
      </c>
      <c r="C204" s="141" t="e">
        <f>VLOOKUP(Q204,Data!$B:$E,3,FALSE)</f>
        <v>#N/A</v>
      </c>
      <c r="D204" s="113"/>
      <c r="E204" s="113"/>
      <c r="F204" s="113"/>
      <c r="G204" s="113"/>
      <c r="H204" s="113"/>
      <c r="I204" s="113"/>
      <c r="O204" s="48" t="s">
        <v>703</v>
      </c>
      <c r="P204" s="38" t="s">
        <v>957</v>
      </c>
      <c r="Q204" s="81" t="s">
        <v>958</v>
      </c>
      <c r="R204" s="84"/>
      <c r="S204" s="84"/>
      <c r="T204" s="84"/>
      <c r="U204" s="84"/>
      <c r="V204" s="84"/>
      <c r="W204" s="84"/>
    </row>
    <row r="205">
      <c r="A205" s="30" t="str">
        <f>Translation!A214</f>
        <v>DESPESAS</v>
      </c>
      <c r="B205" s="40" t="str">
        <f>Translation!$G$32</f>
        <v>CONTA</v>
      </c>
      <c r="C205" s="121" t="str">
        <f>Translation!$G$1</f>
        <v>VALOR</v>
      </c>
      <c r="D205" s="113"/>
      <c r="E205" s="113"/>
      <c r="F205" s="113"/>
      <c r="G205" s="113"/>
      <c r="H205" s="113"/>
      <c r="I205" s="113"/>
      <c r="O205" s="27" t="s">
        <v>706</v>
      </c>
      <c r="P205" s="40" t="str">
        <f>Translation!$G$32</f>
        <v>CONTA</v>
      </c>
      <c r="Q205" s="79" t="str">
        <f>Translation!$G$1</f>
        <v>VALOR</v>
      </c>
      <c r="R205" s="84"/>
      <c r="S205" s="84"/>
      <c r="T205" s="84"/>
      <c r="U205" s="84"/>
      <c r="V205" s="84"/>
      <c r="W205" s="84"/>
    </row>
    <row r="206">
      <c r="A206" s="31" t="str">
        <f>Translation!A215</f>
        <v>TOTAL DE DESPESAS COM PESSOAL (A)</v>
      </c>
      <c r="B206" s="38" t="s">
        <v>959</v>
      </c>
      <c r="C206" s="141" t="e">
        <f>VLOOKUP(Q206,Data!$B:$E,3,FALSE)</f>
        <v>#N/A</v>
      </c>
      <c r="D206" s="113"/>
      <c r="E206" s="113"/>
      <c r="F206" s="113"/>
      <c r="G206" s="113"/>
      <c r="H206" s="113"/>
      <c r="I206" s="113"/>
      <c r="O206" s="48" t="s">
        <v>708</v>
      </c>
      <c r="P206" s="38" t="s">
        <v>959</v>
      </c>
      <c r="Q206" s="81" t="s">
        <v>960</v>
      </c>
      <c r="R206" s="84"/>
      <c r="S206" s="84"/>
      <c r="T206" s="84"/>
      <c r="U206" s="84"/>
      <c r="V206" s="84"/>
      <c r="W206" s="84"/>
    </row>
    <row r="207">
      <c r="A207" s="31" t="str">
        <f>Translation!A216</f>
        <v>TOTAL DE DESPESAS COM ESTRUTURA - IMÓVEIS (B)</v>
      </c>
      <c r="B207" s="38" t="s">
        <v>961</v>
      </c>
      <c r="C207" s="141" t="e">
        <f>VLOOKUP(Q207,Data!$B:$E,3,FALSE)</f>
        <v>#N/A</v>
      </c>
      <c r="D207" s="113"/>
      <c r="E207" s="113"/>
      <c r="F207" s="113"/>
      <c r="G207" s="113"/>
      <c r="H207" s="113"/>
      <c r="I207" s="113"/>
      <c r="O207" s="48" t="s">
        <v>711</v>
      </c>
      <c r="P207" s="38" t="s">
        <v>961</v>
      </c>
      <c r="Q207" s="81" t="s">
        <v>962</v>
      </c>
      <c r="R207" s="84"/>
      <c r="S207" s="84"/>
      <c r="T207" s="84"/>
      <c r="U207" s="84"/>
      <c r="V207" s="84"/>
      <c r="W207" s="84"/>
    </row>
    <row r="208">
      <c r="A208" s="31" t="str">
        <f>Translation!A217</f>
        <v>TOTAL DE DESPESAS GERAIS (C)</v>
      </c>
      <c r="B208" s="38" t="s">
        <v>963</v>
      </c>
      <c r="C208" s="141" t="e">
        <f>VLOOKUP(Q208,Data!$B:$E,3,FALSE)</f>
        <v>#N/A</v>
      </c>
      <c r="D208" s="113"/>
      <c r="E208" s="113"/>
      <c r="F208" s="113"/>
      <c r="G208" s="113"/>
      <c r="H208" s="113"/>
      <c r="I208" s="113"/>
      <c r="O208" s="48" t="s">
        <v>714</v>
      </c>
      <c r="P208" s="38" t="s">
        <v>963</v>
      </c>
      <c r="Q208" s="81" t="s">
        <v>964</v>
      </c>
      <c r="R208" s="84"/>
      <c r="S208" s="84"/>
      <c r="T208" s="84"/>
      <c r="U208" s="84"/>
      <c r="V208" s="84"/>
      <c r="W208" s="84"/>
    </row>
    <row r="209">
      <c r="A209" s="31" t="str">
        <f>Translation!A218</f>
        <v>TOTAL DE DESPESAS FIXAS (A+B+C)</v>
      </c>
      <c r="B209" s="38" t="s">
        <v>965</v>
      </c>
      <c r="C209" s="141" t="e">
        <f>VLOOKUP(Q209,Data!$B:$E,3,FALSE)</f>
        <v>#N/A</v>
      </c>
      <c r="D209" s="113"/>
      <c r="E209" s="113"/>
      <c r="F209" s="113"/>
      <c r="G209" s="113"/>
      <c r="H209" s="113"/>
      <c r="I209" s="113"/>
      <c r="O209" s="48" t="s">
        <v>717</v>
      </c>
      <c r="P209" s="38" t="s">
        <v>965</v>
      </c>
      <c r="Q209" s="81" t="s">
        <v>966</v>
      </c>
      <c r="R209" s="84"/>
      <c r="S209" s="84"/>
      <c r="T209" s="84"/>
      <c r="U209" s="84"/>
      <c r="V209" s="84"/>
      <c r="W209" s="84"/>
    </row>
    <row r="210">
      <c r="A210" s="46" t="str">
        <f>Translation!A219</f>
        <v>LUCRO / PREJUÍZO OPERACIONAL</v>
      </c>
      <c r="B210" s="40" t="str">
        <f>Translation!$G$32</f>
        <v>CONTA</v>
      </c>
      <c r="C210" s="121" t="str">
        <f>Translation!$G$1</f>
        <v>VALOR</v>
      </c>
      <c r="D210" s="113"/>
      <c r="E210" s="113"/>
      <c r="F210" s="113"/>
      <c r="G210" s="113"/>
      <c r="H210" s="113"/>
      <c r="I210" s="113"/>
      <c r="O210" s="28" t="s">
        <v>719</v>
      </c>
      <c r="P210" s="40" t="str">
        <f>Translation!$G$32</f>
        <v>CONTA</v>
      </c>
      <c r="Q210" s="79" t="str">
        <f>Translation!$G$1</f>
        <v>VALOR</v>
      </c>
      <c r="R210" s="84"/>
      <c r="S210" s="84"/>
      <c r="T210" s="84"/>
      <c r="U210" s="84"/>
      <c r="V210" s="84"/>
      <c r="W210" s="84"/>
    </row>
    <row r="211">
      <c r="A211" s="31" t="str">
        <f>Translation!A220</f>
        <v>LUCRO / PREJUÍZO OPERACIONAL</v>
      </c>
      <c r="B211" s="38" t="s">
        <v>967</v>
      </c>
      <c r="C211" s="141" t="e">
        <f>VLOOKUP(Q211,Data!$B:$E,3,FALSE)</f>
        <v>#N/A</v>
      </c>
      <c r="D211" s="114"/>
      <c r="E211" s="114"/>
      <c r="F211" s="114"/>
      <c r="G211" s="114"/>
      <c r="H211" s="114"/>
      <c r="I211" s="114"/>
      <c r="O211" s="48" t="s">
        <v>719</v>
      </c>
      <c r="P211" s="38" t="s">
        <v>967</v>
      </c>
      <c r="Q211" s="81" t="s">
        <v>968</v>
      </c>
      <c r="R211" s="83"/>
      <c r="S211" s="83"/>
      <c r="T211" s="83"/>
      <c r="U211" s="83"/>
      <c r="V211" s="83"/>
      <c r="W211" s="83"/>
    </row>
    <row r="212">
      <c r="A212" s="46" t="str">
        <f>Translation!A221</f>
        <v>DESPESAS / RECEITAS NÃO-OPERACIONAIS E FINANCEIRAS </v>
      </c>
      <c r="B212" s="40" t="str">
        <f>Translation!$G$32</f>
        <v>CONTA</v>
      </c>
      <c r="C212" s="121" t="str">
        <f>Translation!$G$1</f>
        <v>VALOR</v>
      </c>
      <c r="D212" s="114"/>
      <c r="E212" s="114"/>
      <c r="F212" s="114"/>
      <c r="G212" s="114"/>
      <c r="H212" s="114"/>
      <c r="I212" s="114"/>
      <c r="O212" s="28" t="s">
        <v>722</v>
      </c>
      <c r="P212" s="40" t="str">
        <f>Translation!$G$32</f>
        <v>CONTA</v>
      </c>
      <c r="Q212" s="79" t="str">
        <f>Translation!$G$1</f>
        <v>VALOR</v>
      </c>
      <c r="R212" s="83"/>
      <c r="S212" s="83"/>
      <c r="T212" s="83"/>
      <c r="U212" s="83"/>
      <c r="V212" s="83"/>
      <c r="W212" s="83"/>
    </row>
    <row r="213">
      <c r="A213" s="31" t="str">
        <f>Translation!A222</f>
        <v>TOTAL DE DESPESAS NÃO-OPERACIONAIS</v>
      </c>
      <c r="B213" s="38" t="s">
        <v>969</v>
      </c>
      <c r="C213" s="141" t="e">
        <f>VLOOKUP(Q213,Data!$B:$E,3,FALSE)</f>
        <v>#N/A</v>
      </c>
      <c r="D213" s="115"/>
      <c r="E213" s="115"/>
      <c r="F213" s="115"/>
      <c r="G213" s="115"/>
      <c r="H213" s="115"/>
      <c r="I213" s="115"/>
      <c r="O213" s="48" t="s">
        <v>724</v>
      </c>
      <c r="P213" s="38" t="s">
        <v>969</v>
      </c>
      <c r="Q213" s="81" t="s">
        <v>970</v>
      </c>
      <c r="R213" s="85"/>
      <c r="S213" s="85"/>
      <c r="T213" s="85"/>
      <c r="U213" s="85"/>
      <c r="V213" s="85"/>
      <c r="W213" s="85"/>
    </row>
    <row r="214">
      <c r="A214" s="31" t="str">
        <f>Translation!A223</f>
        <v>TOTAL DE DESPESAS FINANCEIRAS</v>
      </c>
      <c r="B214" s="38" t="s">
        <v>971</v>
      </c>
      <c r="C214" s="141" t="e">
        <f>VLOOKUP(Q214,Data!$B:$E,3,FALSE)</f>
        <v>#N/A</v>
      </c>
      <c r="D214" s="113"/>
      <c r="E214" s="113"/>
      <c r="F214" s="113"/>
      <c r="G214" s="113"/>
      <c r="H214" s="113"/>
      <c r="I214" s="113"/>
      <c r="O214" s="48" t="s">
        <v>727</v>
      </c>
      <c r="P214" s="38" t="s">
        <v>971</v>
      </c>
      <c r="Q214" s="81" t="s">
        <v>972</v>
      </c>
      <c r="R214" s="84"/>
      <c r="S214" s="84"/>
      <c r="T214" s="84"/>
      <c r="U214" s="84"/>
      <c r="V214" s="84"/>
      <c r="W214" s="84"/>
    </row>
    <row r="215">
      <c r="A215" s="31" t="str">
        <f>Translation!A224</f>
        <v>TOTAL DE RECEITAS NÃO-OPERACIONAIS</v>
      </c>
      <c r="B215" s="38" t="s">
        <v>973</v>
      </c>
      <c r="C215" s="141" t="e">
        <f>VLOOKUP(Q215,Data!$B:$E,3,FALSE)</f>
        <v>#N/A</v>
      </c>
      <c r="D215" s="113"/>
      <c r="E215" s="113"/>
      <c r="F215" s="113"/>
      <c r="G215" s="113"/>
      <c r="H215" s="113"/>
      <c r="I215" s="113"/>
      <c r="O215" s="48" t="s">
        <v>730</v>
      </c>
      <c r="P215" s="38" t="s">
        <v>973</v>
      </c>
      <c r="Q215" s="81" t="s">
        <v>974</v>
      </c>
      <c r="R215" s="84"/>
      <c r="S215" s="84"/>
      <c r="T215" s="84"/>
      <c r="U215" s="84"/>
      <c r="V215" s="84"/>
      <c r="W215" s="84"/>
    </row>
    <row r="216">
      <c r="A216" s="31" t="str">
        <f>Translation!A225</f>
        <v>TOTAL DE RECEITAS FINANCEIRAS</v>
      </c>
      <c r="B216" s="38" t="s">
        <v>975</v>
      </c>
      <c r="C216" s="141" t="e">
        <f>VLOOKUP(Q216,Data!$B:$E,3,FALSE)</f>
        <v>#N/A</v>
      </c>
      <c r="D216" s="113"/>
      <c r="E216" s="113"/>
      <c r="F216" s="113"/>
      <c r="G216" s="113"/>
      <c r="H216" s="113"/>
      <c r="I216" s="113"/>
      <c r="O216" s="48" t="s">
        <v>733</v>
      </c>
      <c r="P216" s="38" t="s">
        <v>975</v>
      </c>
      <c r="Q216" s="81" t="s">
        <v>976</v>
      </c>
      <c r="R216" s="84"/>
      <c r="S216" s="84"/>
      <c r="T216" s="84"/>
      <c r="U216" s="84"/>
      <c r="V216" s="84"/>
      <c r="W216" s="84"/>
    </row>
    <row r="217">
      <c r="A217" s="46" t="str">
        <f>Translation!A226</f>
        <v>FLOOR PLAN</v>
      </c>
      <c r="B217" s="40" t="str">
        <f>Translation!$G$32</f>
        <v>CONTA</v>
      </c>
      <c r="C217" s="121" t="str">
        <f>Translation!$G$1</f>
        <v>VALOR</v>
      </c>
      <c r="D217" s="113"/>
      <c r="E217" s="118"/>
      <c r="F217" s="117"/>
      <c r="G217" s="113"/>
      <c r="H217" s="113"/>
      <c r="I217" s="113"/>
      <c r="O217" s="28" t="s">
        <v>735</v>
      </c>
      <c r="P217" s="40" t="str">
        <f>Translation!$G$32</f>
        <v>CONTA</v>
      </c>
      <c r="Q217" s="79" t="str">
        <f>Translation!$G$1</f>
        <v>VALOR</v>
      </c>
      <c r="R217" s="84"/>
      <c r="S217" s="88"/>
      <c r="T217" s="87"/>
      <c r="U217" s="84"/>
      <c r="V217" s="84"/>
      <c r="W217" s="84"/>
    </row>
    <row r="218">
      <c r="A218" s="26" t="str">
        <f>Translation!A227</f>
        <v>IOF </v>
      </c>
      <c r="B218" s="40" t="s">
        <v>977</v>
      </c>
      <c r="C218" s="140" t="e">
        <f>VLOOKUP(Q218,Data!$B:$E,3,FALSE)</f>
        <v>#N/A</v>
      </c>
      <c r="D218" s="114"/>
      <c r="E218" s="114"/>
      <c r="F218" s="114"/>
      <c r="G218" s="114"/>
      <c r="H218" s="114"/>
      <c r="I218" s="114"/>
      <c r="O218" s="29" t="s">
        <v>737</v>
      </c>
      <c r="P218" s="40" t="s">
        <v>977</v>
      </c>
      <c r="Q218" s="83" t="s">
        <v>978</v>
      </c>
      <c r="R218" s="83"/>
      <c r="S218" s="83"/>
      <c r="T218" s="83"/>
      <c r="U218" s="83"/>
      <c r="V218" s="83"/>
      <c r="W218" s="83"/>
    </row>
    <row r="219">
      <c r="A219" s="26" t="str">
        <f>Translation!A228</f>
        <v>JUROS CONTRATUAIS</v>
      </c>
      <c r="B219" s="40" t="s">
        <v>979</v>
      </c>
      <c r="C219" s="140" t="e">
        <f>VLOOKUP(Q219,Data!$B:$E,3,FALSE)</f>
        <v>#N/A</v>
      </c>
      <c r="D219" s="113"/>
      <c r="E219" s="113"/>
      <c r="F219" s="113"/>
      <c r="G219" s="113"/>
      <c r="H219" s="113"/>
      <c r="I219" s="113"/>
      <c r="O219" s="29" t="s">
        <v>740</v>
      </c>
      <c r="P219" s="40" t="s">
        <v>979</v>
      </c>
      <c r="Q219" s="84" t="s">
        <v>980</v>
      </c>
      <c r="R219" s="84"/>
      <c r="S219" s="84"/>
      <c r="T219" s="84"/>
      <c r="U219" s="84"/>
      <c r="V219" s="84"/>
      <c r="W219" s="84"/>
    </row>
    <row r="220">
      <c r="A220" s="26" t="str">
        <f>Translation!A229</f>
        <v>JUROS DE MORA</v>
      </c>
      <c r="B220" s="40" t="s">
        <v>981</v>
      </c>
      <c r="C220" s="140" t="e">
        <f>VLOOKUP(Q220,Data!$B:$E,3,FALSE)</f>
        <v>#N/A</v>
      </c>
      <c r="D220" s="113"/>
      <c r="E220" s="113"/>
      <c r="F220" s="113"/>
      <c r="G220" s="113"/>
      <c r="H220" s="113"/>
      <c r="I220" s="113"/>
      <c r="O220" s="29" t="s">
        <v>743</v>
      </c>
      <c r="P220" s="40" t="s">
        <v>981</v>
      </c>
      <c r="Q220" s="84" t="s">
        <v>982</v>
      </c>
      <c r="R220" s="84"/>
      <c r="S220" s="84"/>
      <c r="T220" s="84"/>
      <c r="U220" s="84"/>
      <c r="V220" s="84"/>
      <c r="W220" s="84"/>
    </row>
    <row r="221">
      <c r="A221" s="31" t="str">
        <f>Translation!A230</f>
        <v>TOTAL DE DESPESAS DE FLOOR PLAN</v>
      </c>
      <c r="B221" s="38" t="s">
        <v>983</v>
      </c>
      <c r="C221" s="141" t="e">
        <f>VLOOKUP(Q221,Data!$B:$E,3,FALSE)</f>
        <v>#N/A</v>
      </c>
      <c r="D221" s="113"/>
      <c r="E221" s="118"/>
      <c r="F221" s="117"/>
      <c r="G221" s="113"/>
      <c r="H221" s="113"/>
      <c r="I221" s="113"/>
      <c r="O221" s="48" t="s">
        <v>746</v>
      </c>
      <c r="P221" s="38" t="s">
        <v>983</v>
      </c>
      <c r="Q221" s="81" t="s">
        <v>984</v>
      </c>
      <c r="R221" s="84"/>
      <c r="S221" s="88"/>
      <c r="T221" s="87"/>
      <c r="U221" s="84"/>
      <c r="V221" s="84"/>
      <c r="W221" s="84"/>
    </row>
    <row r="222">
      <c r="A222" s="46" t="str">
        <f>Translation!A231</f>
        <v>RESULTADO DEPARTAMENTAL</v>
      </c>
      <c r="B222" s="40" t="str">
        <f>Translation!$G$32</f>
        <v>CONTA</v>
      </c>
      <c r="C222" s="121" t="str">
        <f>Translation!$G$1</f>
        <v>VALOR</v>
      </c>
      <c r="D222" s="113"/>
      <c r="E222" s="113"/>
      <c r="F222" s="113"/>
      <c r="G222" s="113"/>
      <c r="H222" s="113"/>
      <c r="I222" s="113"/>
      <c r="O222" s="28" t="s">
        <v>748</v>
      </c>
      <c r="P222" s="40" t="str">
        <f>Translation!$G$32</f>
        <v>CONTA</v>
      </c>
      <c r="Q222" s="79" t="str">
        <f>Translation!$G$1</f>
        <v>VALOR</v>
      </c>
      <c r="R222" s="84"/>
      <c r="S222" s="84"/>
      <c r="T222" s="84"/>
      <c r="U222" s="84"/>
      <c r="V222" s="84"/>
      <c r="W222" s="84"/>
    </row>
    <row r="223">
      <c r="A223" s="31" t="str">
        <f>Translation!A232</f>
        <v>RESULTADO DO DEPARTAMENTO DE USADOS</v>
      </c>
      <c r="B223" s="38" t="s">
        <v>985</v>
      </c>
      <c r="C223" s="141" t="e">
        <f>VLOOKUP(Q223,Data!$B:$E,3,FALSE)</f>
        <v>#N/A</v>
      </c>
      <c r="D223" s="114"/>
      <c r="E223" s="114"/>
      <c r="F223" s="114"/>
      <c r="G223" s="114"/>
      <c r="H223" s="114"/>
      <c r="I223" s="114"/>
      <c r="O223" s="48" t="s">
        <v>986</v>
      </c>
      <c r="P223" s="38" t="s">
        <v>985</v>
      </c>
      <c r="Q223" s="81" t="s">
        <v>987</v>
      </c>
      <c r="R223" s="83"/>
      <c r="S223" s="83"/>
      <c r="T223" s="83"/>
      <c r="U223" s="83"/>
      <c r="V223" s="83"/>
      <c r="W223" s="83"/>
    </row>
    <row r="224">
      <c r="A224" s="30" t="str">
        <f>Translation!A233</f>
        <v>ESTOQUE (UNIDADES)</v>
      </c>
      <c r="B224" s="40" t="str">
        <f>Translation!$G$32</f>
        <v>CONTA</v>
      </c>
      <c r="C224" s="121" t="str">
        <f>Translation!$G$30</f>
        <v>ESTOQUE FINAL</v>
      </c>
      <c r="D224" s="113"/>
      <c r="E224" s="113"/>
      <c r="F224" s="113"/>
      <c r="G224" s="113"/>
      <c r="H224" s="113"/>
      <c r="I224" s="113"/>
      <c r="O224" s="27" t="s">
        <v>988</v>
      </c>
      <c r="P224" s="40" t="str">
        <f>Translation!$G$32</f>
        <v>CONTA</v>
      </c>
      <c r="Q224" s="79" t="str">
        <f>Translation!$G$30</f>
        <v>ESTOQUE FINAL</v>
      </c>
      <c r="R224" s="84"/>
      <c r="S224" s="84"/>
      <c r="T224" s="84"/>
      <c r="U224" s="84"/>
      <c r="V224" s="84"/>
      <c r="W224" s="84"/>
    </row>
    <row r="225">
      <c r="A225" s="26" t="str">
        <f>Translation!A234</f>
        <v>MOTOCICLETAS YAMAHA</v>
      </c>
      <c r="B225" s="40" t="s">
        <v>989</v>
      </c>
      <c r="C225" s="107" t="e">
        <f>VLOOKUP(Q225,Data!$B:$E,3,FALSE)</f>
        <v>#N/A</v>
      </c>
      <c r="D225" s="115"/>
      <c r="E225" s="115"/>
      <c r="F225" s="115"/>
      <c r="G225" s="115"/>
      <c r="H225" s="115"/>
      <c r="I225" s="115"/>
      <c r="O225" s="29" t="s">
        <v>887</v>
      </c>
      <c r="P225" s="40" t="s">
        <v>989</v>
      </c>
      <c r="Q225" s="83" t="s">
        <v>990</v>
      </c>
      <c r="R225" s="85"/>
      <c r="S225" s="85"/>
      <c r="T225" s="85"/>
      <c r="U225" s="85"/>
      <c r="V225" s="85"/>
      <c r="W225" s="85"/>
    </row>
    <row r="226">
      <c r="A226" s="26" t="str">
        <f>Translation!A235</f>
        <v>MOTOCICLETAS OUTRAS MARCAS</v>
      </c>
      <c r="B226" s="40" t="s">
        <v>991</v>
      </c>
      <c r="C226" s="107" t="e">
        <f>VLOOKUP(Q226,Data!$B:$E,3,FALSE)</f>
        <v>#N/A</v>
      </c>
      <c r="D226" s="113"/>
      <c r="E226" s="113"/>
      <c r="F226" s="113"/>
      <c r="G226" s="113"/>
      <c r="H226" s="113"/>
      <c r="I226" s="113"/>
      <c r="O226" s="29" t="s">
        <v>897</v>
      </c>
      <c r="P226" s="40" t="s">
        <v>991</v>
      </c>
      <c r="Q226" s="83" t="s">
        <v>992</v>
      </c>
      <c r="R226" s="84"/>
      <c r="S226" s="84"/>
      <c r="T226" s="84"/>
      <c r="U226" s="84"/>
      <c r="V226" s="84"/>
      <c r="W226" s="84"/>
    </row>
    <row r="227">
      <c r="A227" s="31" t="str">
        <f>Translation!A236</f>
        <v>TOTAL DE MOTOCICLETAS</v>
      </c>
      <c r="B227" s="38" t="s">
        <v>993</v>
      </c>
      <c r="C227" s="108" t="e">
        <f>VLOOKUP(Q227,Data!$B:$E,3,FALSE)</f>
        <v>#N/A</v>
      </c>
      <c r="D227" s="113"/>
      <c r="E227" s="113"/>
      <c r="F227" s="113"/>
      <c r="G227" s="113"/>
      <c r="H227" s="113"/>
      <c r="I227" s="113"/>
      <c r="O227" s="48" t="s">
        <v>861</v>
      </c>
      <c r="P227" s="38" t="s">
        <v>993</v>
      </c>
      <c r="Q227" s="81" t="s">
        <v>994</v>
      </c>
      <c r="R227" s="84"/>
      <c r="S227" s="84"/>
      <c r="T227" s="84"/>
      <c r="U227" s="84"/>
      <c r="V227" s="84"/>
      <c r="W227" s="84"/>
    </row>
    <row r="228">
      <c r="A228" s="26" t="str">
        <f>Translation!A237</f>
        <v>OUTROS PRODUTOS YAMAHA</v>
      </c>
      <c r="B228" s="40" t="s">
        <v>995</v>
      </c>
      <c r="C228" s="107" t="e">
        <f>VLOOKUP(Q228,Data!$B:$E,3,FALSE)</f>
        <v>#N/A</v>
      </c>
      <c r="D228" s="117"/>
      <c r="E228" s="118"/>
      <c r="F228" s="117"/>
      <c r="G228" s="117"/>
      <c r="H228" s="117"/>
      <c r="I228" s="117"/>
      <c r="O228" s="29" t="s">
        <v>918</v>
      </c>
      <c r="P228" s="40" t="s">
        <v>995</v>
      </c>
      <c r="Q228" s="83" t="s">
        <v>996</v>
      </c>
      <c r="R228" s="87"/>
      <c r="S228" s="88"/>
      <c r="T228" s="87"/>
      <c r="U228" s="87"/>
      <c r="V228" s="87"/>
      <c r="W228" s="87"/>
    </row>
    <row r="229">
      <c r="A229" s="31" t="str">
        <f>Translation!A238</f>
        <v>TOTAL DE ESTOQUE DE USADOS</v>
      </c>
      <c r="B229" s="38" t="s">
        <v>997</v>
      </c>
      <c r="C229" s="108" t="e">
        <f>VLOOKUP(Q229,Data!$B:$E,3,FALSE)</f>
        <v>#N/A</v>
      </c>
      <c r="D229" s="113"/>
      <c r="E229" s="113"/>
      <c r="F229" s="113"/>
      <c r="G229" s="113"/>
      <c r="H229" s="113"/>
      <c r="I229" s="113"/>
      <c r="O229" s="48" t="s">
        <v>998</v>
      </c>
      <c r="P229" s="38" t="s">
        <v>997</v>
      </c>
      <c r="Q229" s="81" t="s">
        <v>999</v>
      </c>
      <c r="R229" s="84"/>
      <c r="S229" s="84"/>
      <c r="T229" s="84"/>
      <c r="U229" s="84"/>
      <c r="V229" s="84"/>
      <c r="W229" s="84"/>
    </row>
    <row r="230">
      <c r="A230" s="71" t="str">
        <f>Translation!A3</f>
        <v>PEÇAS E ACESSÓRIOS</v>
      </c>
      <c r="B230" s="82"/>
      <c r="C230" s="102"/>
      <c r="D230" s="102"/>
      <c r="E230" s="102"/>
      <c r="F230" s="102"/>
      <c r="G230" s="103"/>
      <c r="H230" s="104"/>
      <c r="I230" s="104"/>
      <c r="O230" s="71" t="s">
        <v>1000</v>
      </c>
      <c r="P230" s="82"/>
      <c r="Q230" s="89"/>
      <c r="R230" s="89"/>
      <c r="S230" s="89"/>
      <c r="T230" s="89"/>
      <c r="U230" s="90"/>
      <c r="V230" s="91"/>
      <c r="W230" s="91"/>
    </row>
    <row r="231" ht="30">
      <c r="A231" s="30" t="str">
        <f>Translation!A240</f>
        <v>PEÇAS &amp; ACESSÓRIOS</v>
      </c>
      <c r="B231" s="40" t="str">
        <f>Translation!$G$32</f>
        <v>CONTA</v>
      </c>
      <c r="C231" s="120" t="str">
        <f>Translation!$G$11</f>
        <v>RECEITA
(SEM IMPOSTOS)</v>
      </c>
      <c r="D231" s="120" t="str">
        <f>Translation!$G$14</f>
        <v>DEVOLUÇÃO
DE VENDAS</v>
      </c>
      <c r="E231" s="120" t="str">
        <f>Translation!$G$3</f>
        <v>ABAT. E DESCONTO</v>
      </c>
      <c r="F231" s="120" t="str">
        <f>Translation!$G$9</f>
        <v>RECEITA LÍQUIDA</v>
      </c>
      <c r="G231" s="121" t="str">
        <f>Translation!$G$2</f>
        <v>CUSTO</v>
      </c>
      <c r="H231" s="121" t="str">
        <f>Translation!$G$5</f>
        <v>LUCRO BRUTO</v>
      </c>
      <c r="I231" s="109"/>
      <c r="O231" s="27" t="s">
        <v>1000</v>
      </c>
      <c r="P231" s="40" t="str">
        <f>Translation!$G$32</f>
        <v>CONTA</v>
      </c>
      <c r="Q231" s="79" t="s">
        <v>3</v>
      </c>
      <c r="R231" s="79" t="s">
        <v>5</v>
      </c>
      <c r="S231" s="79" t="s">
        <v>1001</v>
      </c>
      <c r="T231" s="79" t="s">
        <v>7</v>
      </c>
      <c r="U231" s="79" t="s">
        <v>8</v>
      </c>
      <c r="V231" s="79" t="s">
        <v>9</v>
      </c>
      <c r="W231" s="92"/>
    </row>
    <row r="232">
      <c r="A232" s="26" t="str">
        <f>Translation!A241</f>
        <v>PEÇAS GENUÍNAS</v>
      </c>
      <c r="B232" s="40" t="s">
        <v>1002</v>
      </c>
      <c r="C232" s="140" t="e">
        <f>VLOOKUP(Q232,Data!$B:$E,3,FALSE)</f>
        <v>#N/A</v>
      </c>
      <c r="D232" s="140" t="e">
        <f>VLOOKUP(R232,Data!$B:$E,3,FALSE)</f>
        <v>#N/A</v>
      </c>
      <c r="E232" s="140" t="e">
        <f>VLOOKUP(S232,Data!$B:$E,3,FALSE)</f>
        <v>#N/A</v>
      </c>
      <c r="F232" s="141" t="e">
        <f>VLOOKUP(T232,Data!$B:$E,3,FALSE)</f>
        <v>#N/A</v>
      </c>
      <c r="G232" s="140" t="e">
        <f>VLOOKUP(U232,Data!$B:$E,3,FALSE)</f>
        <v>#N/A</v>
      </c>
      <c r="H232" s="141" t="e">
        <f>VLOOKUP(V232,Data!$B:$E,3,FALSE)</f>
        <v>#N/A</v>
      </c>
      <c r="I232" s="109"/>
      <c r="O232" s="29" t="s">
        <v>1003</v>
      </c>
      <c r="P232" s="40" t="s">
        <v>1002</v>
      </c>
      <c r="Q232" s="84" t="s">
        <v>1004</v>
      </c>
      <c r="R232" s="84" t="s">
        <v>1005</v>
      </c>
      <c r="S232" s="84" t="s">
        <v>1006</v>
      </c>
      <c r="T232" s="81" t="s">
        <v>1007</v>
      </c>
      <c r="U232" s="56" t="s">
        <v>1008</v>
      </c>
      <c r="V232" s="81" t="s">
        <v>1009</v>
      </c>
      <c r="W232" s="92"/>
    </row>
    <row r="233">
      <c r="A233" s="26" t="str">
        <f>Translation!A242</f>
        <v>PEÇAS YTEC</v>
      </c>
      <c r="B233" s="40" t="s">
        <v>1010</v>
      </c>
      <c r="C233" s="140" t="e">
        <f>VLOOKUP(Q233,Data!$B:$E,3,FALSE)</f>
        <v>#N/A</v>
      </c>
      <c r="D233" s="140" t="e">
        <f>VLOOKUP(R233,Data!$B:$E,3,FALSE)</f>
        <v>#N/A</v>
      </c>
      <c r="E233" s="140" t="e">
        <f>VLOOKUP(S233,Data!$B:$E,3,FALSE)</f>
        <v>#N/A</v>
      </c>
      <c r="F233" s="141" t="e">
        <f>VLOOKUP(T233,Data!$B:$E,3,FALSE)</f>
        <v>#N/A</v>
      </c>
      <c r="G233" s="140" t="e">
        <f>VLOOKUP(U233,Data!$B:$E,3,FALSE)</f>
        <v>#N/A</v>
      </c>
      <c r="H233" s="141" t="e">
        <f>VLOOKUP(V233,Data!$B:$E,3,FALSE)</f>
        <v>#N/A</v>
      </c>
      <c r="I233" s="109"/>
      <c r="O233" s="29" t="s">
        <v>1011</v>
      </c>
      <c r="P233" s="40" t="s">
        <v>1010</v>
      </c>
      <c r="Q233" s="84" t="s">
        <v>1012</v>
      </c>
      <c r="R233" s="84" t="s">
        <v>1013</v>
      </c>
      <c r="S233" s="84" t="s">
        <v>1014</v>
      </c>
      <c r="T233" s="81" t="s">
        <v>1015</v>
      </c>
      <c r="U233" s="56" t="s">
        <v>1016</v>
      </c>
      <c r="V233" s="81" t="s">
        <v>1017</v>
      </c>
      <c r="W233" s="92"/>
    </row>
    <row r="234">
      <c r="A234" s="26" t="str">
        <f>Translation!A243</f>
        <v>PEÇAS NÃO GENUÍNAS</v>
      </c>
      <c r="B234" s="40" t="s">
        <v>1018</v>
      </c>
      <c r="C234" s="140" t="e">
        <f>VLOOKUP(Q234,Data!$B:$E,3,FALSE)</f>
        <v>#N/A</v>
      </c>
      <c r="D234" s="140" t="e">
        <f>VLOOKUP(R234,Data!$B:$E,3,FALSE)</f>
        <v>#N/A</v>
      </c>
      <c r="E234" s="140" t="e">
        <f>VLOOKUP(S234,Data!$B:$E,3,FALSE)</f>
        <v>#N/A</v>
      </c>
      <c r="F234" s="141" t="e">
        <f>VLOOKUP(T234,Data!$B:$E,3,FALSE)</f>
        <v>#N/A</v>
      </c>
      <c r="G234" s="140" t="e">
        <f>VLOOKUP(U234,Data!$B:$E,3,FALSE)</f>
        <v>#N/A</v>
      </c>
      <c r="H234" s="141" t="e">
        <f>VLOOKUP(V234,Data!$B:$E,3,FALSE)</f>
        <v>#N/A</v>
      </c>
      <c r="I234" s="109"/>
      <c r="O234" s="29" t="s">
        <v>1019</v>
      </c>
      <c r="P234" s="40" t="s">
        <v>1018</v>
      </c>
      <c r="Q234" s="84" t="s">
        <v>1020</v>
      </c>
      <c r="R234" s="84" t="s">
        <v>1021</v>
      </c>
      <c r="S234" s="84" t="s">
        <v>1022</v>
      </c>
      <c r="T234" s="81" t="s">
        <v>1023</v>
      </c>
      <c r="U234" s="56" t="s">
        <v>1024</v>
      </c>
      <c r="V234" s="81" t="s">
        <v>1025</v>
      </c>
      <c r="W234" s="92"/>
    </row>
    <row r="235">
      <c r="A235" s="26" t="str">
        <f>Translation!A244</f>
        <v>ACESSÓRIOS</v>
      </c>
      <c r="B235" s="40" t="s">
        <v>1026</v>
      </c>
      <c r="C235" s="140" t="e">
        <f>VLOOKUP(Q235,Data!$B:$E,3,FALSE)</f>
        <v>#N/A</v>
      </c>
      <c r="D235" s="140" t="e">
        <f>VLOOKUP(R235,Data!$B:$E,3,FALSE)</f>
        <v>#N/A</v>
      </c>
      <c r="E235" s="140" t="e">
        <f>VLOOKUP(S235,Data!$B:$E,3,FALSE)</f>
        <v>#N/A</v>
      </c>
      <c r="F235" s="141" t="e">
        <f>VLOOKUP(T235,Data!$B:$E,3,FALSE)</f>
        <v>#N/A</v>
      </c>
      <c r="G235" s="140" t="e">
        <f>VLOOKUP(U235,Data!$B:$E,3,FALSE)</f>
        <v>#N/A</v>
      </c>
      <c r="H235" s="141" t="e">
        <f>VLOOKUP(V235,Data!$B:$E,3,FALSE)</f>
        <v>#N/A</v>
      </c>
      <c r="I235" s="109"/>
      <c r="O235" s="29" t="s">
        <v>1027</v>
      </c>
      <c r="P235" s="40" t="s">
        <v>1026</v>
      </c>
      <c r="Q235" s="84" t="s">
        <v>1028</v>
      </c>
      <c r="R235" s="84" t="s">
        <v>1029</v>
      </c>
      <c r="S235" s="84" t="s">
        <v>1030</v>
      </c>
      <c r="T235" s="81" t="s">
        <v>1031</v>
      </c>
      <c r="U235" s="56" t="s">
        <v>1032</v>
      </c>
      <c r="V235" s="81" t="s">
        <v>1033</v>
      </c>
      <c r="W235" s="92"/>
    </row>
    <row r="236">
      <c r="A236" s="31" t="str">
        <f>Translation!A245</f>
        <v>RECEITA DE VENDA BALCÃO</v>
      </c>
      <c r="B236" s="40" t="s">
        <v>1034</v>
      </c>
      <c r="C236" s="141" t="e">
        <f>VLOOKUP(Q236,Data!$B:$E,3,FALSE)</f>
        <v>#N/A</v>
      </c>
      <c r="D236" s="141" t="e">
        <f>VLOOKUP(R236,Data!$B:$E,3,FALSE)</f>
        <v>#N/A</v>
      </c>
      <c r="E236" s="141" t="e">
        <f>VLOOKUP(S236,Data!$B:$E,3,FALSE)</f>
        <v>#N/A</v>
      </c>
      <c r="F236" s="141" t="e">
        <f>VLOOKUP(T236,Data!$B:$E,3,FALSE)</f>
        <v>#N/A</v>
      </c>
      <c r="G236" s="141" t="e">
        <f>VLOOKUP(U236,Data!$B:$E,3,FALSE)</f>
        <v>#N/A</v>
      </c>
      <c r="H236" s="141" t="e">
        <f>VLOOKUP(V236,Data!$B:$E,3,FALSE)</f>
        <v>#N/A</v>
      </c>
      <c r="I236" s="109"/>
      <c r="O236" s="48" t="s">
        <v>1035</v>
      </c>
      <c r="P236" s="40" t="s">
        <v>1034</v>
      </c>
      <c r="Q236" s="57" t="s">
        <v>1036</v>
      </c>
      <c r="R236" s="57" t="s">
        <v>1037</v>
      </c>
      <c r="S236" s="57" t="s">
        <v>1038</v>
      </c>
      <c r="T236" s="81" t="s">
        <v>1039</v>
      </c>
      <c r="U236" s="57" t="s">
        <v>1040</v>
      </c>
      <c r="V236" s="81" t="s">
        <v>1041</v>
      </c>
      <c r="W236" s="92"/>
    </row>
    <row r="237">
      <c r="A237" s="26" t="str">
        <f>Translation!A246</f>
        <v>PEÇAS GENUÍNAS</v>
      </c>
      <c r="B237" s="40" t="s">
        <v>1042</v>
      </c>
      <c r="C237" s="140" t="e">
        <f>VLOOKUP(Q237,Data!$B:$E,3,FALSE)</f>
        <v>#N/A</v>
      </c>
      <c r="D237" s="140" t="e">
        <f>VLOOKUP(R237,Data!$B:$E,3,FALSE)</f>
        <v>#N/A</v>
      </c>
      <c r="E237" s="140" t="e">
        <f>VLOOKUP(S237,Data!$B:$E,3,FALSE)</f>
        <v>#N/A</v>
      </c>
      <c r="F237" s="141" t="e">
        <f>VLOOKUP(T237,Data!$B:$E,3,FALSE)</f>
        <v>#N/A</v>
      </c>
      <c r="G237" s="140" t="e">
        <f>VLOOKUP(U237,Data!$B:$E,3,FALSE)</f>
        <v>#N/A</v>
      </c>
      <c r="H237" s="141" t="e">
        <f>VLOOKUP(V237,Data!$B:$E,3,FALSE)</f>
        <v>#N/A</v>
      </c>
      <c r="I237" s="109"/>
      <c r="O237" s="29" t="s">
        <v>1003</v>
      </c>
      <c r="P237" s="40" t="s">
        <v>1042</v>
      </c>
      <c r="Q237" s="84" t="s">
        <v>1043</v>
      </c>
      <c r="R237" s="84" t="s">
        <v>1044</v>
      </c>
      <c r="S237" s="84" t="s">
        <v>1045</v>
      </c>
      <c r="T237" s="81" t="s">
        <v>1046</v>
      </c>
      <c r="U237" s="56" t="s">
        <v>1047</v>
      </c>
      <c r="V237" s="81" t="s">
        <v>1048</v>
      </c>
      <c r="W237" s="92"/>
    </row>
    <row r="238">
      <c r="A238" s="26" t="str">
        <f>Translation!A247</f>
        <v>PEÇAS YTEC</v>
      </c>
      <c r="B238" s="40" t="s">
        <v>1049</v>
      </c>
      <c r="C238" s="140" t="e">
        <f>VLOOKUP(Q238,Data!$B:$E,3,FALSE)</f>
        <v>#N/A</v>
      </c>
      <c r="D238" s="140" t="e">
        <f>VLOOKUP(R238,Data!$B:$E,3,FALSE)</f>
        <v>#N/A</v>
      </c>
      <c r="E238" s="140" t="e">
        <f>VLOOKUP(S238,Data!$B:$E,3,FALSE)</f>
        <v>#N/A</v>
      </c>
      <c r="F238" s="141" t="e">
        <f>VLOOKUP(T238,Data!$B:$E,3,FALSE)</f>
        <v>#N/A</v>
      </c>
      <c r="G238" s="140" t="e">
        <f>VLOOKUP(U238,Data!$B:$E,3,FALSE)</f>
        <v>#N/A</v>
      </c>
      <c r="H238" s="141" t="e">
        <f>VLOOKUP(V238,Data!$B:$E,3,FALSE)</f>
        <v>#N/A</v>
      </c>
      <c r="I238" s="109"/>
      <c r="O238" s="29" t="s">
        <v>1011</v>
      </c>
      <c r="P238" s="40" t="s">
        <v>1049</v>
      </c>
      <c r="Q238" s="84" t="s">
        <v>1050</v>
      </c>
      <c r="R238" s="84" t="s">
        <v>1051</v>
      </c>
      <c r="S238" s="84" t="s">
        <v>1052</v>
      </c>
      <c r="T238" s="81" t="s">
        <v>1053</v>
      </c>
      <c r="U238" s="56" t="s">
        <v>1054</v>
      </c>
      <c r="V238" s="81" t="s">
        <v>1055</v>
      </c>
      <c r="W238" s="92"/>
    </row>
    <row r="239">
      <c r="A239" s="26" t="str">
        <f>Translation!A248</f>
        <v>PEÇAS NÃO GENUÍNAS</v>
      </c>
      <c r="B239" s="40" t="s">
        <v>1056</v>
      </c>
      <c r="C239" s="140" t="e">
        <f>VLOOKUP(Q239,Data!$B:$E,3,FALSE)</f>
        <v>#N/A</v>
      </c>
      <c r="D239" s="140" t="e">
        <f>VLOOKUP(R239,Data!$B:$E,3,FALSE)</f>
        <v>#N/A</v>
      </c>
      <c r="E239" s="140" t="e">
        <f>VLOOKUP(S239,Data!$B:$E,3,FALSE)</f>
        <v>#N/A</v>
      </c>
      <c r="F239" s="141" t="e">
        <f>VLOOKUP(T239,Data!$B:$E,3,FALSE)</f>
        <v>#N/A</v>
      </c>
      <c r="G239" s="140" t="e">
        <f>VLOOKUP(U239,Data!$B:$E,3,FALSE)</f>
        <v>#N/A</v>
      </c>
      <c r="H239" s="141" t="e">
        <f>VLOOKUP(V239,Data!$B:$E,3,FALSE)</f>
        <v>#N/A</v>
      </c>
      <c r="I239" s="109"/>
      <c r="O239" s="29" t="s">
        <v>1019</v>
      </c>
      <c r="P239" s="40" t="s">
        <v>1056</v>
      </c>
      <c r="Q239" s="84" t="s">
        <v>1057</v>
      </c>
      <c r="R239" s="84" t="s">
        <v>1058</v>
      </c>
      <c r="S239" s="84" t="s">
        <v>1059</v>
      </c>
      <c r="T239" s="81" t="s">
        <v>1060</v>
      </c>
      <c r="U239" s="56" t="s">
        <v>1061</v>
      </c>
      <c r="V239" s="81" t="s">
        <v>1062</v>
      </c>
      <c r="W239" s="80"/>
    </row>
    <row r="240">
      <c r="A240" s="26" t="str">
        <f>Translation!A249</f>
        <v>ACESSÓRIOS</v>
      </c>
      <c r="B240" s="40" t="s">
        <v>1063</v>
      </c>
      <c r="C240" s="140" t="e">
        <f>VLOOKUP(Q240,Data!$B:$E,3,FALSE)</f>
        <v>#N/A</v>
      </c>
      <c r="D240" s="140" t="e">
        <f>VLOOKUP(R240,Data!$B:$E,3,FALSE)</f>
        <v>#N/A</v>
      </c>
      <c r="E240" s="140" t="e">
        <f>VLOOKUP(S240,Data!$B:$E,3,FALSE)</f>
        <v>#N/A</v>
      </c>
      <c r="F240" s="141" t="e">
        <f>VLOOKUP(T240,Data!$B:$E,3,FALSE)</f>
        <v>#N/A</v>
      </c>
      <c r="G240" s="140" t="e">
        <f>VLOOKUP(U240,Data!$B:$E,3,FALSE)</f>
        <v>#N/A</v>
      </c>
      <c r="H240" s="141" t="e">
        <f>VLOOKUP(V240,Data!$B:$E,3,FALSE)</f>
        <v>#N/A</v>
      </c>
      <c r="I240" s="116"/>
      <c r="O240" s="29" t="s">
        <v>1027</v>
      </c>
      <c r="P240" s="40" t="s">
        <v>1063</v>
      </c>
      <c r="Q240" s="84" t="s">
        <v>1064</v>
      </c>
      <c r="R240" s="84" t="s">
        <v>1065</v>
      </c>
      <c r="S240" s="84" t="s">
        <v>1066</v>
      </c>
      <c r="T240" s="81" t="s">
        <v>1067</v>
      </c>
      <c r="U240" s="56" t="s">
        <v>1068</v>
      </c>
      <c r="V240" s="81" t="s">
        <v>1069</v>
      </c>
      <c r="W240" s="86"/>
    </row>
    <row r="241">
      <c r="A241" s="31" t="str">
        <f>Translation!A250</f>
        <v>RECEITA DE VENDA ATACADO</v>
      </c>
      <c r="B241" s="40" t="s">
        <v>1070</v>
      </c>
      <c r="C241" s="141" t="e">
        <f>VLOOKUP(Q241,Data!$B:$E,3,FALSE)</f>
        <v>#N/A</v>
      </c>
      <c r="D241" s="141" t="e">
        <f>VLOOKUP(R241,Data!$B:$E,3,FALSE)</f>
        <v>#N/A</v>
      </c>
      <c r="E241" s="141" t="e">
        <f>VLOOKUP(S241,Data!$B:$E,3,FALSE)</f>
        <v>#N/A</v>
      </c>
      <c r="F241" s="141" t="e">
        <f>VLOOKUP(T241,Data!$B:$E,3,FALSE)</f>
        <v>#N/A</v>
      </c>
      <c r="G241" s="141" t="e">
        <f>VLOOKUP(U241,Data!$B:$E,3,FALSE)</f>
        <v>#N/A</v>
      </c>
      <c r="H241" s="141" t="e">
        <f>VLOOKUP(V241,Data!$B:$E,3,FALSE)</f>
        <v>#N/A</v>
      </c>
      <c r="I241" s="113"/>
      <c r="O241" s="48" t="s">
        <v>1071</v>
      </c>
      <c r="P241" s="40" t="s">
        <v>1070</v>
      </c>
      <c r="Q241" s="57" t="s">
        <v>1072</v>
      </c>
      <c r="R241" s="57" t="s">
        <v>1073</v>
      </c>
      <c r="S241" s="57" t="s">
        <v>1074</v>
      </c>
      <c r="T241" s="81" t="s">
        <v>1075</v>
      </c>
      <c r="U241" s="57" t="s">
        <v>1076</v>
      </c>
      <c r="V241" s="81" t="s">
        <v>1077</v>
      </c>
      <c r="W241" s="84"/>
    </row>
    <row r="242">
      <c r="A242" s="26" t="str">
        <f>Translation!A251</f>
        <v>PEÇAS GENUÍNAS</v>
      </c>
      <c r="B242" s="40" t="s">
        <v>1078</v>
      </c>
      <c r="C242" s="140" t="e">
        <f>VLOOKUP(Q242,Data!$B:$E,3,FALSE)</f>
        <v>#N/A</v>
      </c>
      <c r="D242" s="140" t="e">
        <f>VLOOKUP(R242,Data!$B:$E,3,FALSE)</f>
        <v>#N/A</v>
      </c>
      <c r="E242" s="140" t="e">
        <f>VLOOKUP(S242,Data!$B:$E,3,FALSE)</f>
        <v>#N/A</v>
      </c>
      <c r="F242" s="141" t="e">
        <f>VLOOKUP(T242,Data!$B:$E,3,FALSE)</f>
        <v>#N/A</v>
      </c>
      <c r="G242" s="140" t="e">
        <f>VLOOKUP(U242,Data!$B:$E,3,FALSE)</f>
        <v>#N/A</v>
      </c>
      <c r="H242" s="141" t="e">
        <f>VLOOKUP(V242,Data!$B:$E,3,FALSE)</f>
        <v>#N/A</v>
      </c>
      <c r="I242" s="113"/>
      <c r="O242" s="29" t="s">
        <v>1003</v>
      </c>
      <c r="P242" s="40" t="s">
        <v>1078</v>
      </c>
      <c r="Q242" s="84" t="s">
        <v>1079</v>
      </c>
      <c r="R242" s="84" t="s">
        <v>1080</v>
      </c>
      <c r="S242" s="84" t="s">
        <v>1081</v>
      </c>
      <c r="T242" s="81" t="s">
        <v>1082</v>
      </c>
      <c r="U242" s="56" t="s">
        <v>1083</v>
      </c>
      <c r="V242" s="81" t="s">
        <v>1084</v>
      </c>
      <c r="W242" s="84"/>
    </row>
    <row r="243">
      <c r="A243" s="26" t="str">
        <f>Translation!A252</f>
        <v>PEÇAS YTEC</v>
      </c>
      <c r="B243" s="40" t="s">
        <v>1085</v>
      </c>
      <c r="C243" s="140" t="e">
        <f>VLOOKUP(Q243,Data!$B:$E,3,FALSE)</f>
        <v>#N/A</v>
      </c>
      <c r="D243" s="140" t="e">
        <f>VLOOKUP(R243,Data!$B:$E,3,FALSE)</f>
        <v>#N/A</v>
      </c>
      <c r="E243" s="140" t="e">
        <f>VLOOKUP(S243,Data!$B:$E,3,FALSE)</f>
        <v>#N/A</v>
      </c>
      <c r="F243" s="141" t="e">
        <f>VLOOKUP(T243,Data!$B:$E,3,FALSE)</f>
        <v>#N/A</v>
      </c>
      <c r="G243" s="140" t="e">
        <f>VLOOKUP(U243,Data!$B:$E,3,FALSE)</f>
        <v>#N/A</v>
      </c>
      <c r="H243" s="141" t="e">
        <f>VLOOKUP(V243,Data!$B:$E,3,FALSE)</f>
        <v>#N/A</v>
      </c>
      <c r="I243" s="113"/>
      <c r="O243" s="29" t="s">
        <v>1011</v>
      </c>
      <c r="P243" s="40" t="s">
        <v>1085</v>
      </c>
      <c r="Q243" s="84" t="s">
        <v>1086</v>
      </c>
      <c r="R243" s="84" t="s">
        <v>1087</v>
      </c>
      <c r="S243" s="84" t="s">
        <v>1088</v>
      </c>
      <c r="T243" s="81" t="s">
        <v>1089</v>
      </c>
      <c r="U243" s="56" t="s">
        <v>1090</v>
      </c>
      <c r="V243" s="81" t="s">
        <v>1091</v>
      </c>
      <c r="W243" s="84"/>
    </row>
    <row r="244">
      <c r="A244" s="26" t="str">
        <f>Translation!A253</f>
        <v>PEÇAS NÃO GENUÍNAS</v>
      </c>
      <c r="B244" s="40" t="s">
        <v>1092</v>
      </c>
      <c r="C244" s="140" t="e">
        <f>VLOOKUP(Q244,Data!$B:$E,3,FALSE)</f>
        <v>#N/A</v>
      </c>
      <c r="D244" s="140" t="e">
        <f>VLOOKUP(R244,Data!$B:$E,3,FALSE)</f>
        <v>#N/A</v>
      </c>
      <c r="E244" s="140" t="e">
        <f>VLOOKUP(S244,Data!$B:$E,3,FALSE)</f>
        <v>#N/A</v>
      </c>
      <c r="F244" s="141" t="e">
        <f>VLOOKUP(T244,Data!$B:$E,3,FALSE)</f>
        <v>#N/A</v>
      </c>
      <c r="G244" s="140" t="e">
        <f>VLOOKUP(U244,Data!$B:$E,3,FALSE)</f>
        <v>#N/A</v>
      </c>
      <c r="H244" s="141" t="e">
        <f>VLOOKUP(V244,Data!$B:$E,3,FALSE)</f>
        <v>#N/A</v>
      </c>
      <c r="I244" s="117"/>
      <c r="O244" s="29" t="s">
        <v>1019</v>
      </c>
      <c r="P244" s="40" t="s">
        <v>1092</v>
      </c>
      <c r="Q244" s="84" t="s">
        <v>1093</v>
      </c>
      <c r="R244" s="84" t="s">
        <v>1094</v>
      </c>
      <c r="S244" s="84" t="s">
        <v>1095</v>
      </c>
      <c r="T244" s="81" t="s">
        <v>1096</v>
      </c>
      <c r="U244" s="56" t="s">
        <v>1097</v>
      </c>
      <c r="V244" s="81" t="s">
        <v>1098</v>
      </c>
      <c r="W244" s="87"/>
    </row>
    <row r="245">
      <c r="A245" s="26" t="str">
        <f>Translation!A254</f>
        <v>ACESSÓRIOS</v>
      </c>
      <c r="B245" s="40" t="s">
        <v>1099</v>
      </c>
      <c r="C245" s="140" t="e">
        <f>VLOOKUP(Q245,Data!$B:$E,3,FALSE)</f>
        <v>#N/A</v>
      </c>
      <c r="D245" s="140" t="e">
        <f>VLOOKUP(R245,Data!$B:$E,3,FALSE)</f>
        <v>#N/A</v>
      </c>
      <c r="E245" s="140" t="e">
        <f>VLOOKUP(S245,Data!$B:$E,3,FALSE)</f>
        <v>#N/A</v>
      </c>
      <c r="F245" s="141" t="e">
        <f>VLOOKUP(T245,Data!$B:$E,3,FALSE)</f>
        <v>#N/A</v>
      </c>
      <c r="G245" s="140" t="e">
        <f>VLOOKUP(U245,Data!$B:$E,3,FALSE)</f>
        <v>#N/A</v>
      </c>
      <c r="H245" s="141" t="e">
        <f>VLOOKUP(V245,Data!$B:$E,3,FALSE)</f>
        <v>#N/A</v>
      </c>
      <c r="I245" s="113"/>
      <c r="O245" s="29" t="s">
        <v>1027</v>
      </c>
      <c r="P245" s="40" t="s">
        <v>1099</v>
      </c>
      <c r="Q245" s="84" t="s">
        <v>1100</v>
      </c>
      <c r="R245" s="84" t="s">
        <v>1101</v>
      </c>
      <c r="S245" s="84" t="s">
        <v>1102</v>
      </c>
      <c r="T245" s="81" t="s">
        <v>1103</v>
      </c>
      <c r="U245" s="56" t="s">
        <v>1104</v>
      </c>
      <c r="V245" s="81" t="s">
        <v>1105</v>
      </c>
      <c r="W245" s="84"/>
    </row>
    <row r="246">
      <c r="A246" s="31" t="str">
        <f>Translation!A255</f>
        <v>PRODUTOS APLICADOS NA OFICINA</v>
      </c>
      <c r="B246" s="40" t="s">
        <v>1106</v>
      </c>
      <c r="C246" s="141" t="e">
        <f>VLOOKUP(Q246,Data!$B:$E,3,FALSE)</f>
        <v>#N/A</v>
      </c>
      <c r="D246" s="141" t="e">
        <f>VLOOKUP(R246,Data!$B:$E,3,FALSE)</f>
        <v>#N/A</v>
      </c>
      <c r="E246" s="141" t="e">
        <f>VLOOKUP(S246,Data!$B:$E,3,FALSE)</f>
        <v>#N/A</v>
      </c>
      <c r="F246" s="141" t="e">
        <f>VLOOKUP(T246,Data!$B:$E,3,FALSE)</f>
        <v>#N/A</v>
      </c>
      <c r="G246" s="141" t="e">
        <f>VLOOKUP(U246,Data!$B:$E,3,FALSE)</f>
        <v>#N/A</v>
      </c>
      <c r="H246" s="141" t="e">
        <f>VLOOKUP(V246,Data!$B:$E,3,FALSE)</f>
        <v>#N/A</v>
      </c>
      <c r="I246" s="116"/>
      <c r="O246" s="48" t="s">
        <v>1107</v>
      </c>
      <c r="P246" s="40" t="s">
        <v>1106</v>
      </c>
      <c r="Q246" s="57" t="s">
        <v>1108</v>
      </c>
      <c r="R246" s="57" t="s">
        <v>1109</v>
      </c>
      <c r="S246" s="57" t="s">
        <v>1110</v>
      </c>
      <c r="T246" s="81" t="s">
        <v>1111</v>
      </c>
      <c r="U246" s="57" t="s">
        <v>1112</v>
      </c>
      <c r="V246" s="81" t="s">
        <v>1113</v>
      </c>
      <c r="W246" s="86"/>
    </row>
    <row r="247">
      <c r="A247" s="26" t="str">
        <f>Translation!A539</f>
        <v>TOTAL OUTROS</v>
      </c>
      <c r="B247" s="40" t="s">
        <v>1114</v>
      </c>
      <c r="C247" s="140" t="e">
        <f>VLOOKUP(Q247,Data!$B:$E,3,FALSE)</f>
        <v>#N/A</v>
      </c>
      <c r="D247" s="140" t="e">
        <f>VLOOKUP(R247,Data!$B:$E,3,FALSE)</f>
        <v>#N/A</v>
      </c>
      <c r="E247" s="140" t="e">
        <f>VLOOKUP(S247,Data!$B:$E,3,FALSE)</f>
        <v>#N/A</v>
      </c>
      <c r="F247" s="141" t="e">
        <f>VLOOKUP(T247,Data!$B:$E,3,FALSE)</f>
        <v>#N/A</v>
      </c>
      <c r="G247" s="140" t="e">
        <f>VLOOKUP(U247,Data!$B:$E,3,FALSE)</f>
        <v>#N/A</v>
      </c>
      <c r="H247" s="141" t="e">
        <f>VLOOKUP(V247,Data!$B:$E,3,FALSE)</f>
        <v>#N/A</v>
      </c>
      <c r="I247" s="116"/>
      <c r="O247" s="29" t="s">
        <v>1115</v>
      </c>
      <c r="P247" s="40" t="s">
        <v>1114</v>
      </c>
      <c r="Q247" s="84" t="s">
        <v>1116</v>
      </c>
      <c r="R247" s="84" t="s">
        <v>1117</v>
      </c>
      <c r="S247" s="84" t="s">
        <v>1118</v>
      </c>
      <c r="T247" s="81" t="s">
        <v>1119</v>
      </c>
      <c r="U247" s="56" t="s">
        <v>1120</v>
      </c>
      <c r="V247" s="81" t="s">
        <v>1121</v>
      </c>
      <c r="W247" s="86"/>
    </row>
    <row r="248">
      <c r="A248" s="31" t="str">
        <f>Translation!A256</f>
        <v>TOTAL DE RECEITA DE VENDAS DE PEÇAS E ACESSÓRIOS</v>
      </c>
      <c r="B248" s="40" t="s">
        <v>1122</v>
      </c>
      <c r="C248" s="141" t="e">
        <f>VLOOKUP(Q248,Data!$B:$E,3,FALSE)</f>
        <v>#N/A</v>
      </c>
      <c r="D248" s="141" t="e">
        <f>VLOOKUP(R248,Data!$B:$E,3,FALSE)</f>
        <v>#N/A</v>
      </c>
      <c r="E248" s="141" t="e">
        <f>VLOOKUP(S248,Data!$B:$E,3,FALSE)</f>
        <v>#N/A</v>
      </c>
      <c r="F248" s="141" t="e">
        <f>VLOOKUP(T248,Data!$B:$E,3,FALSE)</f>
        <v>#N/A</v>
      </c>
      <c r="G248" s="141" t="e">
        <f>VLOOKUP(U248,Data!$B:$E,3,FALSE)</f>
        <v>#N/A</v>
      </c>
      <c r="H248" s="141" t="e">
        <f>VLOOKUP(V248,Data!$B:$E,3,FALSE)</f>
        <v>#N/A</v>
      </c>
      <c r="I248" s="113"/>
      <c r="O248" s="48" t="s">
        <v>1123</v>
      </c>
      <c r="P248" s="40" t="s">
        <v>1122</v>
      </c>
      <c r="Q248" s="57" t="s">
        <v>1124</v>
      </c>
      <c r="R248" s="57" t="s">
        <v>1125</v>
      </c>
      <c r="S248" s="57" t="s">
        <v>1126</v>
      </c>
      <c r="T248" s="81" t="s">
        <v>1127</v>
      </c>
      <c r="U248" s="57" t="s">
        <v>1128</v>
      </c>
      <c r="V248" s="81" t="s">
        <v>1129</v>
      </c>
      <c r="W248" s="84"/>
    </row>
    <row r="249">
      <c r="A249" s="30" t="str">
        <f>Translation!A257</f>
        <v>OUTRAS RECEITAS OPERACIONAIS</v>
      </c>
      <c r="B249" s="40" t="str">
        <f>Translation!$G$32</f>
        <v>CONTA</v>
      </c>
      <c r="C249" s="121" t="str">
        <f>Translation!$G$1</f>
        <v>VALOR</v>
      </c>
      <c r="D249" s="113"/>
      <c r="E249" s="113"/>
      <c r="F249" s="113"/>
      <c r="G249" s="113"/>
      <c r="H249" s="113"/>
      <c r="I249" s="113"/>
      <c r="O249" s="27" t="s">
        <v>671</v>
      </c>
      <c r="P249" s="40" t="str">
        <f>Translation!$G$32</f>
        <v>CONTA</v>
      </c>
      <c r="Q249" s="79" t="str">
        <f>Translation!$G$1</f>
        <v>VALOR</v>
      </c>
      <c r="R249" s="84"/>
      <c r="S249" s="84"/>
      <c r="T249" s="84"/>
      <c r="U249" s="84"/>
      <c r="V249" s="84"/>
      <c r="W249" s="84"/>
    </row>
    <row r="250">
      <c r="A250" s="26" t="str">
        <f>Translation!A258</f>
        <v>INCENTIVOS DE VAREJO</v>
      </c>
      <c r="B250" s="40" t="s">
        <v>1130</v>
      </c>
      <c r="C250" s="140" t="e">
        <f>VLOOKUP(Q250,Data!$B:$E,3,FALSE)</f>
        <v>#N/A</v>
      </c>
      <c r="D250" s="113"/>
      <c r="E250" s="113"/>
      <c r="F250" s="113"/>
      <c r="G250" s="113"/>
      <c r="H250" s="113"/>
      <c r="I250" s="113"/>
      <c r="O250" s="29" t="s">
        <v>673</v>
      </c>
      <c r="P250" s="40" t="s">
        <v>1130</v>
      </c>
      <c r="Q250" s="84" t="s">
        <v>1131</v>
      </c>
      <c r="R250" s="84"/>
      <c r="S250" s="84"/>
      <c r="T250" s="84"/>
      <c r="U250" s="84"/>
      <c r="V250" s="84"/>
      <c r="W250" s="84"/>
    </row>
    <row r="251">
      <c r="A251" s="26" t="str">
        <f>Translation!A259</f>
        <v>BONIFICAÇÕES 1</v>
      </c>
      <c r="B251" s="40" t="s">
        <v>1132</v>
      </c>
      <c r="C251" s="140" t="e">
        <f>VLOOKUP(Q251,Data!$B:$E,3,FALSE)</f>
        <v>#N/A</v>
      </c>
      <c r="D251" s="113"/>
      <c r="E251" s="113"/>
      <c r="F251" s="113"/>
      <c r="G251" s="113"/>
      <c r="H251" s="113"/>
      <c r="I251" s="113"/>
      <c r="O251" s="29" t="s">
        <v>676</v>
      </c>
      <c r="P251" s="40" t="s">
        <v>1132</v>
      </c>
      <c r="Q251" s="84" t="s">
        <v>1133</v>
      </c>
      <c r="R251" s="84"/>
      <c r="S251" s="84"/>
      <c r="T251" s="84"/>
      <c r="U251" s="84"/>
      <c r="V251" s="84"/>
      <c r="W251" s="84"/>
    </row>
    <row r="252">
      <c r="A252" s="26" t="str">
        <f>Translation!A260</f>
        <v>BONIFICAÇÕES 2</v>
      </c>
      <c r="B252" s="40" t="s">
        <v>1134</v>
      </c>
      <c r="C252" s="140" t="e">
        <f>VLOOKUP(Q252,Data!$B:$E,3,FALSE)</f>
        <v>#N/A</v>
      </c>
      <c r="D252" s="113"/>
      <c r="E252" s="113"/>
      <c r="F252" s="113"/>
      <c r="G252" s="113"/>
      <c r="H252" s="113"/>
      <c r="I252" s="113"/>
      <c r="O252" s="29" t="s">
        <v>679</v>
      </c>
      <c r="P252" s="40" t="s">
        <v>1134</v>
      </c>
      <c r="Q252" s="84" t="s">
        <v>1135</v>
      </c>
      <c r="R252" s="84"/>
      <c r="S252" s="84"/>
      <c r="T252" s="84"/>
      <c r="U252" s="84"/>
      <c r="V252" s="84"/>
      <c r="W252" s="84"/>
    </row>
    <row r="253">
      <c r="A253" s="26" t="str">
        <f>Translation!A261</f>
        <v>COMISSÕES DIVERSAS</v>
      </c>
      <c r="B253" s="40" t="s">
        <v>1136</v>
      </c>
      <c r="C253" s="140" t="e">
        <f>VLOOKUP(Q253,Data!$B:$E,3,FALSE)</f>
        <v>#N/A</v>
      </c>
      <c r="D253" s="113"/>
      <c r="E253" s="113"/>
      <c r="F253" s="113"/>
      <c r="G253" s="113"/>
      <c r="H253" s="113"/>
      <c r="I253" s="113"/>
      <c r="O253" s="29" t="s">
        <v>682</v>
      </c>
      <c r="P253" s="40" t="s">
        <v>1136</v>
      </c>
      <c r="Q253" s="84" t="s">
        <v>1137</v>
      </c>
      <c r="R253" s="84"/>
      <c r="S253" s="84"/>
      <c r="T253" s="84"/>
      <c r="U253" s="84"/>
      <c r="V253" s="84"/>
      <c r="W253" s="84"/>
    </row>
    <row r="254">
      <c r="A254" s="26" t="str">
        <f>Translation!A262</f>
        <v>OUTRAS RECEITAS</v>
      </c>
      <c r="B254" s="40" t="s">
        <v>1138</v>
      </c>
      <c r="C254" s="140" t="e">
        <f>VLOOKUP(Q254,Data!$B:$E,3,FALSE)</f>
        <v>#N/A</v>
      </c>
      <c r="D254" s="113"/>
      <c r="E254" s="113"/>
      <c r="F254" s="113"/>
      <c r="G254" s="113"/>
      <c r="H254" s="113"/>
      <c r="I254" s="113"/>
      <c r="O254" s="29" t="s">
        <v>685</v>
      </c>
      <c r="P254" s="40" t="s">
        <v>1138</v>
      </c>
      <c r="Q254" s="84" t="s">
        <v>1139</v>
      </c>
      <c r="R254" s="84"/>
      <c r="S254" s="84"/>
      <c r="T254" s="84"/>
      <c r="U254" s="84"/>
      <c r="V254" s="84"/>
      <c r="W254" s="84"/>
    </row>
    <row r="255">
      <c r="A255" s="31" t="str">
        <f>Translation!A263</f>
        <v>TOTAL DE OUTRAS RECEITAS OPERACIONAIS</v>
      </c>
      <c r="B255" s="40" t="s">
        <v>1140</v>
      </c>
      <c r="C255" s="141" t="e">
        <f>VLOOKUP(Q255,Data!$B:$E,3,FALSE)</f>
        <v>#N/A</v>
      </c>
      <c r="D255" s="113"/>
      <c r="E255" s="113"/>
      <c r="F255" s="113"/>
      <c r="G255" s="113"/>
      <c r="H255" s="113"/>
      <c r="I255" s="113"/>
      <c r="O255" s="48" t="s">
        <v>688</v>
      </c>
      <c r="P255" s="40" t="s">
        <v>1140</v>
      </c>
      <c r="Q255" s="58" t="s">
        <v>1141</v>
      </c>
      <c r="R255" s="84"/>
      <c r="S255" s="84"/>
      <c r="T255" s="84"/>
      <c r="U255" s="84"/>
      <c r="V255" s="84"/>
      <c r="W255" s="84"/>
    </row>
    <row r="256">
      <c r="A256" s="30" t="str">
        <f>Translation!A264</f>
        <v>DESPESAS VARIÁVEIS</v>
      </c>
      <c r="B256" s="40" t="str">
        <f>Translation!$G$32</f>
        <v>CONTA</v>
      </c>
      <c r="C256" s="121" t="str">
        <f>Translation!$G$1</f>
        <v>VALOR</v>
      </c>
      <c r="D256" s="113"/>
      <c r="E256" s="113"/>
      <c r="F256" s="113"/>
      <c r="G256" s="113"/>
      <c r="H256" s="113"/>
      <c r="I256" s="113"/>
      <c r="O256" s="27" t="s">
        <v>690</v>
      </c>
      <c r="P256" s="40" t="str">
        <f>Translation!$G$32</f>
        <v>CONTA</v>
      </c>
      <c r="Q256" s="79" t="str">
        <f>Translation!$G$1</f>
        <v>VALOR</v>
      </c>
      <c r="R256" s="84"/>
      <c r="S256" s="84"/>
      <c r="T256" s="84"/>
      <c r="U256" s="84"/>
      <c r="V256" s="84"/>
      <c r="W256" s="84"/>
    </row>
    <row r="257">
      <c r="A257" s="26" t="str">
        <f>Translation!A265</f>
        <v>COMISSÕES SOBRE VENDAS DE PEÇAS</v>
      </c>
      <c r="B257" s="40" t="s">
        <v>1142</v>
      </c>
      <c r="C257" s="140" t="e">
        <f>VLOOKUP(Q257,Data!$B:$E,3,FALSE)</f>
        <v>#N/A</v>
      </c>
      <c r="D257" s="113"/>
      <c r="E257" s="113"/>
      <c r="F257" s="113"/>
      <c r="G257" s="113"/>
      <c r="H257" s="113"/>
      <c r="I257" s="113"/>
      <c r="O257" s="29" t="s">
        <v>1143</v>
      </c>
      <c r="P257" s="40" t="s">
        <v>1142</v>
      </c>
      <c r="Q257" s="84" t="s">
        <v>1144</v>
      </c>
      <c r="R257" s="84"/>
      <c r="S257" s="84"/>
      <c r="T257" s="84"/>
      <c r="U257" s="84"/>
      <c r="V257" s="84"/>
      <c r="W257" s="84"/>
    </row>
    <row r="258">
      <c r="A258" s="26" t="str">
        <f>Translation!A266</f>
        <v>ENCARGOS SOBRE COMISSÕES (-)</v>
      </c>
      <c r="B258" s="40" t="s">
        <v>1145</v>
      </c>
      <c r="C258" s="140" t="e">
        <f>VLOOKUP(Q258,Data!$B:$E,3,FALSE)</f>
        <v>#N/A</v>
      </c>
      <c r="D258" s="113"/>
      <c r="E258" s="113"/>
      <c r="F258" s="113"/>
      <c r="G258" s="113"/>
      <c r="H258" s="113"/>
      <c r="I258" s="113"/>
      <c r="O258" s="29" t="s">
        <v>695</v>
      </c>
      <c r="P258" s="40" t="s">
        <v>1145</v>
      </c>
      <c r="Q258" s="84" t="s">
        <v>1146</v>
      </c>
      <c r="R258" s="84"/>
      <c r="S258" s="84"/>
      <c r="T258" s="84"/>
      <c r="U258" s="84"/>
      <c r="V258" s="84"/>
      <c r="W258" s="84"/>
    </row>
    <row r="259">
      <c r="A259" s="26" t="str">
        <f>Translation!A267</f>
        <v>OUTRAS DESPESAS</v>
      </c>
      <c r="B259" s="40" t="s">
        <v>1147</v>
      </c>
      <c r="C259" s="140" t="e">
        <f>VLOOKUP(Q259,Data!$B:$E,3,FALSE)</f>
        <v>#N/A</v>
      </c>
      <c r="D259" s="113"/>
      <c r="E259" s="113"/>
      <c r="F259" s="113"/>
      <c r="G259" s="113"/>
      <c r="H259" s="113"/>
      <c r="I259" s="113"/>
      <c r="O259" s="29" t="s">
        <v>698</v>
      </c>
      <c r="P259" s="40" t="s">
        <v>1147</v>
      </c>
      <c r="Q259" s="84" t="s">
        <v>1148</v>
      </c>
      <c r="R259" s="84"/>
      <c r="S259" s="84"/>
      <c r="T259" s="84"/>
      <c r="U259" s="84"/>
      <c r="V259" s="84"/>
      <c r="W259" s="84"/>
    </row>
    <row r="260">
      <c r="A260" s="31" t="str">
        <f>Translation!A268</f>
        <v>TOTAL DE DESPESAS VARIÁVEIS</v>
      </c>
      <c r="B260" s="40" t="s">
        <v>1149</v>
      </c>
      <c r="C260" s="141" t="e">
        <f>VLOOKUP(Q260,Data!$B:$E,3,FALSE)</f>
        <v>#N/A</v>
      </c>
      <c r="D260" s="113"/>
      <c r="E260" s="113"/>
      <c r="F260" s="113"/>
      <c r="G260" s="113"/>
      <c r="H260" s="113"/>
      <c r="I260" s="113"/>
      <c r="O260" s="48" t="s">
        <v>701</v>
      </c>
      <c r="P260" s="40" t="s">
        <v>1149</v>
      </c>
      <c r="Q260" s="59" t="s">
        <v>1150</v>
      </c>
      <c r="R260" s="84"/>
      <c r="S260" s="84"/>
      <c r="T260" s="84"/>
      <c r="U260" s="84"/>
      <c r="V260" s="84"/>
      <c r="W260" s="84"/>
    </row>
    <row r="261">
      <c r="A261" s="47" t="str">
        <f>Translation!A269</f>
        <v>MARGEM DE CONTRIBUIÇÃO</v>
      </c>
      <c r="B261" s="40" t="str">
        <f>Translation!$G$32</f>
        <v>CONTA</v>
      </c>
      <c r="C261" s="121" t="str">
        <f>Translation!$G$1</f>
        <v>VALOR</v>
      </c>
      <c r="D261" s="113"/>
      <c r="E261" s="113"/>
      <c r="F261" s="113"/>
      <c r="G261" s="113"/>
      <c r="H261" s="113"/>
      <c r="I261" s="113"/>
      <c r="O261" s="49" t="s">
        <v>703</v>
      </c>
      <c r="P261" s="40" t="str">
        <f>Translation!$G$32</f>
        <v>CONTA</v>
      </c>
      <c r="Q261" s="79" t="str">
        <f>Translation!$G$1</f>
        <v>VALOR</v>
      </c>
      <c r="R261" s="84"/>
      <c r="S261" s="84"/>
      <c r="T261" s="84"/>
      <c r="U261" s="84"/>
      <c r="V261" s="84"/>
      <c r="W261" s="84"/>
    </row>
    <row r="262">
      <c r="A262" s="31" t="str">
        <f>Translation!A270</f>
        <v>MARGEM DE CONTRIBUIÇÃO</v>
      </c>
      <c r="B262" s="40" t="s">
        <v>1151</v>
      </c>
      <c r="C262" s="141" t="e">
        <f>VLOOKUP(Q262,Data!$B:$E,3,FALSE)</f>
        <v>#N/A</v>
      </c>
      <c r="D262" s="113"/>
      <c r="E262" s="113"/>
      <c r="F262" s="113"/>
      <c r="G262" s="113"/>
      <c r="H262" s="113"/>
      <c r="I262" s="113"/>
      <c r="O262" s="48" t="s">
        <v>703</v>
      </c>
      <c r="P262" s="40" t="s">
        <v>1151</v>
      </c>
      <c r="Q262" s="57" t="s">
        <v>1152</v>
      </c>
      <c r="R262" s="84"/>
      <c r="S262" s="84"/>
      <c r="T262" s="84"/>
      <c r="U262" s="84"/>
      <c r="V262" s="84"/>
      <c r="W262" s="84"/>
    </row>
    <row r="263">
      <c r="A263" s="30" t="str">
        <f>Translation!A271</f>
        <v>DESPESAS</v>
      </c>
      <c r="B263" s="40" t="str">
        <f>Translation!$G$32</f>
        <v>CONTA</v>
      </c>
      <c r="C263" s="121" t="str">
        <f>Translation!$G$1</f>
        <v>VALOR</v>
      </c>
      <c r="D263" s="113"/>
      <c r="E263" s="113"/>
      <c r="F263" s="113"/>
      <c r="G263" s="113"/>
      <c r="H263" s="113"/>
      <c r="I263" s="113"/>
      <c r="O263" s="27" t="s">
        <v>706</v>
      </c>
      <c r="P263" s="40" t="str">
        <f>Translation!$G$32</f>
        <v>CONTA</v>
      </c>
      <c r="Q263" s="79" t="str">
        <f>Translation!$G$1</f>
        <v>VALOR</v>
      </c>
      <c r="R263" s="84"/>
      <c r="S263" s="84"/>
      <c r="T263" s="84"/>
      <c r="U263" s="84"/>
      <c r="V263" s="84"/>
      <c r="W263" s="84"/>
    </row>
    <row r="264">
      <c r="A264" s="31" t="str">
        <f>Translation!A272</f>
        <v>TOTAL DE DESPESAS COM PESSOAL (A)</v>
      </c>
      <c r="B264" s="40" t="s">
        <v>1153</v>
      </c>
      <c r="C264" s="141" t="e">
        <f>VLOOKUP(Q264,Data!$B:$E,3,FALSE)</f>
        <v>#N/A</v>
      </c>
      <c r="D264" s="113"/>
      <c r="E264" s="113"/>
      <c r="F264" s="113"/>
      <c r="G264" s="113"/>
      <c r="H264" s="113"/>
      <c r="I264" s="113"/>
      <c r="O264" s="48" t="s">
        <v>708</v>
      </c>
      <c r="P264" s="40" t="s">
        <v>1153</v>
      </c>
      <c r="Q264" s="57" t="s">
        <v>1154</v>
      </c>
      <c r="R264" s="84"/>
      <c r="S264" s="84"/>
      <c r="T264" s="84"/>
      <c r="U264" s="84"/>
      <c r="V264" s="84"/>
      <c r="W264" s="84"/>
    </row>
    <row r="265">
      <c r="A265" s="31" t="str">
        <f>Translation!A273</f>
        <v>TOTAL DE DESPESAS COM ESTRUTURA - IMÓVEIS (B)</v>
      </c>
      <c r="B265" s="40" t="s">
        <v>1155</v>
      </c>
      <c r="C265" s="141" t="e">
        <f>VLOOKUP(Q265,Data!$B:$E,3,FALSE)</f>
        <v>#N/A</v>
      </c>
      <c r="D265" s="113"/>
      <c r="E265" s="113"/>
      <c r="F265" s="113"/>
      <c r="G265" s="113"/>
      <c r="H265" s="113"/>
      <c r="I265" s="113"/>
      <c r="O265" s="48" t="s">
        <v>711</v>
      </c>
      <c r="P265" s="40" t="s">
        <v>1155</v>
      </c>
      <c r="Q265" s="57" t="s">
        <v>1156</v>
      </c>
      <c r="R265" s="84"/>
      <c r="S265" s="84"/>
      <c r="T265" s="84"/>
      <c r="U265" s="84"/>
      <c r="V265" s="84"/>
      <c r="W265" s="84"/>
    </row>
    <row r="266">
      <c r="A266" s="31" t="str">
        <f>Translation!A274</f>
        <v>TOTAL DE DESPESAS GERAIS (C)</v>
      </c>
      <c r="B266" s="40" t="s">
        <v>1157</v>
      </c>
      <c r="C266" s="141" t="e">
        <f>VLOOKUP(Q266,Data!$B:$E,3,FALSE)</f>
        <v>#N/A</v>
      </c>
      <c r="D266" s="113"/>
      <c r="E266" s="113"/>
      <c r="F266" s="113"/>
      <c r="G266" s="113"/>
      <c r="H266" s="113"/>
      <c r="I266" s="113"/>
      <c r="O266" s="48" t="s">
        <v>714</v>
      </c>
      <c r="P266" s="40" t="s">
        <v>1157</v>
      </c>
      <c r="Q266" s="57" t="s">
        <v>1158</v>
      </c>
      <c r="R266" s="84"/>
      <c r="S266" s="84"/>
      <c r="T266" s="84"/>
      <c r="U266" s="84"/>
      <c r="V266" s="84"/>
      <c r="W266" s="84"/>
    </row>
    <row r="267">
      <c r="A267" s="31" t="str">
        <f>Translation!A275</f>
        <v>TOTAL DE DESPESAS FIXAS (A+B+C)</v>
      </c>
      <c r="B267" s="40" t="s">
        <v>1159</v>
      </c>
      <c r="C267" s="141" t="e">
        <f>VLOOKUP(Q267,Data!$B:$E,3,FALSE)</f>
        <v>#N/A</v>
      </c>
      <c r="D267" s="113"/>
      <c r="E267" s="113"/>
      <c r="F267" s="113"/>
      <c r="G267" s="113"/>
      <c r="H267" s="113"/>
      <c r="I267" s="113"/>
      <c r="O267" s="48" t="s">
        <v>717</v>
      </c>
      <c r="P267" s="40" t="s">
        <v>1159</v>
      </c>
      <c r="Q267" s="57" t="s">
        <v>1160</v>
      </c>
      <c r="R267" s="84"/>
      <c r="S267" s="84"/>
      <c r="T267" s="84"/>
      <c r="U267" s="84"/>
      <c r="V267" s="84"/>
      <c r="W267" s="84"/>
    </row>
    <row r="268">
      <c r="A268" s="46" t="str">
        <f>Translation!A276</f>
        <v>LUCRO / PREJUÍZO OPERACIONAL</v>
      </c>
      <c r="B268" s="40" t="str">
        <f>Translation!$G$32</f>
        <v>CONTA</v>
      </c>
      <c r="C268" s="121" t="str">
        <f>Translation!$G$1</f>
        <v>VALOR</v>
      </c>
      <c r="D268" s="113"/>
      <c r="E268" s="113"/>
      <c r="F268" s="113"/>
      <c r="G268" s="113"/>
      <c r="H268" s="113"/>
      <c r="I268" s="113"/>
      <c r="O268" s="28" t="s">
        <v>719</v>
      </c>
      <c r="P268" s="40" t="str">
        <f>Translation!$G$32</f>
        <v>CONTA</v>
      </c>
      <c r="Q268" s="79" t="str">
        <f>Translation!$G$1</f>
        <v>VALOR</v>
      </c>
      <c r="R268" s="84"/>
      <c r="S268" s="84"/>
      <c r="T268" s="84"/>
      <c r="U268" s="84"/>
      <c r="V268" s="84"/>
      <c r="W268" s="84"/>
    </row>
    <row r="269">
      <c r="A269" s="31" t="str">
        <f>Translation!A277</f>
        <v>LUCRO / PREJUÍZO OPERACIONAL</v>
      </c>
      <c r="B269" s="40" t="s">
        <v>1161</v>
      </c>
      <c r="C269" s="141" t="e">
        <f>VLOOKUP(Q269,Data!$B:$E,3,FALSE)</f>
        <v>#N/A</v>
      </c>
      <c r="D269" s="113"/>
      <c r="E269" s="113"/>
      <c r="F269" s="113"/>
      <c r="G269" s="113"/>
      <c r="H269" s="113"/>
      <c r="I269" s="113"/>
      <c r="O269" s="48" t="s">
        <v>719</v>
      </c>
      <c r="P269" s="40" t="s">
        <v>1161</v>
      </c>
      <c r="Q269" s="57" t="s">
        <v>1162</v>
      </c>
      <c r="R269" s="84"/>
      <c r="S269" s="84"/>
      <c r="T269" s="84"/>
      <c r="U269" s="84"/>
      <c r="V269" s="84"/>
      <c r="W269" s="84"/>
    </row>
    <row r="270">
      <c r="A270" s="46" t="str">
        <f>Translation!A278</f>
        <v>DESPESAS / RECEITAS NÃO-OPERACIONAIS E FINANCEIRAS </v>
      </c>
      <c r="B270" s="40" t="str">
        <f>Translation!$G$32</f>
        <v>CONTA</v>
      </c>
      <c r="C270" s="121" t="str">
        <f>Translation!$G$1</f>
        <v>VALOR</v>
      </c>
      <c r="D270" s="113"/>
      <c r="E270" s="113"/>
      <c r="F270" s="113"/>
      <c r="G270" s="113"/>
      <c r="H270" s="113"/>
      <c r="I270" s="113"/>
      <c r="O270" s="28" t="s">
        <v>722</v>
      </c>
      <c r="P270" s="40" t="str">
        <f>Translation!$G$32</f>
        <v>CONTA</v>
      </c>
      <c r="Q270" s="79" t="str">
        <f>Translation!$G$1</f>
        <v>VALOR</v>
      </c>
      <c r="R270" s="84"/>
      <c r="S270" s="84"/>
      <c r="T270" s="84"/>
      <c r="U270" s="84"/>
      <c r="V270" s="84"/>
      <c r="W270" s="84"/>
    </row>
    <row r="271">
      <c r="A271" s="31" t="str">
        <f>Translation!A279</f>
        <v>TOTAL DE DESPESAS NÃO-OPERACIONAIS</v>
      </c>
      <c r="B271" s="40" t="s">
        <v>1163</v>
      </c>
      <c r="C271" s="141" t="e">
        <f>VLOOKUP(Q271,Data!$B:$E,3,FALSE)</f>
        <v>#N/A</v>
      </c>
      <c r="D271" s="113"/>
      <c r="E271" s="113"/>
      <c r="F271" s="113"/>
      <c r="G271" s="113"/>
      <c r="H271" s="113"/>
      <c r="I271" s="113"/>
      <c r="O271" s="48" t="s">
        <v>724</v>
      </c>
      <c r="P271" s="40" t="s">
        <v>1163</v>
      </c>
      <c r="Q271" s="57" t="s">
        <v>1164</v>
      </c>
      <c r="R271" s="84"/>
      <c r="S271" s="84"/>
      <c r="T271" s="84"/>
      <c r="U271" s="84"/>
      <c r="V271" s="84"/>
      <c r="W271" s="84"/>
    </row>
    <row r="272">
      <c r="A272" s="31" t="str">
        <f>Translation!A280</f>
        <v>TOTAL DE DESPESAS FINANCEIRAS</v>
      </c>
      <c r="B272" s="40" t="s">
        <v>1165</v>
      </c>
      <c r="C272" s="141" t="e">
        <f>VLOOKUP(Q272,Data!$B:$E,3,FALSE)</f>
        <v>#N/A</v>
      </c>
      <c r="D272" s="113"/>
      <c r="E272" s="113"/>
      <c r="F272" s="113"/>
      <c r="G272" s="113"/>
      <c r="H272" s="113"/>
      <c r="I272" s="113"/>
      <c r="O272" s="48" t="s">
        <v>727</v>
      </c>
      <c r="P272" s="40" t="s">
        <v>1165</v>
      </c>
      <c r="Q272" s="57" t="s">
        <v>1166</v>
      </c>
      <c r="R272" s="84"/>
      <c r="S272" s="84"/>
      <c r="T272" s="84"/>
      <c r="U272" s="84"/>
      <c r="V272" s="84"/>
      <c r="W272" s="84"/>
    </row>
    <row r="273">
      <c r="A273" s="31" t="str">
        <f>Translation!A281</f>
        <v>TOTAL DE RECEITAS NÃO-OPERACIONAIS</v>
      </c>
      <c r="B273" s="40" t="s">
        <v>1167</v>
      </c>
      <c r="C273" s="141" t="e">
        <f>VLOOKUP(Q273,Data!$B:$E,3,FALSE)</f>
        <v>#N/A</v>
      </c>
      <c r="D273" s="113"/>
      <c r="E273" s="113"/>
      <c r="F273" s="113"/>
      <c r="G273" s="113"/>
      <c r="H273" s="113"/>
      <c r="I273" s="113"/>
      <c r="O273" s="48" t="s">
        <v>730</v>
      </c>
      <c r="P273" s="40" t="s">
        <v>1167</v>
      </c>
      <c r="Q273" s="57" t="s">
        <v>1168</v>
      </c>
      <c r="R273" s="84"/>
      <c r="S273" s="84"/>
      <c r="T273" s="84"/>
      <c r="U273" s="84"/>
      <c r="V273" s="84"/>
      <c r="W273" s="84"/>
    </row>
    <row r="274">
      <c r="A274" s="31" t="str">
        <f>Translation!A282</f>
        <v>TOTAL DE RECEITAS FINANCEIRAS</v>
      </c>
      <c r="B274" s="40" t="s">
        <v>1169</v>
      </c>
      <c r="C274" s="141" t="e">
        <f>VLOOKUP(Q274,Data!$B:$E,3,FALSE)</f>
        <v>#N/A</v>
      </c>
      <c r="D274" s="113"/>
      <c r="E274" s="113"/>
      <c r="F274" s="113"/>
      <c r="G274" s="113"/>
      <c r="H274" s="113"/>
      <c r="I274" s="113"/>
      <c r="O274" s="48" t="s">
        <v>733</v>
      </c>
      <c r="P274" s="40" t="s">
        <v>1169</v>
      </c>
      <c r="Q274" s="57" t="s">
        <v>1170</v>
      </c>
      <c r="R274" s="84"/>
      <c r="S274" s="84"/>
      <c r="T274" s="84"/>
      <c r="U274" s="84"/>
      <c r="V274" s="84"/>
      <c r="W274" s="84"/>
    </row>
    <row r="275">
      <c r="A275" s="46" t="str">
        <f>Translation!A283</f>
        <v>RESULTADO DEPARTAMENTAL</v>
      </c>
      <c r="B275" s="40" t="str">
        <f>Translation!$G$32</f>
        <v>CONTA</v>
      </c>
      <c r="C275" s="121" t="str">
        <f>Translation!$G$1</f>
        <v>VALOR</v>
      </c>
      <c r="D275" s="113"/>
      <c r="E275" s="113"/>
      <c r="F275" s="113"/>
      <c r="G275" s="113"/>
      <c r="H275" s="113"/>
      <c r="I275" s="113"/>
      <c r="O275" s="28" t="s">
        <v>748</v>
      </c>
      <c r="P275" s="40" t="str">
        <f>Translation!$G$32</f>
        <v>CONTA</v>
      </c>
      <c r="Q275" s="79" t="str">
        <f>Translation!$G$1</f>
        <v>VALOR</v>
      </c>
      <c r="R275" s="84"/>
      <c r="S275" s="84"/>
      <c r="T275" s="84"/>
      <c r="U275" s="84"/>
      <c r="V275" s="84"/>
      <c r="W275" s="84"/>
    </row>
    <row r="276">
      <c r="A276" s="31" t="str">
        <f>Translation!A284</f>
        <v>RESULTADO DO DEPARTAMENTO DE PEÇAS</v>
      </c>
      <c r="B276" s="40" t="s">
        <v>1171</v>
      </c>
      <c r="C276" s="141" t="e">
        <f>VLOOKUP(Q276,Data!$B:$E,3,FALSE)</f>
        <v>#N/A</v>
      </c>
      <c r="D276" s="113"/>
      <c r="E276" s="113"/>
      <c r="F276" s="113"/>
      <c r="G276" s="113"/>
      <c r="H276" s="113"/>
      <c r="I276" s="113"/>
      <c r="O276" s="48" t="s">
        <v>1172</v>
      </c>
      <c r="P276" s="40" t="s">
        <v>1171</v>
      </c>
      <c r="Q276" s="57" t="s">
        <v>1173</v>
      </c>
      <c r="R276" s="84"/>
      <c r="S276" s="84"/>
      <c r="T276" s="84"/>
      <c r="U276" s="84"/>
      <c r="V276" s="84"/>
      <c r="W276" s="84"/>
    </row>
    <row r="277">
      <c r="A277" s="71" t="str">
        <f>Translation!A4</f>
        <v>SERVIÇO</v>
      </c>
      <c r="B277" s="82"/>
      <c r="C277" s="102"/>
      <c r="D277" s="102"/>
      <c r="E277" s="102"/>
      <c r="F277" s="102"/>
      <c r="G277" s="103"/>
      <c r="H277" s="104"/>
      <c r="I277" s="104"/>
      <c r="O277" s="71" t="s">
        <v>1174</v>
      </c>
      <c r="P277" s="82"/>
      <c r="Q277" s="89"/>
      <c r="R277" s="89"/>
      <c r="S277" s="89"/>
      <c r="T277" s="89"/>
      <c r="U277" s="90"/>
      <c r="V277" s="91"/>
      <c r="W277" s="91"/>
    </row>
    <row r="278" ht="30">
      <c r="A278" s="30" t="str">
        <f>Translation!A286</f>
        <v>SERVIÇOS</v>
      </c>
      <c r="B278" s="40" t="str">
        <f>Translation!$G$32</f>
        <v>CONTA</v>
      </c>
      <c r="C278" s="120" t="str">
        <f>Translation!$G$11</f>
        <v>RECEITA
(SEM IMPOSTOS)</v>
      </c>
      <c r="D278" s="120" t="str">
        <f>Translation!$G$9</f>
        <v>RECEITA LÍQUIDA</v>
      </c>
      <c r="E278" s="121" t="str">
        <f>Translation!$G$2</f>
        <v>CUSTO</v>
      </c>
      <c r="F278" s="121" t="str">
        <f>Translation!$G$5</f>
        <v>LUCRO BRUTO</v>
      </c>
      <c r="G278" s="113"/>
      <c r="H278" s="113"/>
      <c r="I278" s="113"/>
      <c r="O278" s="27" t="s">
        <v>1174</v>
      </c>
      <c r="P278" s="40" t="str">
        <f>Translation!$G$32</f>
        <v>CONTA</v>
      </c>
      <c r="Q278" s="79" t="s">
        <v>3</v>
      </c>
      <c r="R278" s="79" t="s">
        <v>7</v>
      </c>
      <c r="S278" s="79" t="s">
        <v>8</v>
      </c>
      <c r="T278" s="79" t="s">
        <v>9</v>
      </c>
      <c r="U278" s="84"/>
      <c r="V278" s="84"/>
      <c r="W278" s="84"/>
    </row>
    <row r="279">
      <c r="A279" s="26" t="str">
        <f>Translation!A287</f>
        <v>REVISÃO GRATUITA</v>
      </c>
      <c r="B279" s="40" t="s">
        <v>1175</v>
      </c>
      <c r="C279" s="140" t="e">
        <f>VLOOKUP(Q279,Data!$B:$E,3,FALSE)</f>
        <v>#N/A</v>
      </c>
      <c r="D279" s="141" t="e">
        <f>VLOOKUP(R279,Data!$B:$E,3,FALSE)</f>
        <v>#N/A</v>
      </c>
      <c r="E279" s="140" t="e">
        <f>VLOOKUP(S279,Data!$B:$E,3,FALSE)</f>
        <v>#N/A</v>
      </c>
      <c r="F279" s="141" t="e">
        <f>VLOOKUP(T279,Data!$B:$E,3,FALSE)</f>
        <v>#N/A</v>
      </c>
      <c r="G279" s="114"/>
      <c r="H279" s="117"/>
      <c r="I279" s="117"/>
      <c r="O279" s="29" t="s">
        <v>1176</v>
      </c>
      <c r="P279" s="40" t="s">
        <v>1175</v>
      </c>
      <c r="Q279" s="87" t="s">
        <v>1177</v>
      </c>
      <c r="R279" s="57" t="s">
        <v>1178</v>
      </c>
      <c r="S279" s="87" t="s">
        <v>1179</v>
      </c>
      <c r="T279" s="57" t="s">
        <v>1180</v>
      </c>
      <c r="U279" s="83"/>
      <c r="V279" s="87"/>
      <c r="W279" s="87"/>
    </row>
    <row r="280">
      <c r="A280" s="26" t="str">
        <f>Translation!A288</f>
        <v>SERVIÇOS EM GARANTIA</v>
      </c>
      <c r="B280" s="40" t="s">
        <v>1181</v>
      </c>
      <c r="C280" s="140" t="e">
        <f>VLOOKUP(Q280,Data!$B:$E,3,FALSE)</f>
        <v>#N/A</v>
      </c>
      <c r="D280" s="141" t="e">
        <f>VLOOKUP(R280,Data!$B:$E,3,FALSE)</f>
        <v>#N/A</v>
      </c>
      <c r="E280" s="140" t="e">
        <f>VLOOKUP(S280,Data!$B:$E,3,FALSE)</f>
        <v>#N/A</v>
      </c>
      <c r="F280" s="141" t="e">
        <f>VLOOKUP(T280,Data!$B:$E,3,FALSE)</f>
        <v>#N/A</v>
      </c>
      <c r="G280" s="114"/>
      <c r="H280" s="113"/>
      <c r="I280" s="113"/>
      <c r="O280" s="29" t="s">
        <v>1182</v>
      </c>
      <c r="P280" s="40" t="s">
        <v>1181</v>
      </c>
      <c r="Q280" s="84" t="s">
        <v>1183</v>
      </c>
      <c r="R280" s="57" t="s">
        <v>1184</v>
      </c>
      <c r="S280" s="84" t="s">
        <v>1185</v>
      </c>
      <c r="T280" s="57" t="s">
        <v>1186</v>
      </c>
      <c r="U280" s="83"/>
      <c r="V280" s="84"/>
      <c r="W280" s="84"/>
    </row>
    <row r="281">
      <c r="A281" s="26" t="str">
        <f>Translation!A289</f>
        <v>SERVIÇOS EM GERAL</v>
      </c>
      <c r="B281" s="40" t="s">
        <v>1187</v>
      </c>
      <c r="C281" s="140" t="e">
        <f>VLOOKUP(Q281,Data!$B:$E,3,FALSE)</f>
        <v>#N/A</v>
      </c>
      <c r="D281" s="141" t="e">
        <f>VLOOKUP(R281,Data!$B:$E,3,FALSE)</f>
        <v>#N/A</v>
      </c>
      <c r="E281" s="140" t="e">
        <f>VLOOKUP(S281,Data!$B:$E,3,FALSE)</f>
        <v>#N/A</v>
      </c>
      <c r="F281" s="141" t="e">
        <f>VLOOKUP(T281,Data!$B:$E,3,FALSE)</f>
        <v>#N/A</v>
      </c>
      <c r="G281" s="113"/>
      <c r="H281" s="113"/>
      <c r="I281" s="113"/>
      <c r="O281" s="29" t="s">
        <v>1188</v>
      </c>
      <c r="P281" s="40" t="s">
        <v>1187</v>
      </c>
      <c r="Q281" s="84" t="s">
        <v>1189</v>
      </c>
      <c r="R281" s="57" t="s">
        <v>1190</v>
      </c>
      <c r="S281" s="84" t="s">
        <v>1191</v>
      </c>
      <c r="T281" s="57" t="s">
        <v>1192</v>
      </c>
      <c r="U281" s="84"/>
      <c r="V281" s="84"/>
      <c r="W281" s="84"/>
    </row>
    <row r="282">
      <c r="A282" s="26" t="str">
        <f>Translation!A540</f>
        <v>TOTAL OUTROS</v>
      </c>
      <c r="B282" s="40" t="s">
        <v>1193</v>
      </c>
      <c r="C282" s="140" t="e">
        <f>VLOOKUP(Q282,Data!$B:$E,3,FALSE)</f>
        <v>#N/A</v>
      </c>
      <c r="D282" s="141" t="e">
        <f>VLOOKUP(R282,Data!$B:$E,3,FALSE)</f>
        <v>#N/A</v>
      </c>
      <c r="E282" s="140" t="e">
        <f>VLOOKUP(S282,Data!$B:$E,3,FALSE)</f>
        <v>#N/A</v>
      </c>
      <c r="F282" s="141" t="e">
        <f>VLOOKUP(T282,Data!$B:$E,3,FALSE)</f>
        <v>#N/A</v>
      </c>
      <c r="G282" s="113"/>
      <c r="H282" s="113"/>
      <c r="I282" s="113"/>
      <c r="O282" s="29" t="s">
        <v>1115</v>
      </c>
      <c r="P282" s="40" t="s">
        <v>1193</v>
      </c>
      <c r="Q282" s="84" t="s">
        <v>1194</v>
      </c>
      <c r="R282" s="57" t="s">
        <v>1195</v>
      </c>
      <c r="S282" s="84" t="s">
        <v>1196</v>
      </c>
      <c r="T282" s="57" t="s">
        <v>1197</v>
      </c>
      <c r="U282" s="84"/>
      <c r="V282" s="84"/>
      <c r="W282" s="84"/>
    </row>
    <row r="283">
      <c r="A283" s="31" t="str">
        <f>Translation!A290</f>
        <v>TOTAL DE RECEITA DE VENDA DE SERVIÇOS</v>
      </c>
      <c r="B283" s="40" t="s">
        <v>1198</v>
      </c>
      <c r="C283" s="141" t="e">
        <f>VLOOKUP(Q283,Data!$B:$E,3,FALSE)</f>
        <v>#N/A</v>
      </c>
      <c r="D283" s="141" t="e">
        <f>VLOOKUP(R283,Data!$B:$E,3,FALSE)</f>
        <v>#N/A</v>
      </c>
      <c r="E283" s="141" t="e">
        <f>VLOOKUP(S283,Data!$B:$E,3,FALSE)</f>
        <v>#N/A</v>
      </c>
      <c r="F283" s="141" t="e">
        <f>VLOOKUP(T283,Data!$B:$E,3,FALSE)</f>
        <v>#N/A</v>
      </c>
      <c r="G283" s="113"/>
      <c r="H283" s="113"/>
      <c r="I283" s="113"/>
      <c r="O283" s="48" t="s">
        <v>1199</v>
      </c>
      <c r="P283" s="40" t="s">
        <v>1198</v>
      </c>
      <c r="Q283" s="57" t="s">
        <v>1200</v>
      </c>
      <c r="R283" s="57" t="s">
        <v>1201</v>
      </c>
      <c r="S283" s="57" t="s">
        <v>1202</v>
      </c>
      <c r="T283" s="57" t="s">
        <v>1203</v>
      </c>
      <c r="U283" s="84"/>
      <c r="V283" s="84"/>
      <c r="W283" s="84"/>
    </row>
    <row r="284">
      <c r="A284" s="30" t="str">
        <f>Translation!A291</f>
        <v>OUTRAS RECEITAS OPERACIONAIS</v>
      </c>
      <c r="B284" s="40" t="str">
        <f>Translation!$G$32</f>
        <v>CONTA</v>
      </c>
      <c r="C284" s="121" t="str">
        <f>Translation!$G$1</f>
        <v>VALOR</v>
      </c>
      <c r="D284" s="119"/>
      <c r="E284" s="119"/>
      <c r="F284" s="119"/>
      <c r="G284" s="117"/>
      <c r="H284" s="109"/>
      <c r="I284" s="109"/>
      <c r="O284" s="27" t="s">
        <v>671</v>
      </c>
      <c r="P284" s="40" t="str">
        <f>Translation!$G$32</f>
        <v>CONTA</v>
      </c>
      <c r="Q284" s="79" t="str">
        <f>Translation!$G$1</f>
        <v>VALOR</v>
      </c>
      <c r="R284" s="93"/>
      <c r="S284" s="93"/>
      <c r="T284" s="93"/>
      <c r="U284" s="87"/>
      <c r="V284" s="80"/>
      <c r="W284" s="80"/>
    </row>
    <row r="285">
      <c r="A285" s="26" t="str">
        <f>Translation!A292</f>
        <v>INCENTIVOS DE VAREJO</v>
      </c>
      <c r="B285" s="40" t="s">
        <v>1204</v>
      </c>
      <c r="C285" s="140" t="e">
        <f>VLOOKUP(Q285,Data!$B:$E,3,FALSE)</f>
        <v>#N/A</v>
      </c>
      <c r="D285" s="113"/>
      <c r="E285" s="113"/>
      <c r="F285" s="113"/>
      <c r="G285" s="113"/>
      <c r="H285" s="113"/>
      <c r="I285" s="113"/>
      <c r="O285" s="29" t="s">
        <v>673</v>
      </c>
      <c r="P285" s="40" t="s">
        <v>1204</v>
      </c>
      <c r="Q285" s="84" t="s">
        <v>1205</v>
      </c>
      <c r="R285" s="84"/>
      <c r="S285" s="84"/>
      <c r="T285" s="84"/>
      <c r="U285" s="84"/>
      <c r="V285" s="84"/>
      <c r="W285" s="84"/>
    </row>
    <row r="286">
      <c r="A286" s="26" t="str">
        <f>Translation!A293</f>
        <v>BONIFICAÇÕES 1</v>
      </c>
      <c r="B286" s="40" t="s">
        <v>1206</v>
      </c>
      <c r="C286" s="140" t="e">
        <f>VLOOKUP(Q286,Data!$B:$E,3,FALSE)</f>
        <v>#N/A</v>
      </c>
      <c r="D286" s="113"/>
      <c r="E286" s="113"/>
      <c r="F286" s="113"/>
      <c r="G286" s="113"/>
      <c r="H286" s="113"/>
      <c r="I286" s="113"/>
      <c r="O286" s="29" t="s">
        <v>676</v>
      </c>
      <c r="P286" s="40" t="s">
        <v>1206</v>
      </c>
      <c r="Q286" s="84" t="s">
        <v>1207</v>
      </c>
      <c r="R286" s="84"/>
      <c r="S286" s="84"/>
      <c r="T286" s="84"/>
      <c r="U286" s="84"/>
      <c r="V286" s="84"/>
      <c r="W286" s="84"/>
    </row>
    <row r="287">
      <c r="A287" s="26" t="str">
        <f>Translation!A294</f>
        <v>BONIFICAÇÕES 2</v>
      </c>
      <c r="B287" s="40" t="s">
        <v>1208</v>
      </c>
      <c r="C287" s="140" t="e">
        <f>VLOOKUP(Q287,Data!$B:$E,3,FALSE)</f>
        <v>#N/A</v>
      </c>
      <c r="D287" s="113"/>
      <c r="E287" s="113"/>
      <c r="F287" s="113"/>
      <c r="G287" s="113"/>
      <c r="H287" s="113"/>
      <c r="I287" s="113"/>
      <c r="O287" s="29" t="s">
        <v>679</v>
      </c>
      <c r="P287" s="40" t="s">
        <v>1208</v>
      </c>
      <c r="Q287" s="84" t="s">
        <v>1209</v>
      </c>
      <c r="R287" s="84"/>
      <c r="S287" s="84"/>
      <c r="T287" s="84"/>
      <c r="U287" s="84"/>
      <c r="V287" s="84"/>
      <c r="W287" s="84"/>
    </row>
    <row r="288">
      <c r="A288" s="26" t="str">
        <f>Translation!A295</f>
        <v>COMISSÕES DIVERSAS</v>
      </c>
      <c r="B288" s="40" t="s">
        <v>1210</v>
      </c>
      <c r="C288" s="140" t="e">
        <f>VLOOKUP(Q288,Data!$B:$E,3,FALSE)</f>
        <v>#N/A</v>
      </c>
      <c r="D288" s="113"/>
      <c r="E288" s="113"/>
      <c r="F288" s="113"/>
      <c r="G288" s="113"/>
      <c r="H288" s="113"/>
      <c r="I288" s="113"/>
      <c r="O288" s="29" t="s">
        <v>682</v>
      </c>
      <c r="P288" s="40" t="s">
        <v>1210</v>
      </c>
      <c r="Q288" s="84" t="s">
        <v>1211</v>
      </c>
      <c r="R288" s="84"/>
      <c r="S288" s="84"/>
      <c r="T288" s="84"/>
      <c r="U288" s="84"/>
      <c r="V288" s="84"/>
      <c r="W288" s="84"/>
    </row>
    <row r="289">
      <c r="A289" s="26" t="str">
        <f>Translation!A296</f>
        <v>OUTRAS RECEITAS</v>
      </c>
      <c r="B289" s="40" t="s">
        <v>1212</v>
      </c>
      <c r="C289" s="140" t="e">
        <f>VLOOKUP(Q289,Data!$B:$E,3,FALSE)</f>
        <v>#N/A</v>
      </c>
      <c r="D289" s="113"/>
      <c r="E289" s="113"/>
      <c r="F289" s="113"/>
      <c r="G289" s="113"/>
      <c r="H289" s="113"/>
      <c r="I289" s="113"/>
      <c r="O289" s="29" t="s">
        <v>685</v>
      </c>
      <c r="P289" s="40" t="s">
        <v>1212</v>
      </c>
      <c r="Q289" s="84" t="s">
        <v>1213</v>
      </c>
      <c r="R289" s="84"/>
      <c r="S289" s="84"/>
      <c r="T289" s="84"/>
      <c r="U289" s="84"/>
      <c r="V289" s="84"/>
      <c r="W289" s="84"/>
    </row>
    <row r="290">
      <c r="A290" s="31" t="str">
        <f>Translation!A297</f>
        <v>TOTAL DE OUTRAS RECEITAS OPERACIONAIS</v>
      </c>
      <c r="B290" s="40" t="s">
        <v>1214</v>
      </c>
      <c r="C290" s="141" t="e">
        <f>VLOOKUP(Q290,Data!$B:$E,3,FALSE)</f>
        <v>#N/A</v>
      </c>
      <c r="D290" s="113"/>
      <c r="E290" s="113"/>
      <c r="F290" s="113"/>
      <c r="G290" s="113"/>
      <c r="H290" s="113"/>
      <c r="I290" s="113"/>
      <c r="O290" s="48" t="s">
        <v>688</v>
      </c>
      <c r="P290" s="40" t="s">
        <v>1214</v>
      </c>
      <c r="Q290" s="57" t="s">
        <v>1215</v>
      </c>
      <c r="R290" s="84"/>
      <c r="S290" s="84"/>
      <c r="T290" s="84"/>
      <c r="U290" s="84"/>
      <c r="V290" s="84"/>
      <c r="W290" s="84"/>
    </row>
    <row r="291">
      <c r="A291" s="30" t="str">
        <f>Translation!A298</f>
        <v>DESPESAS VARIÁVEIS</v>
      </c>
      <c r="B291" s="40" t="str">
        <f>Translation!$G$32</f>
        <v>CONTA</v>
      </c>
      <c r="C291" s="121" t="str">
        <f>Translation!$G$1</f>
        <v>VALOR</v>
      </c>
      <c r="D291" s="113"/>
      <c r="E291" s="113"/>
      <c r="F291" s="113"/>
      <c r="G291" s="113"/>
      <c r="H291" s="113"/>
      <c r="I291" s="113"/>
      <c r="O291" s="27" t="s">
        <v>690</v>
      </c>
      <c r="P291" s="40" t="str">
        <f>Translation!$G$32</f>
        <v>CONTA</v>
      </c>
      <c r="Q291" s="79" t="str">
        <f>Translation!$G$1</f>
        <v>VALOR</v>
      </c>
      <c r="R291" s="84"/>
      <c r="S291" s="84"/>
      <c r="T291" s="84"/>
      <c r="U291" s="84"/>
      <c r="V291" s="84"/>
      <c r="W291" s="84"/>
    </row>
    <row r="292">
      <c r="A292" s="26" t="str">
        <f>Translation!A299</f>
        <v>COMISSÕES SOBRE SERVIÇOS</v>
      </c>
      <c r="B292" s="40" t="s">
        <v>1216</v>
      </c>
      <c r="C292" s="140" t="e">
        <f>VLOOKUP(Q292,Data!$B:$E,3,FALSE)</f>
        <v>#N/A</v>
      </c>
      <c r="D292" s="113"/>
      <c r="E292" s="113"/>
      <c r="F292" s="113"/>
      <c r="G292" s="113"/>
      <c r="H292" s="113"/>
      <c r="I292" s="113"/>
      <c r="O292" s="29" t="s">
        <v>1217</v>
      </c>
      <c r="P292" s="40" t="s">
        <v>1216</v>
      </c>
      <c r="Q292" s="84" t="s">
        <v>1218</v>
      </c>
      <c r="R292" s="84"/>
      <c r="S292" s="84"/>
      <c r="T292" s="84"/>
      <c r="U292" s="84"/>
      <c r="V292" s="84"/>
      <c r="W292" s="84"/>
    </row>
    <row r="293">
      <c r="A293" s="26" t="str">
        <f>Translation!A300</f>
        <v>ENCARGOS SOBRE COMISSÕES (-)</v>
      </c>
      <c r="B293" s="40" t="s">
        <v>1219</v>
      </c>
      <c r="C293" s="140" t="e">
        <f>VLOOKUP(Q293,Data!$B:$E,3,FALSE)</f>
        <v>#N/A</v>
      </c>
      <c r="D293" s="113"/>
      <c r="E293" s="113"/>
      <c r="F293" s="113"/>
      <c r="G293" s="113"/>
      <c r="H293" s="113"/>
      <c r="I293" s="113"/>
      <c r="O293" s="29" t="s">
        <v>695</v>
      </c>
      <c r="P293" s="40" t="s">
        <v>1219</v>
      </c>
      <c r="Q293" s="84" t="s">
        <v>1220</v>
      </c>
      <c r="R293" s="84"/>
      <c r="S293" s="84"/>
      <c r="T293" s="84"/>
      <c r="U293" s="84"/>
      <c r="V293" s="84"/>
      <c r="W293" s="84"/>
    </row>
    <row r="294">
      <c r="A294" s="26" t="str">
        <f>Translation!A301</f>
        <v>OUTRAS DESPESAS</v>
      </c>
      <c r="B294" s="40" t="s">
        <v>1221</v>
      </c>
      <c r="C294" s="140" t="e">
        <f>VLOOKUP(Q294,Data!$B:$E,3,FALSE)</f>
        <v>#N/A</v>
      </c>
      <c r="D294" s="113"/>
      <c r="E294" s="113"/>
      <c r="F294" s="113"/>
      <c r="G294" s="113"/>
      <c r="H294" s="113"/>
      <c r="I294" s="113"/>
      <c r="O294" s="29" t="s">
        <v>698</v>
      </c>
      <c r="P294" s="40" t="s">
        <v>1221</v>
      </c>
      <c r="Q294" s="84" t="s">
        <v>1222</v>
      </c>
      <c r="R294" s="84"/>
      <c r="S294" s="84"/>
      <c r="T294" s="84"/>
      <c r="U294" s="84"/>
      <c r="V294" s="84"/>
      <c r="W294" s="84"/>
    </row>
    <row r="295">
      <c r="A295" s="31" t="str">
        <f>Translation!A302</f>
        <v>TOTAL DE DESPESAS VARIÁVEIS</v>
      </c>
      <c r="B295" s="40" t="s">
        <v>1223</v>
      </c>
      <c r="C295" s="141" t="e">
        <f>VLOOKUP(Q295,Data!$B:$E,3,FALSE)</f>
        <v>#N/A</v>
      </c>
      <c r="D295" s="113"/>
      <c r="E295" s="113"/>
      <c r="F295" s="113"/>
      <c r="G295" s="113"/>
      <c r="H295" s="113"/>
      <c r="I295" s="113"/>
      <c r="O295" s="48" t="s">
        <v>701</v>
      </c>
      <c r="P295" s="40" t="s">
        <v>1223</v>
      </c>
      <c r="Q295" s="57" t="s">
        <v>1224</v>
      </c>
      <c r="R295" s="84"/>
      <c r="S295" s="84"/>
      <c r="T295" s="84"/>
      <c r="U295" s="84"/>
      <c r="V295" s="84"/>
      <c r="W295" s="84"/>
    </row>
    <row r="296">
      <c r="A296" s="47" t="str">
        <f>Translation!A303</f>
        <v>MARGEM DE CONTRIBUIÇÃO</v>
      </c>
      <c r="B296" s="40" t="str">
        <f>Translation!$G$32</f>
        <v>CONTA</v>
      </c>
      <c r="C296" s="121" t="str">
        <f>Translation!$G$1</f>
        <v>VALOR</v>
      </c>
      <c r="D296" s="113"/>
      <c r="E296" s="113"/>
      <c r="F296" s="113"/>
      <c r="G296" s="113"/>
      <c r="H296" s="113"/>
      <c r="I296" s="113"/>
      <c r="O296" s="49" t="s">
        <v>703</v>
      </c>
      <c r="P296" s="40" t="str">
        <f>Translation!$G$32</f>
        <v>CONTA</v>
      </c>
      <c r="Q296" s="79" t="str">
        <f>Translation!$G$1</f>
        <v>VALOR</v>
      </c>
      <c r="R296" s="84"/>
      <c r="S296" s="84"/>
      <c r="T296" s="84"/>
      <c r="U296" s="84"/>
      <c r="V296" s="84"/>
      <c r="W296" s="84"/>
    </row>
    <row r="297">
      <c r="A297" s="31" t="str">
        <f>Translation!A304</f>
        <v>MARGEM DE CONTRIBUIÇÃO</v>
      </c>
      <c r="B297" s="40" t="s">
        <v>1225</v>
      </c>
      <c r="C297" s="141" t="e">
        <f>VLOOKUP(Q297,Data!$B:$E,3,FALSE)</f>
        <v>#N/A</v>
      </c>
      <c r="D297" s="113"/>
      <c r="E297" s="113"/>
      <c r="F297" s="113"/>
      <c r="G297" s="113"/>
      <c r="H297" s="113"/>
      <c r="I297" s="113"/>
      <c r="O297" s="48" t="s">
        <v>703</v>
      </c>
      <c r="P297" s="40" t="s">
        <v>1225</v>
      </c>
      <c r="Q297" s="57" t="s">
        <v>1226</v>
      </c>
      <c r="R297" s="84"/>
      <c r="S297" s="84"/>
      <c r="T297" s="84"/>
      <c r="U297" s="84"/>
      <c r="V297" s="84"/>
      <c r="W297" s="84"/>
    </row>
    <row r="298">
      <c r="A298" s="30" t="str">
        <f>Translation!A305</f>
        <v>DESPESAS</v>
      </c>
      <c r="B298" s="40" t="str">
        <f>Translation!$G$32</f>
        <v>CONTA</v>
      </c>
      <c r="C298" s="121" t="str">
        <f>Translation!$G$1</f>
        <v>VALOR</v>
      </c>
      <c r="D298" s="113"/>
      <c r="E298" s="113"/>
      <c r="F298" s="113"/>
      <c r="G298" s="113"/>
      <c r="H298" s="113"/>
      <c r="I298" s="113"/>
      <c r="O298" s="27" t="s">
        <v>706</v>
      </c>
      <c r="P298" s="40" t="str">
        <f>Translation!$G$32</f>
        <v>CONTA</v>
      </c>
      <c r="Q298" s="79" t="str">
        <f>Translation!$G$1</f>
        <v>VALOR</v>
      </c>
      <c r="R298" s="84"/>
      <c r="S298" s="84"/>
      <c r="T298" s="84"/>
      <c r="U298" s="84"/>
      <c r="V298" s="84"/>
      <c r="W298" s="84"/>
    </row>
    <row r="299">
      <c r="A299" s="31" t="str">
        <f>Translation!A306</f>
        <v>TOTAL DE DESPESAS COM PESSOAL (A)</v>
      </c>
      <c r="B299" s="40" t="s">
        <v>1227</v>
      </c>
      <c r="C299" s="141" t="e">
        <f>VLOOKUP(Q299,Data!$B:$E,3,FALSE)</f>
        <v>#N/A</v>
      </c>
      <c r="D299" s="113"/>
      <c r="E299" s="113"/>
      <c r="F299" s="113"/>
      <c r="G299" s="113"/>
      <c r="H299" s="113"/>
      <c r="I299" s="113"/>
      <c r="O299" s="48" t="s">
        <v>708</v>
      </c>
      <c r="P299" s="40" t="s">
        <v>1227</v>
      </c>
      <c r="Q299" s="57" t="s">
        <v>1228</v>
      </c>
      <c r="R299" s="84"/>
      <c r="S299" s="84"/>
      <c r="T299" s="84"/>
      <c r="U299" s="84"/>
      <c r="V299" s="84"/>
      <c r="W299" s="84"/>
    </row>
    <row r="300">
      <c r="A300" s="31" t="str">
        <f>Translation!A307</f>
        <v>TOTAL DE DESPESAS COM ESTRUTURA - IMÓVEIS (B)</v>
      </c>
      <c r="B300" s="40" t="s">
        <v>1229</v>
      </c>
      <c r="C300" s="141" t="e">
        <f>VLOOKUP(Q300,Data!$B:$E,3,FALSE)</f>
        <v>#N/A</v>
      </c>
      <c r="D300" s="113"/>
      <c r="E300" s="113"/>
      <c r="F300" s="113"/>
      <c r="G300" s="113"/>
      <c r="H300" s="113"/>
      <c r="I300" s="113"/>
      <c r="O300" s="48" t="s">
        <v>711</v>
      </c>
      <c r="P300" s="40" t="s">
        <v>1229</v>
      </c>
      <c r="Q300" s="57" t="s">
        <v>1230</v>
      </c>
      <c r="R300" s="84"/>
      <c r="S300" s="84"/>
      <c r="T300" s="84"/>
      <c r="U300" s="84"/>
      <c r="V300" s="84"/>
      <c r="W300" s="84"/>
    </row>
    <row r="301">
      <c r="A301" s="31" t="str">
        <f>Translation!A308</f>
        <v>TOTAL DE DESPESAS GERAIS (C)</v>
      </c>
      <c r="B301" s="40" t="s">
        <v>1231</v>
      </c>
      <c r="C301" s="141" t="e">
        <f>VLOOKUP(Q301,Data!$B:$E,3,FALSE)</f>
        <v>#N/A</v>
      </c>
      <c r="D301" s="113"/>
      <c r="E301" s="113"/>
      <c r="F301" s="113"/>
      <c r="G301" s="113"/>
      <c r="H301" s="113"/>
      <c r="I301" s="113"/>
      <c r="O301" s="48" t="s">
        <v>714</v>
      </c>
      <c r="P301" s="40" t="s">
        <v>1231</v>
      </c>
      <c r="Q301" s="57" t="s">
        <v>1232</v>
      </c>
      <c r="R301" s="84"/>
      <c r="S301" s="84"/>
      <c r="T301" s="84"/>
      <c r="U301" s="84"/>
      <c r="V301" s="84"/>
      <c r="W301" s="84"/>
    </row>
    <row r="302">
      <c r="A302" s="31" t="str">
        <f>Translation!A309</f>
        <v>TOTAL DE DESPESAS FIXAS (A+B+C)</v>
      </c>
      <c r="B302" s="40" t="s">
        <v>1233</v>
      </c>
      <c r="C302" s="141" t="e">
        <f>VLOOKUP(Q302,Data!$B:$E,3,FALSE)</f>
        <v>#N/A</v>
      </c>
      <c r="D302" s="113"/>
      <c r="E302" s="113"/>
      <c r="F302" s="113"/>
      <c r="G302" s="113"/>
      <c r="H302" s="113"/>
      <c r="I302" s="113"/>
      <c r="O302" s="48" t="s">
        <v>717</v>
      </c>
      <c r="P302" s="40" t="s">
        <v>1233</v>
      </c>
      <c r="Q302" s="57" t="s">
        <v>1234</v>
      </c>
      <c r="R302" s="84"/>
      <c r="S302" s="84"/>
      <c r="T302" s="84"/>
      <c r="U302" s="84"/>
      <c r="V302" s="84"/>
      <c r="W302" s="84"/>
    </row>
    <row r="303">
      <c r="A303" s="46" t="str">
        <f>Translation!A310</f>
        <v>LUCRO / PREJUÍZO OPERACIONAL</v>
      </c>
      <c r="B303" s="40" t="str">
        <f>Translation!$G$32</f>
        <v>CONTA</v>
      </c>
      <c r="C303" s="121" t="str">
        <f>Translation!$G$1</f>
        <v>VALOR</v>
      </c>
      <c r="D303" s="113"/>
      <c r="E303" s="113"/>
      <c r="F303" s="113"/>
      <c r="G303" s="113"/>
      <c r="H303" s="113"/>
      <c r="I303" s="113"/>
      <c r="O303" s="28" t="s">
        <v>719</v>
      </c>
      <c r="P303" s="40" t="str">
        <f>Translation!$G$32</f>
        <v>CONTA</v>
      </c>
      <c r="Q303" s="79" t="str">
        <f>Translation!$G$1</f>
        <v>VALOR</v>
      </c>
      <c r="R303" s="84"/>
      <c r="S303" s="84"/>
      <c r="T303" s="84"/>
      <c r="U303" s="84"/>
      <c r="V303" s="84"/>
      <c r="W303" s="84"/>
    </row>
    <row r="304">
      <c r="A304" s="31" t="str">
        <f>Translation!A311</f>
        <v>LUCRO / PREJUÍZO OPERACIONAL</v>
      </c>
      <c r="B304" s="40" t="s">
        <v>1235</v>
      </c>
      <c r="C304" s="141" t="e">
        <f>VLOOKUP(Q304,Data!$B:$E,3,FALSE)</f>
        <v>#N/A</v>
      </c>
      <c r="D304" s="113"/>
      <c r="E304" s="113"/>
      <c r="F304" s="113"/>
      <c r="G304" s="113"/>
      <c r="H304" s="113"/>
      <c r="I304" s="113"/>
      <c r="O304" s="48" t="s">
        <v>719</v>
      </c>
      <c r="P304" s="40" t="s">
        <v>1235</v>
      </c>
      <c r="Q304" s="57" t="s">
        <v>1236</v>
      </c>
      <c r="R304" s="84"/>
      <c r="S304" s="84"/>
      <c r="T304" s="84"/>
      <c r="U304" s="84"/>
      <c r="V304" s="84"/>
      <c r="W304" s="84"/>
    </row>
    <row r="305">
      <c r="A305" s="46" t="str">
        <f>Translation!A312</f>
        <v>DESPESAS / RECEITAS NÃO-OPERACIONAIS E FINANCEIRAS </v>
      </c>
      <c r="B305" s="40" t="str">
        <f>Translation!$G$32</f>
        <v>CONTA</v>
      </c>
      <c r="C305" s="121" t="str">
        <f>Translation!$G$1</f>
        <v>VALOR</v>
      </c>
      <c r="D305" s="113"/>
      <c r="E305" s="113"/>
      <c r="F305" s="113"/>
      <c r="G305" s="113"/>
      <c r="H305" s="113"/>
      <c r="I305" s="113"/>
      <c r="O305" s="28" t="s">
        <v>722</v>
      </c>
      <c r="P305" s="40" t="str">
        <f>Translation!$G$32</f>
        <v>CONTA</v>
      </c>
      <c r="Q305" s="79" t="str">
        <f>Translation!$G$1</f>
        <v>VALOR</v>
      </c>
      <c r="R305" s="84"/>
      <c r="S305" s="84"/>
      <c r="T305" s="84"/>
      <c r="U305" s="84"/>
      <c r="V305" s="84"/>
      <c r="W305" s="84"/>
    </row>
    <row r="306">
      <c r="A306" s="31" t="str">
        <f>Translation!A313</f>
        <v>TOTAL DE DESPESAS NÃO-OPERACIONAIS</v>
      </c>
      <c r="B306" s="40" t="s">
        <v>1237</v>
      </c>
      <c r="C306" s="141" t="e">
        <f>VLOOKUP(Q306,Data!$B:$E,3,FALSE)</f>
        <v>#N/A</v>
      </c>
      <c r="D306" s="113"/>
      <c r="E306" s="113"/>
      <c r="F306" s="113"/>
      <c r="G306" s="113"/>
      <c r="H306" s="113"/>
      <c r="I306" s="113"/>
      <c r="O306" s="48" t="s">
        <v>724</v>
      </c>
      <c r="P306" s="40" t="s">
        <v>1237</v>
      </c>
      <c r="Q306" s="57" t="s">
        <v>1238</v>
      </c>
      <c r="R306" s="84"/>
      <c r="S306" s="84"/>
      <c r="T306" s="84"/>
      <c r="U306" s="84"/>
      <c r="V306" s="84"/>
      <c r="W306" s="84"/>
    </row>
    <row r="307">
      <c r="A307" s="31" t="str">
        <f>Translation!A314</f>
        <v>TOTAL DE DESPESAS FINANCEIRAS</v>
      </c>
      <c r="B307" s="40" t="s">
        <v>1239</v>
      </c>
      <c r="C307" s="141" t="e">
        <f>VLOOKUP(Q307,Data!$B:$E,3,FALSE)</f>
        <v>#N/A</v>
      </c>
      <c r="D307" s="113"/>
      <c r="E307" s="113"/>
      <c r="F307" s="113"/>
      <c r="G307" s="113"/>
      <c r="H307" s="113"/>
      <c r="I307" s="113"/>
      <c r="O307" s="48" t="s">
        <v>727</v>
      </c>
      <c r="P307" s="40" t="s">
        <v>1239</v>
      </c>
      <c r="Q307" s="57" t="s">
        <v>1240</v>
      </c>
      <c r="R307" s="84"/>
      <c r="S307" s="84"/>
      <c r="T307" s="84"/>
      <c r="U307" s="84"/>
      <c r="V307" s="84"/>
      <c r="W307" s="84"/>
    </row>
    <row r="308">
      <c r="A308" s="31" t="str">
        <f>Translation!A315</f>
        <v>TOTAL DE RECEITAS NÃO-OPERACIONAIS</v>
      </c>
      <c r="B308" s="40" t="s">
        <v>1241</v>
      </c>
      <c r="C308" s="141" t="e">
        <f>VLOOKUP(Q308,Data!$B:$E,3,FALSE)</f>
        <v>#N/A</v>
      </c>
      <c r="D308" s="113"/>
      <c r="E308" s="113"/>
      <c r="F308" s="113"/>
      <c r="G308" s="113"/>
      <c r="H308" s="113"/>
      <c r="I308" s="113"/>
      <c r="O308" s="48" t="s">
        <v>730</v>
      </c>
      <c r="P308" s="40" t="s">
        <v>1241</v>
      </c>
      <c r="Q308" s="57" t="s">
        <v>1242</v>
      </c>
      <c r="R308" s="84"/>
      <c r="S308" s="84"/>
      <c r="T308" s="84"/>
      <c r="U308" s="84"/>
      <c r="V308" s="84"/>
      <c r="W308" s="84"/>
    </row>
    <row r="309">
      <c r="A309" s="31" t="str">
        <f>Translation!A316</f>
        <v>TOTAL DE RECEITAS FINANCEIRAS</v>
      </c>
      <c r="B309" s="40" t="s">
        <v>1243</v>
      </c>
      <c r="C309" s="141" t="e">
        <f>VLOOKUP(Q309,Data!$B:$E,3,FALSE)</f>
        <v>#N/A</v>
      </c>
      <c r="D309" s="113"/>
      <c r="E309" s="113"/>
      <c r="F309" s="113"/>
      <c r="G309" s="113"/>
      <c r="H309" s="113"/>
      <c r="I309" s="113"/>
      <c r="O309" s="48" t="s">
        <v>733</v>
      </c>
      <c r="P309" s="40" t="s">
        <v>1243</v>
      </c>
      <c r="Q309" s="57" t="s">
        <v>1244</v>
      </c>
      <c r="R309" s="84"/>
      <c r="S309" s="84"/>
      <c r="T309" s="84"/>
      <c r="U309" s="84"/>
      <c r="V309" s="84"/>
      <c r="W309" s="84"/>
    </row>
    <row r="310">
      <c r="A310" s="46" t="str">
        <f>Translation!A317</f>
        <v>RESULTADO DEPARTAMENTAL</v>
      </c>
      <c r="B310" s="40" t="str">
        <f>Translation!$G$32</f>
        <v>CONTA</v>
      </c>
      <c r="C310" s="121" t="str">
        <f>Translation!$G$1</f>
        <v>VALOR</v>
      </c>
      <c r="D310" s="113"/>
      <c r="E310" s="113"/>
      <c r="F310" s="113"/>
      <c r="G310" s="113"/>
      <c r="H310" s="113"/>
      <c r="I310" s="113"/>
      <c r="O310" s="28" t="s">
        <v>748</v>
      </c>
      <c r="P310" s="40" t="str">
        <f>Translation!$G$32</f>
        <v>CONTA</v>
      </c>
      <c r="Q310" s="79" t="str">
        <f>Translation!$G$1</f>
        <v>VALOR</v>
      </c>
      <c r="R310" s="84"/>
      <c r="S310" s="84"/>
      <c r="T310" s="84"/>
      <c r="U310" s="84"/>
      <c r="V310" s="84"/>
      <c r="W310" s="84"/>
    </row>
    <row r="311">
      <c r="A311" s="31" t="str">
        <f>Translation!A318</f>
        <v>RESULTADO DO DEPARTAMENTO DE SERVIÇO</v>
      </c>
      <c r="B311" s="40" t="s">
        <v>1245</v>
      </c>
      <c r="C311" s="141" t="e">
        <f>VLOOKUP(Q311,Data!$B:$E,3,FALSE)</f>
        <v>#N/A</v>
      </c>
      <c r="D311" s="113"/>
      <c r="E311" s="113"/>
      <c r="F311" s="113"/>
      <c r="G311" s="113"/>
      <c r="H311" s="113"/>
      <c r="I311" s="113"/>
      <c r="O311" s="48" t="s">
        <v>1246</v>
      </c>
      <c r="P311" s="40" t="s">
        <v>1245</v>
      </c>
      <c r="Q311" s="57" t="s">
        <v>1247</v>
      </c>
      <c r="R311" s="84"/>
      <c r="S311" s="84"/>
      <c r="T311" s="84"/>
      <c r="U311" s="84"/>
      <c r="V311" s="84"/>
      <c r="W311" s="84"/>
    </row>
    <row r="312">
      <c r="A312" s="71" t="str">
        <f>Translation!A5</f>
        <v>F &amp; I</v>
      </c>
      <c r="B312" s="82"/>
      <c r="C312" s="102"/>
      <c r="D312" s="102"/>
      <c r="E312" s="102"/>
      <c r="F312" s="102"/>
      <c r="G312" s="103"/>
      <c r="H312" s="104"/>
      <c r="I312" s="104"/>
      <c r="O312" s="71" t="s">
        <v>1248</v>
      </c>
      <c r="P312" s="82"/>
      <c r="Q312" s="89"/>
      <c r="R312" s="89"/>
      <c r="S312" s="89"/>
      <c r="T312" s="89"/>
      <c r="U312" s="90"/>
      <c r="V312" s="91"/>
      <c r="W312" s="91"/>
    </row>
    <row r="313">
      <c r="A313" s="30" t="str">
        <f>Translation!A320</f>
        <v>VENDAS</v>
      </c>
      <c r="B313" s="40" t="str">
        <f>Translation!$G$32</f>
        <v>CONTA</v>
      </c>
      <c r="C313" s="120" t="str">
        <f>Translation!$G$1</f>
        <v>VALOR</v>
      </c>
      <c r="D313" s="114"/>
      <c r="E313" s="113"/>
      <c r="F313" s="113"/>
      <c r="G313" s="114"/>
      <c r="H313" s="114"/>
      <c r="I313" s="114"/>
      <c r="O313" s="27" t="s">
        <v>1249</v>
      </c>
      <c r="P313" s="40" t="str">
        <f>Translation!$G$32</f>
        <v>CONTA</v>
      </c>
      <c r="Q313" s="60" t="str">
        <f>Translation!$G$1</f>
        <v>VALOR</v>
      </c>
      <c r="R313" s="83"/>
      <c r="S313" s="84"/>
      <c r="T313" s="84"/>
      <c r="U313" s="83"/>
      <c r="V313" s="83"/>
      <c r="W313" s="83"/>
    </row>
    <row r="314">
      <c r="A314" s="26" t="str">
        <f>Translation!A321</f>
        <v>COMISSÃO SOBRE VENDA DE COTAS DE CONSÓRCIO</v>
      </c>
      <c r="B314" s="40" t="s">
        <v>1250</v>
      </c>
      <c r="C314" s="140" t="e">
        <f>VLOOKUP(Q314,Data!$B:$E,3,FALSE)</f>
        <v>#N/A</v>
      </c>
      <c r="D314" s="109"/>
      <c r="E314" s="109"/>
      <c r="F314" s="109"/>
      <c r="G314" s="109"/>
      <c r="H314" s="109"/>
      <c r="I314" s="109"/>
      <c r="O314" s="29" t="s">
        <v>1251</v>
      </c>
      <c r="P314" s="40" t="s">
        <v>1250</v>
      </c>
      <c r="Q314" s="84" t="s">
        <v>1252</v>
      </c>
      <c r="R314" s="92"/>
      <c r="S314" s="92"/>
      <c r="T314" s="92"/>
      <c r="U314" s="92"/>
      <c r="V314" s="92"/>
      <c r="W314" s="92"/>
    </row>
    <row r="315">
      <c r="A315" s="26" t="str">
        <f>Translation!A322</f>
        <v>COMISSÃO SOBRE VENDAS DE SEGUROS</v>
      </c>
      <c r="B315" s="40" t="s">
        <v>1253</v>
      </c>
      <c r="C315" s="140" t="e">
        <f>VLOOKUP(Q315,Data!$B:$E,3,FALSE)</f>
        <v>#N/A</v>
      </c>
      <c r="D315" s="109"/>
      <c r="E315" s="109"/>
      <c r="F315" s="109"/>
      <c r="G315" s="109"/>
      <c r="H315" s="109"/>
      <c r="I315" s="109"/>
      <c r="O315" s="29" t="s">
        <v>1254</v>
      </c>
      <c r="P315" s="40" t="s">
        <v>1253</v>
      </c>
      <c r="Q315" s="84" t="s">
        <v>1255</v>
      </c>
      <c r="R315" s="92"/>
      <c r="S315" s="92"/>
      <c r="T315" s="92"/>
      <c r="U315" s="92"/>
      <c r="V315" s="92"/>
      <c r="W315" s="92"/>
    </row>
    <row r="316">
      <c r="A316" s="26" t="str">
        <f>Translation!A323</f>
        <v>COMISSÃO S/ SEGURO DE PROTEÇÃO FINANC. - FINANCIAMENTOS</v>
      </c>
      <c r="B316" s="40" t="s">
        <v>1256</v>
      </c>
      <c r="C316" s="140" t="e">
        <f>VLOOKUP(Q316,Data!$B:$E,3,FALSE)</f>
        <v>#N/A</v>
      </c>
      <c r="D316" s="109"/>
      <c r="E316" s="109"/>
      <c r="F316" s="109"/>
      <c r="G316" s="109"/>
      <c r="H316" s="109"/>
      <c r="I316" s="109"/>
      <c r="O316" s="29" t="s">
        <v>1257</v>
      </c>
      <c r="P316" s="40" t="s">
        <v>1256</v>
      </c>
      <c r="Q316" s="84" t="s">
        <v>1258</v>
      </c>
      <c r="R316" s="92"/>
      <c r="S316" s="92"/>
      <c r="T316" s="92"/>
      <c r="U316" s="92"/>
      <c r="V316" s="92"/>
      <c r="W316" s="92"/>
    </row>
    <row r="317">
      <c r="A317" s="26" t="str">
        <f>Translation!A324</f>
        <v>DESPACHANTE</v>
      </c>
      <c r="B317" s="40" t="s">
        <v>1259</v>
      </c>
      <c r="C317" s="140" t="e">
        <f>VLOOKUP(Q317,Data!$B:$E,3,FALSE)</f>
        <v>#N/A</v>
      </c>
      <c r="D317" s="109"/>
      <c r="E317" s="109"/>
      <c r="F317" s="109"/>
      <c r="G317" s="109"/>
      <c r="H317" s="109"/>
      <c r="I317" s="109"/>
      <c r="O317" s="29" t="s">
        <v>1260</v>
      </c>
      <c r="P317" s="40" t="s">
        <v>1259</v>
      </c>
      <c r="Q317" s="84" t="s">
        <v>1261</v>
      </c>
      <c r="R317" s="92"/>
      <c r="S317" s="92"/>
      <c r="T317" s="92"/>
      <c r="U317" s="92"/>
      <c r="V317" s="92"/>
      <c r="W317" s="92"/>
    </row>
    <row r="318">
      <c r="A318" s="26" t="str">
        <f>Translation!A325</f>
        <v>COMISSÃO SOBRE FINANCIAMENTOS</v>
      </c>
      <c r="B318" s="40" t="s">
        <v>1262</v>
      </c>
      <c r="C318" s="140" t="e">
        <f>VLOOKUP(Q318,Data!$B:$E,3,FALSE)</f>
        <v>#N/A</v>
      </c>
      <c r="D318" s="109"/>
      <c r="E318" s="109"/>
      <c r="F318" s="109"/>
      <c r="G318" s="109"/>
      <c r="H318" s="109"/>
      <c r="I318" s="109"/>
      <c r="O318" s="29" t="s">
        <v>1263</v>
      </c>
      <c r="P318" s="40" t="s">
        <v>1262</v>
      </c>
      <c r="Q318" s="84" t="s">
        <v>1264</v>
      </c>
      <c r="R318" s="92"/>
      <c r="S318" s="92"/>
      <c r="T318" s="92"/>
      <c r="U318" s="92"/>
      <c r="V318" s="92"/>
      <c r="W318" s="92"/>
    </row>
    <row r="319">
      <c r="A319" s="26" t="str">
        <f>Translation!A326</f>
        <v>BONIFICAÇÃO SOBRE FINANCIAMENTOS - ACORDO</v>
      </c>
      <c r="B319" s="40" t="s">
        <v>1265</v>
      </c>
      <c r="C319" s="140" t="e">
        <f>VLOOKUP(Q319,Data!$B:$E,3,FALSE)</f>
        <v>#N/A</v>
      </c>
      <c r="D319" s="109"/>
      <c r="E319" s="109"/>
      <c r="F319" s="109"/>
      <c r="G319" s="109"/>
      <c r="H319" s="109"/>
      <c r="I319" s="109"/>
      <c r="O319" s="29" t="s">
        <v>1266</v>
      </c>
      <c r="P319" s="40" t="s">
        <v>1265</v>
      </c>
      <c r="Q319" s="84" t="s">
        <v>1267</v>
      </c>
      <c r="R319" s="92"/>
      <c r="S319" s="92"/>
      <c r="T319" s="92"/>
      <c r="U319" s="92"/>
      <c r="V319" s="92"/>
      <c r="W319" s="92"/>
    </row>
    <row r="320">
      <c r="A320" s="31" t="str">
        <f>Translation!A327</f>
        <v>TOTAL DE RECEITA DE F &amp; I</v>
      </c>
      <c r="B320" s="40" t="s">
        <v>1268</v>
      </c>
      <c r="C320" s="141" t="e">
        <f>VLOOKUP(Q320,Data!$B:$E,3,FALSE)</f>
        <v>#N/A</v>
      </c>
      <c r="D320" s="109"/>
      <c r="E320" s="109"/>
      <c r="F320" s="109"/>
      <c r="G320" s="109"/>
      <c r="H320" s="109"/>
      <c r="I320" s="109"/>
      <c r="O320" s="48" t="s">
        <v>1269</v>
      </c>
      <c r="P320" s="40" t="s">
        <v>1268</v>
      </c>
      <c r="Q320" s="57" t="s">
        <v>1270</v>
      </c>
      <c r="R320" s="92"/>
      <c r="S320" s="92"/>
      <c r="T320" s="92"/>
      <c r="U320" s="92"/>
      <c r="V320" s="92"/>
      <c r="W320" s="92"/>
    </row>
    <row r="321">
      <c r="A321" s="30" t="str">
        <f>Translation!A328</f>
        <v>DESPESAS VARIÁVEIS</v>
      </c>
      <c r="B321" s="40" t="str">
        <f>Translation!$G$32</f>
        <v>CONTA</v>
      </c>
      <c r="C321" s="120" t="str">
        <f>Translation!$G$1</f>
        <v>VALOR</v>
      </c>
      <c r="D321" s="109"/>
      <c r="E321" s="109"/>
      <c r="F321" s="109"/>
      <c r="G321" s="109"/>
      <c r="H321" s="109"/>
      <c r="I321" s="109"/>
      <c r="O321" s="27" t="s">
        <v>690</v>
      </c>
      <c r="P321" s="40" t="str">
        <f>Translation!$G$32</f>
        <v>CONTA</v>
      </c>
      <c r="Q321" s="60" t="str">
        <f>Translation!$G$1</f>
        <v>VALOR</v>
      </c>
      <c r="R321" s="92"/>
      <c r="S321" s="92"/>
      <c r="T321" s="92"/>
      <c r="U321" s="92"/>
      <c r="V321" s="92"/>
      <c r="W321" s="92"/>
    </row>
    <row r="322">
      <c r="A322" s="26" t="str">
        <f>Translation!A329</f>
        <v>COMISSÕES SOBRE VENDAS</v>
      </c>
      <c r="B322" s="40" t="s">
        <v>1271</v>
      </c>
      <c r="C322" s="140" t="e">
        <f>VLOOKUP(Q322,Data!$B:$E,3,FALSE)</f>
        <v>#N/A</v>
      </c>
      <c r="D322" s="109"/>
      <c r="E322" s="109"/>
      <c r="F322" s="109"/>
      <c r="G322" s="109"/>
      <c r="H322" s="109"/>
      <c r="I322" s="109"/>
      <c r="O322" s="29" t="s">
        <v>692</v>
      </c>
      <c r="P322" s="40" t="s">
        <v>1271</v>
      </c>
      <c r="Q322" s="84" t="s">
        <v>1272</v>
      </c>
      <c r="R322" s="92"/>
      <c r="S322" s="92"/>
      <c r="T322" s="92"/>
      <c r="U322" s="92"/>
      <c r="V322" s="92"/>
      <c r="W322" s="92"/>
    </row>
    <row r="323">
      <c r="A323" s="26" t="str">
        <f>Translation!A330</f>
        <v>ENCARGOS SOBRE COMISSÕES (-)</v>
      </c>
      <c r="B323" s="40" t="s">
        <v>1273</v>
      </c>
      <c r="C323" s="140" t="e">
        <f>VLOOKUP(Q323,Data!$B:$E,3,FALSE)</f>
        <v>#N/A</v>
      </c>
      <c r="D323" s="109"/>
      <c r="E323" s="109"/>
      <c r="F323" s="109"/>
      <c r="G323" s="109"/>
      <c r="H323" s="109"/>
      <c r="I323" s="109"/>
      <c r="O323" s="29" t="s">
        <v>695</v>
      </c>
      <c r="P323" s="40" t="s">
        <v>1273</v>
      </c>
      <c r="Q323" s="84" t="s">
        <v>1274</v>
      </c>
      <c r="R323" s="92"/>
      <c r="S323" s="92"/>
      <c r="T323" s="92"/>
      <c r="U323" s="92"/>
      <c r="V323" s="92"/>
      <c r="W323" s="92"/>
    </row>
    <row r="324">
      <c r="A324" s="26" t="str">
        <f>Translation!A331</f>
        <v>OUTRAS DESPESAS</v>
      </c>
      <c r="B324" s="40" t="s">
        <v>1275</v>
      </c>
      <c r="C324" s="140" t="e">
        <f>VLOOKUP(Q324,Data!$B:$E,3,FALSE)</f>
        <v>#N/A</v>
      </c>
      <c r="D324" s="109"/>
      <c r="E324" s="109"/>
      <c r="F324" s="109"/>
      <c r="G324" s="109"/>
      <c r="H324" s="109"/>
      <c r="I324" s="109"/>
      <c r="O324" s="29" t="s">
        <v>698</v>
      </c>
      <c r="P324" s="40" t="s">
        <v>1275</v>
      </c>
      <c r="Q324" s="84" t="s">
        <v>1276</v>
      </c>
      <c r="R324" s="92"/>
      <c r="S324" s="92"/>
      <c r="T324" s="92"/>
      <c r="U324" s="92"/>
      <c r="V324" s="92"/>
      <c r="W324" s="92"/>
    </row>
    <row r="325">
      <c r="A325" s="31" t="str">
        <f>Translation!A332</f>
        <v>TOTAL DE DESPESAS VARIÁVEIS</v>
      </c>
      <c r="B325" s="40" t="s">
        <v>1277</v>
      </c>
      <c r="C325" s="141" t="e">
        <f>VLOOKUP(Q325,Data!$B:$E,3,FALSE)</f>
        <v>#N/A</v>
      </c>
      <c r="D325" s="109"/>
      <c r="E325" s="109"/>
      <c r="F325" s="109"/>
      <c r="G325" s="109"/>
      <c r="H325" s="109"/>
      <c r="I325" s="109"/>
      <c r="O325" s="48" t="s">
        <v>701</v>
      </c>
      <c r="P325" s="40" t="s">
        <v>1277</v>
      </c>
      <c r="Q325" s="59" t="s">
        <v>1278</v>
      </c>
      <c r="R325" s="92"/>
      <c r="S325" s="92"/>
      <c r="T325" s="92"/>
      <c r="U325" s="92"/>
      <c r="V325" s="92"/>
      <c r="W325" s="92"/>
    </row>
    <row r="326">
      <c r="A326" s="47" t="str">
        <f>Translation!A333</f>
        <v>MARGEM DE CONTRIBUIÇÃO</v>
      </c>
      <c r="B326" s="40" t="str">
        <f>Translation!$G$32</f>
        <v>CONTA</v>
      </c>
      <c r="C326" s="120" t="str">
        <f>Translation!$G$1</f>
        <v>VALOR</v>
      </c>
      <c r="D326" s="109"/>
      <c r="E326" s="109"/>
      <c r="F326" s="109"/>
      <c r="G326" s="109"/>
      <c r="H326" s="109"/>
      <c r="I326" s="109"/>
      <c r="O326" s="49" t="s">
        <v>703</v>
      </c>
      <c r="P326" s="40" t="str">
        <f>Translation!$G$32</f>
        <v>CONTA</v>
      </c>
      <c r="Q326" s="60" t="str">
        <f>Translation!$G$1</f>
        <v>VALOR</v>
      </c>
      <c r="R326" s="92"/>
      <c r="S326" s="92"/>
      <c r="T326" s="92"/>
      <c r="U326" s="92"/>
      <c r="V326" s="92"/>
      <c r="W326" s="92"/>
    </row>
    <row r="327">
      <c r="A327" s="31" t="str">
        <f>Translation!A334</f>
        <v>MARGEM DE CONTRIBUIÇÃO</v>
      </c>
      <c r="B327" s="40" t="s">
        <v>1279</v>
      </c>
      <c r="C327" s="141" t="e">
        <f>VLOOKUP(Q327,Data!$B:$E,3,FALSE)</f>
        <v>#N/A</v>
      </c>
      <c r="D327" s="109"/>
      <c r="E327" s="109"/>
      <c r="F327" s="109"/>
      <c r="G327" s="109"/>
      <c r="H327" s="109"/>
      <c r="I327" s="109"/>
      <c r="O327" s="48" t="s">
        <v>703</v>
      </c>
      <c r="P327" s="40" t="s">
        <v>1279</v>
      </c>
      <c r="Q327" s="57" t="s">
        <v>1280</v>
      </c>
      <c r="R327" s="92"/>
      <c r="S327" s="92"/>
      <c r="T327" s="92"/>
      <c r="U327" s="92"/>
      <c r="V327" s="92"/>
      <c r="W327" s="92"/>
    </row>
    <row r="328">
      <c r="A328" s="36" t="str">
        <f>Translation!A335</f>
        <v>DESPESAS FIXAS</v>
      </c>
      <c r="B328" s="40" t="str">
        <f>Translation!$G$32</f>
        <v>CONTA</v>
      </c>
      <c r="C328" s="120" t="str">
        <f>Translation!$G$1</f>
        <v>VALOR</v>
      </c>
      <c r="D328" s="109"/>
      <c r="E328" s="109"/>
      <c r="F328" s="109"/>
      <c r="G328" s="109"/>
      <c r="H328" s="109"/>
      <c r="I328" s="109"/>
      <c r="O328" s="50" t="s">
        <v>1281</v>
      </c>
      <c r="P328" s="40" t="str">
        <f>Translation!$G$32</f>
        <v>CONTA</v>
      </c>
      <c r="Q328" s="60" t="str">
        <f>Translation!$G$1</f>
        <v>VALOR</v>
      </c>
      <c r="R328" s="92"/>
      <c r="S328" s="92"/>
      <c r="T328" s="92"/>
      <c r="U328" s="92"/>
      <c r="V328" s="92"/>
      <c r="W328" s="92"/>
    </row>
    <row r="329">
      <c r="A329" s="31" t="str">
        <f>Translation!A336</f>
        <v>TOTAL DE DESPESAS COM PESSOAL (A)</v>
      </c>
      <c r="B329" s="40" t="s">
        <v>1282</v>
      </c>
      <c r="C329" s="141" t="e">
        <f>VLOOKUP(Q329,Data!$B:$E,3,FALSE)</f>
        <v>#N/A</v>
      </c>
      <c r="D329" s="109"/>
      <c r="E329" s="109"/>
      <c r="F329" s="109"/>
      <c r="G329" s="109"/>
      <c r="H329" s="109"/>
      <c r="I329" s="109"/>
      <c r="O329" s="48" t="s">
        <v>708</v>
      </c>
      <c r="P329" s="40" t="s">
        <v>1282</v>
      </c>
      <c r="Q329" s="57" t="s">
        <v>1283</v>
      </c>
      <c r="R329" s="92"/>
      <c r="S329" s="92"/>
      <c r="T329" s="92"/>
      <c r="U329" s="92"/>
      <c r="V329" s="92"/>
      <c r="W329" s="92"/>
    </row>
    <row r="330">
      <c r="A330" s="31" t="str">
        <f>Translation!A337</f>
        <v>TOTAL DE DESPESAS COM ESTRUTURA - IMÓVEIS (B)</v>
      </c>
      <c r="B330" s="40" t="s">
        <v>1284</v>
      </c>
      <c r="C330" s="141" t="e">
        <f>VLOOKUP(Q330,Data!$B:$E,3,FALSE)</f>
        <v>#N/A</v>
      </c>
      <c r="D330" s="109"/>
      <c r="E330" s="109"/>
      <c r="F330" s="109"/>
      <c r="G330" s="109"/>
      <c r="H330" s="109"/>
      <c r="I330" s="109"/>
      <c r="O330" s="48" t="s">
        <v>711</v>
      </c>
      <c r="P330" s="40" t="s">
        <v>1284</v>
      </c>
      <c r="Q330" s="57" t="s">
        <v>1285</v>
      </c>
      <c r="R330" s="92"/>
      <c r="S330" s="92"/>
      <c r="T330" s="92"/>
      <c r="U330" s="92"/>
      <c r="V330" s="92"/>
      <c r="W330" s="92"/>
    </row>
    <row r="331">
      <c r="A331" s="31" t="str">
        <f>Translation!A338</f>
        <v>TOTAL DE DESPESAS GERAIS (C)</v>
      </c>
      <c r="B331" s="40" t="s">
        <v>1286</v>
      </c>
      <c r="C331" s="141" t="e">
        <f>VLOOKUP(Q331,Data!$B:$E,3,FALSE)</f>
        <v>#N/A</v>
      </c>
      <c r="D331" s="109"/>
      <c r="E331" s="109"/>
      <c r="F331" s="109"/>
      <c r="G331" s="109"/>
      <c r="H331" s="109"/>
      <c r="I331" s="109"/>
      <c r="O331" s="48" t="s">
        <v>714</v>
      </c>
      <c r="P331" s="40" t="s">
        <v>1286</v>
      </c>
      <c r="Q331" s="57" t="s">
        <v>1287</v>
      </c>
      <c r="R331" s="92"/>
      <c r="S331" s="92"/>
      <c r="T331" s="92"/>
      <c r="U331" s="92"/>
      <c r="V331" s="92"/>
      <c r="W331" s="92"/>
    </row>
    <row r="332">
      <c r="A332" s="31" t="str">
        <f>Translation!A339</f>
        <v>TOTAL DE DESPESAS FIXAS (A+B+C)</v>
      </c>
      <c r="B332" s="40" t="s">
        <v>1288</v>
      </c>
      <c r="C332" s="141" t="e">
        <f>VLOOKUP(Q332,Data!$B:$E,3,FALSE)</f>
        <v>#N/A</v>
      </c>
      <c r="D332" s="109"/>
      <c r="E332" s="109"/>
      <c r="F332" s="109"/>
      <c r="G332" s="109"/>
      <c r="H332" s="109"/>
      <c r="I332" s="109"/>
      <c r="O332" s="48" t="s">
        <v>717</v>
      </c>
      <c r="P332" s="40" t="s">
        <v>1288</v>
      </c>
      <c r="Q332" s="57" t="s">
        <v>1289</v>
      </c>
      <c r="R332" s="92"/>
      <c r="S332" s="92"/>
      <c r="T332" s="92"/>
      <c r="U332" s="92"/>
      <c r="V332" s="92"/>
      <c r="W332" s="92"/>
    </row>
    <row r="333">
      <c r="A333" s="46" t="str">
        <f>Translation!A340</f>
        <v>LUCRO / PREJUÍZO OPERACIONAL</v>
      </c>
      <c r="B333" s="40" t="str">
        <f>Translation!$G$32</f>
        <v>CONTA</v>
      </c>
      <c r="C333" s="120" t="str">
        <f>Translation!$G$1</f>
        <v>VALOR</v>
      </c>
      <c r="D333" s="109"/>
      <c r="E333" s="109"/>
      <c r="F333" s="109"/>
      <c r="G333" s="109"/>
      <c r="H333" s="109"/>
      <c r="I333" s="109"/>
      <c r="O333" s="28" t="s">
        <v>719</v>
      </c>
      <c r="P333" s="40" t="str">
        <f>Translation!$G$32</f>
        <v>CONTA</v>
      </c>
      <c r="Q333" s="60" t="str">
        <f>Translation!$G$1</f>
        <v>VALOR</v>
      </c>
      <c r="R333" s="92"/>
      <c r="S333" s="92"/>
      <c r="T333" s="92"/>
      <c r="U333" s="92"/>
      <c r="V333" s="92"/>
      <c r="W333" s="92"/>
    </row>
    <row r="334">
      <c r="A334" s="31" t="str">
        <f>Translation!A341</f>
        <v>LUCRO / PREJUÍZO OPERACIONAL</v>
      </c>
      <c r="B334" s="40" t="s">
        <v>1290</v>
      </c>
      <c r="C334" s="141" t="e">
        <f>VLOOKUP(Q334,Data!$B:$E,3,FALSE)</f>
        <v>#N/A</v>
      </c>
      <c r="D334" s="109"/>
      <c r="E334" s="109"/>
      <c r="F334" s="109"/>
      <c r="G334" s="109"/>
      <c r="H334" s="109"/>
      <c r="I334" s="109"/>
      <c r="O334" s="48" t="s">
        <v>719</v>
      </c>
      <c r="P334" s="40" t="s">
        <v>1290</v>
      </c>
      <c r="Q334" s="57" t="s">
        <v>1291</v>
      </c>
      <c r="R334" s="92"/>
      <c r="S334" s="92"/>
      <c r="T334" s="92"/>
      <c r="U334" s="92"/>
      <c r="V334" s="92"/>
      <c r="W334" s="92"/>
    </row>
    <row r="335">
      <c r="A335" s="46" t="str">
        <f>Translation!A342</f>
        <v>DESPESAS / RECEITAS NÃO-OPERACIONAIS E FINANCEIRAS </v>
      </c>
      <c r="B335" s="40" t="str">
        <f>Translation!$G$32</f>
        <v>CONTA</v>
      </c>
      <c r="C335" s="120" t="str">
        <f>Translation!$G$1</f>
        <v>VALOR</v>
      </c>
      <c r="D335" s="109"/>
      <c r="E335" s="109"/>
      <c r="F335" s="109"/>
      <c r="G335" s="109"/>
      <c r="H335" s="109"/>
      <c r="I335" s="109"/>
      <c r="O335" s="28" t="s">
        <v>722</v>
      </c>
      <c r="P335" s="40" t="str">
        <f>Translation!$G$32</f>
        <v>CONTA</v>
      </c>
      <c r="Q335" s="60" t="str">
        <f>Translation!$G$1</f>
        <v>VALOR</v>
      </c>
      <c r="R335" s="92"/>
      <c r="S335" s="92"/>
      <c r="T335" s="92"/>
      <c r="U335" s="92"/>
      <c r="V335" s="92"/>
      <c r="W335" s="92"/>
    </row>
    <row r="336">
      <c r="A336" s="31" t="str">
        <f>Translation!A343</f>
        <v>TOTAL DE DESPESAS NÃO-OPERACIONAIS</v>
      </c>
      <c r="B336" s="40" t="s">
        <v>1292</v>
      </c>
      <c r="C336" s="141" t="e">
        <f>VLOOKUP(Q336,Data!$B:$E,3,FALSE)</f>
        <v>#N/A</v>
      </c>
      <c r="D336" s="109"/>
      <c r="E336" s="109"/>
      <c r="F336" s="109"/>
      <c r="G336" s="109"/>
      <c r="H336" s="109"/>
      <c r="I336" s="109"/>
      <c r="O336" s="48" t="s">
        <v>724</v>
      </c>
      <c r="P336" s="40" t="s">
        <v>1292</v>
      </c>
      <c r="Q336" s="57" t="s">
        <v>1293</v>
      </c>
      <c r="R336" s="92"/>
      <c r="S336" s="92"/>
      <c r="T336" s="92"/>
      <c r="U336" s="92"/>
      <c r="V336" s="92"/>
      <c r="W336" s="92"/>
    </row>
    <row r="337">
      <c r="A337" s="31" t="str">
        <f>Translation!A344</f>
        <v>TOTAL DE DESPESAS FINANCEIRAS</v>
      </c>
      <c r="B337" s="40" t="s">
        <v>1294</v>
      </c>
      <c r="C337" s="141" t="e">
        <f>VLOOKUP(Q337,Data!$B:$E,3,FALSE)</f>
        <v>#N/A</v>
      </c>
      <c r="D337" s="109"/>
      <c r="E337" s="109"/>
      <c r="F337" s="109"/>
      <c r="G337" s="109"/>
      <c r="H337" s="109"/>
      <c r="I337" s="109"/>
      <c r="O337" s="48" t="s">
        <v>727</v>
      </c>
      <c r="P337" s="40" t="s">
        <v>1294</v>
      </c>
      <c r="Q337" s="57" t="s">
        <v>1295</v>
      </c>
      <c r="R337" s="92"/>
      <c r="S337" s="92"/>
      <c r="T337" s="92"/>
      <c r="U337" s="92"/>
      <c r="V337" s="92"/>
      <c r="W337" s="92"/>
    </row>
    <row r="338">
      <c r="A338" s="31" t="str">
        <f>Translation!A345</f>
        <v>TOTAL DE RECEITAS NÃO-OPERACIONAIS</v>
      </c>
      <c r="B338" s="40" t="s">
        <v>1296</v>
      </c>
      <c r="C338" s="141" t="e">
        <f>VLOOKUP(Q338,Data!$B:$E,3,FALSE)</f>
        <v>#N/A</v>
      </c>
      <c r="D338" s="109"/>
      <c r="E338" s="109"/>
      <c r="F338" s="109"/>
      <c r="G338" s="109"/>
      <c r="H338" s="109"/>
      <c r="I338" s="109"/>
      <c r="O338" s="48" t="s">
        <v>730</v>
      </c>
      <c r="P338" s="40" t="s">
        <v>1296</v>
      </c>
      <c r="Q338" s="57" t="s">
        <v>1297</v>
      </c>
      <c r="R338" s="92"/>
      <c r="S338" s="92"/>
      <c r="T338" s="92"/>
      <c r="U338" s="92"/>
      <c r="V338" s="92"/>
      <c r="W338" s="92"/>
    </row>
    <row r="339">
      <c r="A339" s="31" t="str">
        <f>Translation!A346</f>
        <v>TOTAL DE RECEITAS FINANCEIRAS</v>
      </c>
      <c r="B339" s="40" t="s">
        <v>1298</v>
      </c>
      <c r="C339" s="141" t="e">
        <f>VLOOKUP(Q339,Data!$B:$E,3,FALSE)</f>
        <v>#N/A</v>
      </c>
      <c r="D339" s="109"/>
      <c r="E339" s="109"/>
      <c r="F339" s="109"/>
      <c r="G339" s="109"/>
      <c r="H339" s="109"/>
      <c r="I339" s="109"/>
      <c r="O339" s="48" t="s">
        <v>733</v>
      </c>
      <c r="P339" s="40" t="s">
        <v>1298</v>
      </c>
      <c r="Q339" s="57" t="s">
        <v>1299</v>
      </c>
      <c r="R339" s="92"/>
      <c r="S339" s="92"/>
      <c r="T339" s="92"/>
      <c r="U339" s="92"/>
      <c r="V339" s="92"/>
      <c r="W339" s="92"/>
    </row>
    <row r="340">
      <c r="A340" s="46" t="str">
        <f>Translation!A347</f>
        <v>RESULTADO DEPARTAMENTAL</v>
      </c>
      <c r="B340" s="40" t="str">
        <f>Translation!$G$32</f>
        <v>CONTA</v>
      </c>
      <c r="C340" s="120" t="str">
        <f>Translation!$G$1</f>
        <v>VALOR</v>
      </c>
      <c r="D340" s="109"/>
      <c r="E340" s="109"/>
      <c r="F340" s="109"/>
      <c r="G340" s="109"/>
      <c r="H340" s="109"/>
      <c r="I340" s="109"/>
      <c r="O340" s="28" t="s">
        <v>748</v>
      </c>
      <c r="P340" s="40" t="str">
        <f>Translation!$G$32</f>
        <v>CONTA</v>
      </c>
      <c r="Q340" s="60" t="str">
        <f>Translation!$G$1</f>
        <v>VALOR</v>
      </c>
      <c r="R340" s="92"/>
      <c r="S340" s="92"/>
      <c r="T340" s="92"/>
      <c r="U340" s="92"/>
      <c r="V340" s="92"/>
      <c r="W340" s="92"/>
    </row>
    <row r="341">
      <c r="A341" s="31" t="str">
        <f>Translation!A348</f>
        <v>RESULTADO DO DEPARTAMENTO DE F&amp;I</v>
      </c>
      <c r="B341" s="40" t="s">
        <v>1300</v>
      </c>
      <c r="C341" s="141" t="e">
        <f>VLOOKUP(Q341,Data!$B:$E,3,FALSE)</f>
        <v>#N/A</v>
      </c>
      <c r="D341" s="109"/>
      <c r="E341" s="109"/>
      <c r="F341" s="109"/>
      <c r="G341" s="109"/>
      <c r="H341" s="109"/>
      <c r="I341" s="109"/>
      <c r="O341" s="48" t="s">
        <v>1301</v>
      </c>
      <c r="P341" s="40" t="s">
        <v>1300</v>
      </c>
      <c r="Q341" s="57" t="s">
        <v>1302</v>
      </c>
      <c r="R341" s="92"/>
      <c r="S341" s="92"/>
      <c r="T341" s="92"/>
      <c r="U341" s="92"/>
      <c r="V341" s="92"/>
      <c r="W341" s="92"/>
    </row>
    <row r="342">
      <c r="A342" s="71" t="str">
        <f>Translation!A6</f>
        <v>ADMIN</v>
      </c>
      <c r="B342" s="82"/>
      <c r="C342" s="102"/>
      <c r="D342" s="102"/>
      <c r="E342" s="102"/>
      <c r="F342" s="102"/>
      <c r="G342" s="103"/>
      <c r="H342" s="104"/>
      <c r="I342" s="104"/>
      <c r="O342" s="71" t="s">
        <v>1303</v>
      </c>
      <c r="P342" s="82"/>
      <c r="Q342" s="89"/>
      <c r="R342" s="89"/>
      <c r="S342" s="89"/>
      <c r="T342" s="89"/>
      <c r="U342" s="90"/>
      <c r="V342" s="91"/>
      <c r="W342" s="91"/>
    </row>
    <row r="343">
      <c r="A343" s="32" t="str">
        <f>Translation!A350</f>
        <v>DESPESAS DO ADMINISTRATIVO</v>
      </c>
      <c r="B343" s="40" t="str">
        <f>Translation!$G$32</f>
        <v>CONTA</v>
      </c>
      <c r="C343" s="121" t="str">
        <f>Translation!$G$23</f>
        <v>NOVOS</v>
      </c>
      <c r="D343" s="121" t="str">
        <f>Translation!$G$24</f>
        <v>USADOS</v>
      </c>
      <c r="E343" s="121" t="str">
        <f>Translation!$G$25</f>
        <v>F &amp; I</v>
      </c>
      <c r="F343" s="121" t="str">
        <f>Translation!$G$26</f>
        <v>PEÇAS E ACESS.</v>
      </c>
      <c r="G343" s="121" t="str">
        <f>Translation!$G$27</f>
        <v>SERVIÇO</v>
      </c>
      <c r="H343" s="121" t="str">
        <f>Translation!$G$28</f>
        <v>ADM</v>
      </c>
      <c r="I343" s="121" t="str">
        <f>Translation!$G$29</f>
        <v>TOTAL</v>
      </c>
      <c r="O343" s="51" t="s">
        <v>1304</v>
      </c>
      <c r="P343" s="40" t="str">
        <f>Translation!$G$32</f>
        <v>CONTA</v>
      </c>
      <c r="Q343" s="79" t="s">
        <v>1305</v>
      </c>
      <c r="R343" s="79" t="s">
        <v>1306</v>
      </c>
      <c r="S343" s="79" t="s">
        <v>1307</v>
      </c>
      <c r="T343" s="79" t="s">
        <v>1308</v>
      </c>
      <c r="U343" s="79" t="s">
        <v>1309</v>
      </c>
      <c r="V343" s="79" t="s">
        <v>1310</v>
      </c>
      <c r="W343" s="79" t="s">
        <v>1311</v>
      </c>
    </row>
    <row r="344">
      <c r="A344" s="33" t="str">
        <f>Translation!A351</f>
        <v>SALÁRIOS, GRATIFICAÇÕES E OUTRAS REMUNERAÇÕES</v>
      </c>
      <c r="B344" s="40" t="s">
        <v>1312</v>
      </c>
      <c r="C344" s="140" t="e">
        <f>VLOOKUP(Q344,Data!$B:$E,3,FALSE)</f>
        <v>#N/A</v>
      </c>
      <c r="D344" s="140" t="e">
        <f>VLOOKUP(R344,Data!$B:$E,3,FALSE)</f>
        <v>#N/A</v>
      </c>
      <c r="E344" s="140" t="e">
        <f>VLOOKUP(S344,Data!$B:$E,3,FALSE)</f>
        <v>#N/A</v>
      </c>
      <c r="F344" s="140" t="e">
        <f>VLOOKUP(T344,Data!$B:$E,3,FALSE)</f>
        <v>#N/A</v>
      </c>
      <c r="G344" s="140" t="e">
        <f>VLOOKUP(U344,Data!$B:$E,3,FALSE)</f>
        <v>#N/A</v>
      </c>
      <c r="H344" s="140" t="e">
        <f>VLOOKUP(V344,Data!$B:$E,3,FALSE)</f>
        <v>#N/A</v>
      </c>
      <c r="I344" s="141" t="e">
        <f>VLOOKUP(W344,Data!$B:$E,3,FALSE)</f>
        <v>#N/A</v>
      </c>
      <c r="O344" s="52" t="s">
        <v>1313</v>
      </c>
      <c r="P344" s="40" t="s">
        <v>1312</v>
      </c>
      <c r="Q344" s="84" t="s">
        <v>1314</v>
      </c>
      <c r="R344" s="84" t="s">
        <v>1315</v>
      </c>
      <c r="S344" s="84" t="s">
        <v>1316</v>
      </c>
      <c r="T344" s="84" t="s">
        <v>1317</v>
      </c>
      <c r="U344" s="84" t="s">
        <v>1318</v>
      </c>
      <c r="V344" s="84" t="s">
        <v>1319</v>
      </c>
      <c r="W344" s="57" t="s">
        <v>1320</v>
      </c>
    </row>
    <row r="345">
      <c r="A345" s="34" t="str">
        <f>Translation!A352</f>
        <v>ENCARGOS SOCIAIS E BENEFÍCIOS (FGTS, PREV SOCIAL ETC)</v>
      </c>
      <c r="B345" s="40" t="s">
        <v>1321</v>
      </c>
      <c r="C345" s="140" t="e">
        <f>VLOOKUP(Q345,Data!$B:$E,3,FALSE)</f>
        <v>#N/A</v>
      </c>
      <c r="D345" s="140" t="e">
        <f>VLOOKUP(R345,Data!$B:$E,3,FALSE)</f>
        <v>#N/A</v>
      </c>
      <c r="E345" s="140" t="e">
        <f>VLOOKUP(S345,Data!$B:$E,3,FALSE)</f>
        <v>#N/A</v>
      </c>
      <c r="F345" s="140" t="e">
        <f>VLOOKUP(T345,Data!$B:$E,3,FALSE)</f>
        <v>#N/A</v>
      </c>
      <c r="G345" s="140" t="e">
        <f>VLOOKUP(U345,Data!$B:$E,3,FALSE)</f>
        <v>#N/A</v>
      </c>
      <c r="H345" s="140" t="e">
        <f>VLOOKUP(V345,Data!$B:$E,3,FALSE)</f>
        <v>#N/A</v>
      </c>
      <c r="I345" s="141" t="e">
        <f>VLOOKUP(W345,Data!$B:$E,3,FALSE)</f>
        <v>#N/A</v>
      </c>
      <c r="O345" s="53" t="s">
        <v>1322</v>
      </c>
      <c r="P345" s="40" t="s">
        <v>1321</v>
      </c>
      <c r="Q345" s="84" t="s">
        <v>1323</v>
      </c>
      <c r="R345" s="84" t="s">
        <v>1324</v>
      </c>
      <c r="S345" s="84" t="s">
        <v>1325</v>
      </c>
      <c r="T345" s="84" t="s">
        <v>1326</v>
      </c>
      <c r="U345" s="84" t="s">
        <v>1327</v>
      </c>
      <c r="V345" s="84" t="s">
        <v>1328</v>
      </c>
      <c r="W345" s="57" t="s">
        <v>1329</v>
      </c>
    </row>
    <row r="346">
      <c r="A346" s="34" t="str">
        <f>Translation!A353</f>
        <v>PROVISÕES PARA FÉRIAS E 13º SALÁRIO</v>
      </c>
      <c r="B346" s="40" t="s">
        <v>1330</v>
      </c>
      <c r="C346" s="140" t="e">
        <f>VLOOKUP(Q346,Data!$B:$E,3,FALSE)</f>
        <v>#N/A</v>
      </c>
      <c r="D346" s="140" t="e">
        <f>VLOOKUP(R346,Data!$B:$E,3,FALSE)</f>
        <v>#N/A</v>
      </c>
      <c r="E346" s="140" t="e">
        <f>VLOOKUP(S346,Data!$B:$E,3,FALSE)</f>
        <v>#N/A</v>
      </c>
      <c r="F346" s="140" t="e">
        <f>VLOOKUP(T346,Data!$B:$E,3,FALSE)</f>
        <v>#N/A</v>
      </c>
      <c r="G346" s="140" t="e">
        <f>VLOOKUP(U346,Data!$B:$E,3,FALSE)</f>
        <v>#N/A</v>
      </c>
      <c r="H346" s="140" t="e">
        <f>VLOOKUP(V346,Data!$B:$E,3,FALSE)</f>
        <v>#N/A</v>
      </c>
      <c r="I346" s="141" t="e">
        <f>VLOOKUP(W346,Data!$B:$E,3,FALSE)</f>
        <v>#N/A</v>
      </c>
      <c r="O346" s="53" t="s">
        <v>1331</v>
      </c>
      <c r="P346" s="40" t="s">
        <v>1330</v>
      </c>
      <c r="Q346" s="84" t="s">
        <v>1332</v>
      </c>
      <c r="R346" s="84" t="s">
        <v>1333</v>
      </c>
      <c r="S346" s="84" t="s">
        <v>1334</v>
      </c>
      <c r="T346" s="84" t="s">
        <v>1335</v>
      </c>
      <c r="U346" s="84" t="s">
        <v>1336</v>
      </c>
      <c r="V346" s="84" t="s">
        <v>1337</v>
      </c>
      <c r="W346" s="57" t="s">
        <v>1338</v>
      </c>
    </row>
    <row r="347">
      <c r="A347" s="34" t="str">
        <f>Translation!A354</f>
        <v>FUNDO DE APOSENTADORIA PROGR. INDIVIDUAL DE EMPREGADOS</v>
      </c>
      <c r="B347" s="40" t="s">
        <v>1339</v>
      </c>
      <c r="C347" s="140" t="e">
        <f>VLOOKUP(Q347,Data!$B:$E,3,FALSE)</f>
        <v>#N/A</v>
      </c>
      <c r="D347" s="140" t="e">
        <f>VLOOKUP(R347,Data!$B:$E,3,FALSE)</f>
        <v>#N/A</v>
      </c>
      <c r="E347" s="140" t="e">
        <f>VLOOKUP(S347,Data!$B:$E,3,FALSE)</f>
        <v>#N/A</v>
      </c>
      <c r="F347" s="140" t="e">
        <f>VLOOKUP(T347,Data!$B:$E,3,FALSE)</f>
        <v>#N/A</v>
      </c>
      <c r="G347" s="140" t="e">
        <f>VLOOKUP(U347,Data!$B:$E,3,FALSE)</f>
        <v>#N/A</v>
      </c>
      <c r="H347" s="140" t="e">
        <f>VLOOKUP(V347,Data!$B:$E,3,FALSE)</f>
        <v>#N/A</v>
      </c>
      <c r="I347" s="141" t="e">
        <f>VLOOKUP(W347,Data!$B:$E,3,FALSE)</f>
        <v>#N/A</v>
      </c>
      <c r="O347" s="53" t="s">
        <v>1340</v>
      </c>
      <c r="P347" s="40" t="s">
        <v>1339</v>
      </c>
      <c r="Q347" s="84" t="s">
        <v>1341</v>
      </c>
      <c r="R347" s="84" t="s">
        <v>1342</v>
      </c>
      <c r="S347" s="84" t="s">
        <v>1343</v>
      </c>
      <c r="T347" s="84" t="s">
        <v>1344</v>
      </c>
      <c r="U347" s="84" t="s">
        <v>1345</v>
      </c>
      <c r="V347" s="84" t="s">
        <v>1346</v>
      </c>
      <c r="W347" s="57" t="s">
        <v>1347</v>
      </c>
    </row>
    <row r="348">
      <c r="A348" s="34" t="str">
        <f>Translation!A355</f>
        <v>REMUNERAÇÃO A DIRIGENTES E A CONSELHO DE ADMINISTRAÇÃO</v>
      </c>
      <c r="B348" s="40" t="s">
        <v>1348</v>
      </c>
      <c r="C348" s="140" t="e">
        <f>VLOOKUP(Q348,Data!$B:$E,3,FALSE)</f>
        <v>#N/A</v>
      </c>
      <c r="D348" s="140" t="e">
        <f>VLOOKUP(R348,Data!$B:$E,3,FALSE)</f>
        <v>#N/A</v>
      </c>
      <c r="E348" s="140" t="e">
        <f>VLOOKUP(S348,Data!$B:$E,3,FALSE)</f>
        <v>#N/A</v>
      </c>
      <c r="F348" s="140" t="e">
        <f>VLOOKUP(T348,Data!$B:$E,3,FALSE)</f>
        <v>#N/A</v>
      </c>
      <c r="G348" s="140" t="e">
        <f>VLOOKUP(U348,Data!$B:$E,3,FALSE)</f>
        <v>#N/A</v>
      </c>
      <c r="H348" s="140" t="e">
        <f>VLOOKUP(V348,Data!$B:$E,3,FALSE)</f>
        <v>#N/A</v>
      </c>
      <c r="I348" s="141" t="e">
        <f>VLOOKUP(W348,Data!$B:$E,3,FALSE)</f>
        <v>#N/A</v>
      </c>
      <c r="O348" s="53" t="s">
        <v>1349</v>
      </c>
      <c r="P348" s="40" t="s">
        <v>1348</v>
      </c>
      <c r="Q348" s="84" t="s">
        <v>1350</v>
      </c>
      <c r="R348" s="84" t="s">
        <v>1351</v>
      </c>
      <c r="S348" s="84" t="s">
        <v>1352</v>
      </c>
      <c r="T348" s="84" t="s">
        <v>1353</v>
      </c>
      <c r="U348" s="84" t="s">
        <v>1354</v>
      </c>
      <c r="V348" s="84" t="s">
        <v>1355</v>
      </c>
      <c r="W348" s="57" t="s">
        <v>1356</v>
      </c>
    </row>
    <row r="349">
      <c r="A349" s="34" t="str">
        <f>Translation!A356</f>
        <v>FORMAÇÃO PROFISSIONAL</v>
      </c>
      <c r="B349" s="40" t="s">
        <v>1357</v>
      </c>
      <c r="C349" s="140" t="e">
        <f>VLOOKUP(Q349,Data!$B:$E,3,FALSE)</f>
        <v>#N/A</v>
      </c>
      <c r="D349" s="140" t="e">
        <f>VLOOKUP(R349,Data!$B:$E,3,FALSE)</f>
        <v>#N/A</v>
      </c>
      <c r="E349" s="140" t="e">
        <f>VLOOKUP(S349,Data!$B:$E,3,FALSE)</f>
        <v>#N/A</v>
      </c>
      <c r="F349" s="140" t="e">
        <f>VLOOKUP(T349,Data!$B:$E,3,FALSE)</f>
        <v>#N/A</v>
      </c>
      <c r="G349" s="140" t="e">
        <f>VLOOKUP(U349,Data!$B:$E,3,FALSE)</f>
        <v>#N/A</v>
      </c>
      <c r="H349" s="140" t="e">
        <f>VLOOKUP(V349,Data!$B:$E,3,FALSE)</f>
        <v>#N/A</v>
      </c>
      <c r="I349" s="141" t="e">
        <f>VLOOKUP(W349,Data!$B:$E,3,FALSE)</f>
        <v>#N/A</v>
      </c>
      <c r="O349" s="53" t="s">
        <v>1358</v>
      </c>
      <c r="P349" s="40" t="s">
        <v>1357</v>
      </c>
      <c r="Q349" s="84" t="s">
        <v>1359</v>
      </c>
      <c r="R349" s="84" t="s">
        <v>1360</v>
      </c>
      <c r="S349" s="84" t="s">
        <v>1361</v>
      </c>
      <c r="T349" s="84" t="s">
        <v>1362</v>
      </c>
      <c r="U349" s="84" t="s">
        <v>1363</v>
      </c>
      <c r="V349" s="84" t="s">
        <v>1364</v>
      </c>
      <c r="W349" s="57" t="s">
        <v>1365</v>
      </c>
    </row>
    <row r="350">
      <c r="A350" s="34" t="str">
        <f>Translation!A357</f>
        <v>ASSISTÊNCIA MÉDICA, ODONTOLÓGICA E FARMACÊUTICA</v>
      </c>
      <c r="B350" s="40" t="s">
        <v>1366</v>
      </c>
      <c r="C350" s="140" t="e">
        <f>VLOOKUP(Q350,Data!$B:$E,3,FALSE)</f>
        <v>#N/A</v>
      </c>
      <c r="D350" s="140" t="e">
        <f>VLOOKUP(R350,Data!$B:$E,3,FALSE)</f>
        <v>#N/A</v>
      </c>
      <c r="E350" s="140" t="e">
        <f>VLOOKUP(S350,Data!$B:$E,3,FALSE)</f>
        <v>#N/A</v>
      </c>
      <c r="F350" s="140" t="e">
        <f>VLOOKUP(T350,Data!$B:$E,3,FALSE)</f>
        <v>#N/A</v>
      </c>
      <c r="G350" s="140" t="e">
        <f>VLOOKUP(U350,Data!$B:$E,3,FALSE)</f>
        <v>#N/A</v>
      </c>
      <c r="H350" s="140" t="e">
        <f>VLOOKUP(V350,Data!$B:$E,3,FALSE)</f>
        <v>#N/A</v>
      </c>
      <c r="I350" s="141" t="e">
        <f>VLOOKUP(W350,Data!$B:$E,3,FALSE)</f>
        <v>#N/A</v>
      </c>
      <c r="O350" s="53" t="s">
        <v>1367</v>
      </c>
      <c r="P350" s="40" t="s">
        <v>1366</v>
      </c>
      <c r="Q350" s="84" t="s">
        <v>1368</v>
      </c>
      <c r="R350" s="84" t="s">
        <v>1369</v>
      </c>
      <c r="S350" s="84" t="s">
        <v>1370</v>
      </c>
      <c r="T350" s="84" t="s">
        <v>1371</v>
      </c>
      <c r="U350" s="84" t="s">
        <v>1372</v>
      </c>
      <c r="V350" s="84" t="s">
        <v>1373</v>
      </c>
      <c r="W350" s="57" t="s">
        <v>1374</v>
      </c>
    </row>
    <row r="351">
      <c r="A351" s="34" t="str">
        <f>Translation!A358</f>
        <v>ALIMENTAÇÃO</v>
      </c>
      <c r="B351" s="40" t="s">
        <v>1375</v>
      </c>
      <c r="C351" s="140" t="e">
        <f>VLOOKUP(Q351,Data!$B:$E,3,FALSE)</f>
        <v>#N/A</v>
      </c>
      <c r="D351" s="140" t="e">
        <f>VLOOKUP(R351,Data!$B:$E,3,FALSE)</f>
        <v>#N/A</v>
      </c>
      <c r="E351" s="140" t="e">
        <f>VLOOKUP(S351,Data!$B:$E,3,FALSE)</f>
        <v>#N/A</v>
      </c>
      <c r="F351" s="140" t="e">
        <f>VLOOKUP(T351,Data!$B:$E,3,FALSE)</f>
        <v>#N/A</v>
      </c>
      <c r="G351" s="140" t="e">
        <f>VLOOKUP(U351,Data!$B:$E,3,FALSE)</f>
        <v>#N/A</v>
      </c>
      <c r="H351" s="140" t="e">
        <f>VLOOKUP(V351,Data!$B:$E,3,FALSE)</f>
        <v>#N/A</v>
      </c>
      <c r="I351" s="141" t="e">
        <f>VLOOKUP(W351,Data!$B:$E,3,FALSE)</f>
        <v>#N/A</v>
      </c>
      <c r="O351" s="53" t="s">
        <v>1376</v>
      </c>
      <c r="P351" s="40" t="s">
        <v>1375</v>
      </c>
      <c r="Q351" s="84" t="s">
        <v>1377</v>
      </c>
      <c r="R351" s="84" t="s">
        <v>1378</v>
      </c>
      <c r="S351" s="84" t="s">
        <v>1379</v>
      </c>
      <c r="T351" s="84" t="s">
        <v>1380</v>
      </c>
      <c r="U351" s="84" t="s">
        <v>1381</v>
      </c>
      <c r="V351" s="84" t="s">
        <v>1382</v>
      </c>
      <c r="W351" s="57" t="s">
        <v>1383</v>
      </c>
    </row>
    <row r="352">
      <c r="A352" s="34" t="str">
        <f>Translation!A359</f>
        <v>OUTROS GASTOS COM PESSOAL (VIAGENS, TRANSPORTE ETC)</v>
      </c>
      <c r="B352" s="40" t="s">
        <v>1384</v>
      </c>
      <c r="C352" s="140" t="e">
        <f>VLOOKUP(Q352,Data!$B:$E,3,FALSE)</f>
        <v>#N/A</v>
      </c>
      <c r="D352" s="140" t="e">
        <f>VLOOKUP(R352,Data!$B:$E,3,FALSE)</f>
        <v>#N/A</v>
      </c>
      <c r="E352" s="140" t="e">
        <f>VLOOKUP(S352,Data!$B:$E,3,FALSE)</f>
        <v>#N/A</v>
      </c>
      <c r="F352" s="140" t="e">
        <f>VLOOKUP(T352,Data!$B:$E,3,FALSE)</f>
        <v>#N/A</v>
      </c>
      <c r="G352" s="140" t="e">
        <f>VLOOKUP(U352,Data!$B:$E,3,FALSE)</f>
        <v>#N/A</v>
      </c>
      <c r="H352" s="140" t="e">
        <f>VLOOKUP(V352,Data!$B:$E,3,FALSE)</f>
        <v>#N/A</v>
      </c>
      <c r="I352" s="141" t="e">
        <f>VLOOKUP(W352,Data!$B:$E,3,FALSE)</f>
        <v>#N/A</v>
      </c>
      <c r="O352" s="53" t="s">
        <v>1385</v>
      </c>
      <c r="P352" s="40" t="s">
        <v>1384</v>
      </c>
      <c r="Q352" s="84" t="s">
        <v>1386</v>
      </c>
      <c r="R352" s="84" t="s">
        <v>1387</v>
      </c>
      <c r="S352" s="84" t="s">
        <v>1388</v>
      </c>
      <c r="T352" s="84" t="s">
        <v>1389</v>
      </c>
      <c r="U352" s="84" t="s">
        <v>1390</v>
      </c>
      <c r="V352" s="84" t="s">
        <v>1391</v>
      </c>
      <c r="W352" s="57" t="s">
        <v>1392</v>
      </c>
    </row>
    <row r="353">
      <c r="A353" s="35" t="str">
        <f>Translation!A360</f>
        <v>TOTAL DE DESPESAS COM PESSOAL (A)</v>
      </c>
      <c r="B353" s="40" t="s">
        <v>1393</v>
      </c>
      <c r="C353" s="141" t="e">
        <f>VLOOKUP(Q353,Data!$B:$E,3,FALSE)</f>
        <v>#N/A</v>
      </c>
      <c r="D353" s="141" t="e">
        <f>VLOOKUP(R353,Data!$B:$E,3,FALSE)</f>
        <v>#N/A</v>
      </c>
      <c r="E353" s="141" t="e">
        <f>VLOOKUP(S353,Data!$B:$E,3,FALSE)</f>
        <v>#N/A</v>
      </c>
      <c r="F353" s="141" t="e">
        <f>VLOOKUP(T353,Data!$B:$E,3,FALSE)</f>
        <v>#N/A</v>
      </c>
      <c r="G353" s="141" t="e">
        <f>VLOOKUP(U353,Data!$B:$E,3,FALSE)</f>
        <v>#N/A</v>
      </c>
      <c r="H353" s="141" t="e">
        <f>VLOOKUP(V353,Data!$B:$E,3,FALSE)</f>
        <v>#N/A</v>
      </c>
      <c r="I353" s="141" t="e">
        <f>VLOOKUP(W353,Data!$B:$E,3,FALSE)</f>
        <v>#N/A</v>
      </c>
      <c r="O353" s="54" t="s">
        <v>708</v>
      </c>
      <c r="P353" s="40" t="s">
        <v>1393</v>
      </c>
      <c r="Q353" s="57" t="s">
        <v>1394</v>
      </c>
      <c r="R353" s="57" t="s">
        <v>1395</v>
      </c>
      <c r="S353" s="57" t="s">
        <v>1396</v>
      </c>
      <c r="T353" s="57" t="s">
        <v>1397</v>
      </c>
      <c r="U353" s="57" t="s">
        <v>1398</v>
      </c>
      <c r="V353" s="57" t="s">
        <v>1399</v>
      </c>
      <c r="W353" s="57" t="s">
        <v>1400</v>
      </c>
    </row>
    <row r="354">
      <c r="A354" s="34" t="str">
        <f>Translation!A361</f>
        <v>ÁGUA E ENERGIA ELÉTRICA</v>
      </c>
      <c r="B354" s="40" t="s">
        <v>1401</v>
      </c>
      <c r="C354" s="140" t="e">
        <f>VLOOKUP(Q354,Data!$B:$E,3,FALSE)</f>
        <v>#N/A</v>
      </c>
      <c r="D354" s="140" t="e">
        <f>VLOOKUP(R354,Data!$B:$E,3,FALSE)</f>
        <v>#N/A</v>
      </c>
      <c r="E354" s="140" t="e">
        <f>VLOOKUP(S354,Data!$B:$E,3,FALSE)</f>
        <v>#N/A</v>
      </c>
      <c r="F354" s="140" t="e">
        <f>VLOOKUP(T354,Data!$B:$E,3,FALSE)</f>
        <v>#N/A</v>
      </c>
      <c r="G354" s="140" t="e">
        <f>VLOOKUP(U354,Data!$B:$E,3,FALSE)</f>
        <v>#N/A</v>
      </c>
      <c r="H354" s="140" t="e">
        <f>VLOOKUP(V354,Data!$B:$E,3,FALSE)</f>
        <v>#N/A</v>
      </c>
      <c r="I354" s="141" t="e">
        <f>VLOOKUP(W354,Data!$B:$E,3,FALSE)</f>
        <v>#N/A</v>
      </c>
      <c r="O354" s="53" t="s">
        <v>1402</v>
      </c>
      <c r="P354" s="40" t="s">
        <v>1401</v>
      </c>
      <c r="Q354" s="84" t="s">
        <v>1403</v>
      </c>
      <c r="R354" s="84" t="s">
        <v>1404</v>
      </c>
      <c r="S354" s="84" t="s">
        <v>1405</v>
      </c>
      <c r="T354" s="84" t="s">
        <v>1406</v>
      </c>
      <c r="U354" s="84" t="s">
        <v>1407</v>
      </c>
      <c r="V354" s="84" t="s">
        <v>1408</v>
      </c>
      <c r="W354" s="57" t="s">
        <v>1409</v>
      </c>
    </row>
    <row r="355">
      <c r="A355" s="34" t="str">
        <f>Translation!A362</f>
        <v>ALUGUÉIS E IMPOSTOS</v>
      </c>
      <c r="B355" s="40" t="s">
        <v>1410</v>
      </c>
      <c r="C355" s="140" t="e">
        <f>VLOOKUP(Q355,Data!$B:$E,3,FALSE)</f>
        <v>#N/A</v>
      </c>
      <c r="D355" s="140" t="e">
        <f>VLOOKUP(R355,Data!$B:$E,3,FALSE)</f>
        <v>#N/A</v>
      </c>
      <c r="E355" s="140" t="e">
        <f>VLOOKUP(S355,Data!$B:$E,3,FALSE)</f>
        <v>#N/A</v>
      </c>
      <c r="F355" s="140" t="e">
        <f>VLOOKUP(T355,Data!$B:$E,3,FALSE)</f>
        <v>#N/A</v>
      </c>
      <c r="G355" s="140" t="e">
        <f>VLOOKUP(U355,Data!$B:$E,3,FALSE)</f>
        <v>#N/A</v>
      </c>
      <c r="H355" s="140" t="e">
        <f>VLOOKUP(V355,Data!$B:$E,3,FALSE)</f>
        <v>#N/A</v>
      </c>
      <c r="I355" s="141" t="e">
        <f>VLOOKUP(W355,Data!$B:$E,3,FALSE)</f>
        <v>#N/A</v>
      </c>
      <c r="O355" s="53" t="s">
        <v>1411</v>
      </c>
      <c r="P355" s="40" t="s">
        <v>1410</v>
      </c>
      <c r="Q355" s="84" t="s">
        <v>1412</v>
      </c>
      <c r="R355" s="84" t="s">
        <v>1413</v>
      </c>
      <c r="S355" s="84" t="s">
        <v>1414</v>
      </c>
      <c r="T355" s="84" t="s">
        <v>1415</v>
      </c>
      <c r="U355" s="84" t="s">
        <v>1416</v>
      </c>
      <c r="V355" s="84" t="s">
        <v>1417</v>
      </c>
      <c r="W355" s="57" t="s">
        <v>1418</v>
      </c>
    </row>
    <row r="356">
      <c r="A356" s="34" t="str">
        <f>Translation!A363</f>
        <v>CONSERVAÇÃO DE PRÉDIOS, MÁQUINAS E MÓVEIS </v>
      </c>
      <c r="B356" s="40" t="s">
        <v>1419</v>
      </c>
      <c r="C356" s="140" t="e">
        <f>VLOOKUP(Q356,Data!$B:$E,3,FALSE)</f>
        <v>#N/A</v>
      </c>
      <c r="D356" s="140" t="e">
        <f>VLOOKUP(R356,Data!$B:$E,3,FALSE)</f>
        <v>#N/A</v>
      </c>
      <c r="E356" s="140" t="e">
        <f>VLOOKUP(S356,Data!$B:$E,3,FALSE)</f>
        <v>#N/A</v>
      </c>
      <c r="F356" s="140" t="e">
        <f>VLOOKUP(T356,Data!$B:$E,3,FALSE)</f>
        <v>#N/A</v>
      </c>
      <c r="G356" s="140" t="e">
        <f>VLOOKUP(U356,Data!$B:$E,3,FALSE)</f>
        <v>#N/A</v>
      </c>
      <c r="H356" s="140" t="e">
        <f>VLOOKUP(V356,Data!$B:$E,3,FALSE)</f>
        <v>#N/A</v>
      </c>
      <c r="I356" s="141" t="e">
        <f>VLOOKUP(W356,Data!$B:$E,3,FALSE)</f>
        <v>#N/A</v>
      </c>
      <c r="O356" s="53" t="s">
        <v>1420</v>
      </c>
      <c r="P356" s="40" t="s">
        <v>1419</v>
      </c>
      <c r="Q356" s="84" t="s">
        <v>1421</v>
      </c>
      <c r="R356" s="84" t="s">
        <v>1422</v>
      </c>
      <c r="S356" s="84" t="s">
        <v>1423</v>
      </c>
      <c r="T356" s="84" t="s">
        <v>1424</v>
      </c>
      <c r="U356" s="84" t="s">
        <v>1425</v>
      </c>
      <c r="V356" s="84" t="s">
        <v>1426</v>
      </c>
      <c r="W356" s="57" t="s">
        <v>1427</v>
      </c>
    </row>
    <row r="357">
      <c r="A357" s="34" t="str">
        <f>Translation!A364</f>
        <v>VIGILÂNCIA PATRIMONIAL</v>
      </c>
      <c r="B357" s="40" t="s">
        <v>1428</v>
      </c>
      <c r="C357" s="140" t="e">
        <f>VLOOKUP(Q357,Data!$B:$E,3,FALSE)</f>
        <v>#N/A</v>
      </c>
      <c r="D357" s="140" t="e">
        <f>VLOOKUP(R357,Data!$B:$E,3,FALSE)</f>
        <v>#N/A</v>
      </c>
      <c r="E357" s="140" t="e">
        <f>VLOOKUP(S357,Data!$B:$E,3,FALSE)</f>
        <v>#N/A</v>
      </c>
      <c r="F357" s="140" t="e">
        <f>VLOOKUP(T357,Data!$B:$E,3,FALSE)</f>
        <v>#N/A</v>
      </c>
      <c r="G357" s="140" t="e">
        <f>VLOOKUP(U357,Data!$B:$E,3,FALSE)</f>
        <v>#N/A</v>
      </c>
      <c r="H357" s="140" t="e">
        <f>VLOOKUP(V357,Data!$B:$E,3,FALSE)</f>
        <v>#N/A</v>
      </c>
      <c r="I357" s="141" t="e">
        <f>VLOOKUP(W357,Data!$B:$E,3,FALSE)</f>
        <v>#N/A</v>
      </c>
      <c r="O357" s="53" t="s">
        <v>1429</v>
      </c>
      <c r="P357" s="40" t="s">
        <v>1428</v>
      </c>
      <c r="Q357" s="84" t="s">
        <v>1430</v>
      </c>
      <c r="R357" s="84" t="s">
        <v>1431</v>
      </c>
      <c r="S357" s="84" t="s">
        <v>1432</v>
      </c>
      <c r="T357" s="84" t="s">
        <v>1433</v>
      </c>
      <c r="U357" s="84" t="s">
        <v>1434</v>
      </c>
      <c r="V357" s="84" t="s">
        <v>1435</v>
      </c>
      <c r="W357" s="57" t="s">
        <v>1436</v>
      </c>
    </row>
    <row r="358">
      <c r="A358" s="34" t="str">
        <f>Translation!A365</f>
        <v>DEPRECIAÇÕES E AMORTIZAÇÕES</v>
      </c>
      <c r="B358" s="40" t="s">
        <v>1437</v>
      </c>
      <c r="C358" s="140" t="e">
        <f>VLOOKUP(Q358,Data!$B:$E,3,FALSE)</f>
        <v>#N/A</v>
      </c>
      <c r="D358" s="140" t="e">
        <f>VLOOKUP(R358,Data!$B:$E,3,FALSE)</f>
        <v>#N/A</v>
      </c>
      <c r="E358" s="140" t="e">
        <f>VLOOKUP(S358,Data!$B:$E,3,FALSE)</f>
        <v>#N/A</v>
      </c>
      <c r="F358" s="140" t="e">
        <f>VLOOKUP(T358,Data!$B:$E,3,FALSE)</f>
        <v>#N/A</v>
      </c>
      <c r="G358" s="140" t="e">
        <f>VLOOKUP(U358,Data!$B:$E,3,FALSE)</f>
        <v>#N/A</v>
      </c>
      <c r="H358" s="140" t="e">
        <f>VLOOKUP(V358,Data!$B:$E,3,FALSE)</f>
        <v>#N/A</v>
      </c>
      <c r="I358" s="141" t="e">
        <f>VLOOKUP(W358,Data!$B:$E,3,FALSE)</f>
        <v>#N/A</v>
      </c>
      <c r="O358" s="53" t="s">
        <v>1438</v>
      </c>
      <c r="P358" s="40" t="s">
        <v>1437</v>
      </c>
      <c r="Q358" s="84" t="s">
        <v>1439</v>
      </c>
      <c r="R358" s="84" t="s">
        <v>1440</v>
      </c>
      <c r="S358" s="84" t="s">
        <v>1441</v>
      </c>
      <c r="T358" s="84" t="s">
        <v>1442</v>
      </c>
      <c r="U358" s="84" t="s">
        <v>1443</v>
      </c>
      <c r="V358" s="84" t="s">
        <v>1444</v>
      </c>
      <c r="W358" s="57" t="s">
        <v>1445</v>
      </c>
    </row>
    <row r="359">
      <c r="A359" s="34" t="str">
        <f>Translation!A366</f>
        <v>SEGUROS</v>
      </c>
      <c r="B359" s="40" t="s">
        <v>1446</v>
      </c>
      <c r="C359" s="140" t="e">
        <f>VLOOKUP(Q359,Data!$B:$E,3,FALSE)</f>
        <v>#N/A</v>
      </c>
      <c r="D359" s="140" t="e">
        <f>VLOOKUP(R359,Data!$B:$E,3,FALSE)</f>
        <v>#N/A</v>
      </c>
      <c r="E359" s="140" t="e">
        <f>VLOOKUP(S359,Data!$B:$E,3,FALSE)</f>
        <v>#N/A</v>
      </c>
      <c r="F359" s="140" t="e">
        <f>VLOOKUP(T359,Data!$B:$E,3,FALSE)</f>
        <v>#N/A</v>
      </c>
      <c r="G359" s="140" t="e">
        <f>VLOOKUP(U359,Data!$B:$E,3,FALSE)</f>
        <v>#N/A</v>
      </c>
      <c r="H359" s="140" t="e">
        <f>VLOOKUP(V359,Data!$B:$E,3,FALSE)</f>
        <v>#N/A</v>
      </c>
      <c r="I359" s="141" t="e">
        <f>VLOOKUP(W359,Data!$B:$E,3,FALSE)</f>
        <v>#N/A</v>
      </c>
      <c r="O359" s="53" t="s">
        <v>1447</v>
      </c>
      <c r="P359" s="40" t="s">
        <v>1446</v>
      </c>
      <c r="Q359" s="84" t="s">
        <v>1448</v>
      </c>
      <c r="R359" s="84" t="s">
        <v>1449</v>
      </c>
      <c r="S359" s="84" t="s">
        <v>1450</v>
      </c>
      <c r="T359" s="84" t="s">
        <v>1451</v>
      </c>
      <c r="U359" s="84" t="s">
        <v>1452</v>
      </c>
      <c r="V359" s="84" t="s">
        <v>1453</v>
      </c>
      <c r="W359" s="57" t="s">
        <v>1454</v>
      </c>
    </row>
    <row r="360">
      <c r="A360" s="34" t="str">
        <f>Translation!A367</f>
        <v>OUTROS GASTOS COM ESTRUTURA</v>
      </c>
      <c r="B360" s="40" t="s">
        <v>1455</v>
      </c>
      <c r="C360" s="140" t="e">
        <f>VLOOKUP(Q360,Data!$B:$E,3,FALSE)</f>
        <v>#N/A</v>
      </c>
      <c r="D360" s="140" t="e">
        <f>VLOOKUP(R360,Data!$B:$E,3,FALSE)</f>
        <v>#N/A</v>
      </c>
      <c r="E360" s="140" t="e">
        <f>VLOOKUP(S360,Data!$B:$E,3,FALSE)</f>
        <v>#N/A</v>
      </c>
      <c r="F360" s="140" t="e">
        <f>VLOOKUP(T360,Data!$B:$E,3,FALSE)</f>
        <v>#N/A</v>
      </c>
      <c r="G360" s="140" t="e">
        <f>VLOOKUP(U360,Data!$B:$E,3,FALSE)</f>
        <v>#N/A</v>
      </c>
      <c r="H360" s="140" t="e">
        <f>VLOOKUP(V360,Data!$B:$E,3,FALSE)</f>
        <v>#N/A</v>
      </c>
      <c r="I360" s="141" t="e">
        <f>VLOOKUP(W360,Data!$B:$E,3,FALSE)</f>
        <v>#N/A</v>
      </c>
      <c r="O360" s="53" t="s">
        <v>1456</v>
      </c>
      <c r="P360" s="40" t="s">
        <v>1455</v>
      </c>
      <c r="Q360" s="84" t="s">
        <v>1457</v>
      </c>
      <c r="R360" s="84" t="s">
        <v>1458</v>
      </c>
      <c r="S360" s="84" t="s">
        <v>1459</v>
      </c>
      <c r="T360" s="84" t="s">
        <v>1460</v>
      </c>
      <c r="U360" s="84" t="s">
        <v>1461</v>
      </c>
      <c r="V360" s="84" t="s">
        <v>1462</v>
      </c>
      <c r="W360" s="57" t="s">
        <v>1463</v>
      </c>
    </row>
    <row r="361">
      <c r="A361" s="35" t="str">
        <f>Translation!A368</f>
        <v>TOTAL DE DESPESAS COM ESTRUTURA - IMÓVEIS (B)</v>
      </c>
      <c r="B361" s="40" t="s">
        <v>1464</v>
      </c>
      <c r="C361" s="141" t="e">
        <f>VLOOKUP(Q361,Data!$B:$E,3,FALSE)</f>
        <v>#N/A</v>
      </c>
      <c r="D361" s="141" t="e">
        <f>VLOOKUP(R361,Data!$B:$E,3,FALSE)</f>
        <v>#N/A</v>
      </c>
      <c r="E361" s="141" t="e">
        <f>VLOOKUP(S361,Data!$B:$E,3,FALSE)</f>
        <v>#N/A</v>
      </c>
      <c r="F361" s="141" t="e">
        <f>VLOOKUP(T361,Data!$B:$E,3,FALSE)</f>
        <v>#N/A</v>
      </c>
      <c r="G361" s="141" t="e">
        <f>VLOOKUP(U361,Data!$B:$E,3,FALSE)</f>
        <v>#N/A</v>
      </c>
      <c r="H361" s="141" t="e">
        <f>VLOOKUP(V361,Data!$B:$E,3,FALSE)</f>
        <v>#N/A</v>
      </c>
      <c r="I361" s="141" t="e">
        <f>VLOOKUP(W361,Data!$B:$E,3,FALSE)</f>
        <v>#N/A</v>
      </c>
      <c r="O361" s="54" t="s">
        <v>711</v>
      </c>
      <c r="P361" s="40" t="s">
        <v>1464</v>
      </c>
      <c r="Q361" s="57" t="s">
        <v>1465</v>
      </c>
      <c r="R361" s="57" t="s">
        <v>1466</v>
      </c>
      <c r="S361" s="57" t="s">
        <v>1467</v>
      </c>
      <c r="T361" s="57" t="s">
        <v>1468</v>
      </c>
      <c r="U361" s="57" t="s">
        <v>1469</v>
      </c>
      <c r="V361" s="57" t="s">
        <v>1470</v>
      </c>
      <c r="W361" s="57" t="s">
        <v>1471</v>
      </c>
    </row>
    <row r="362">
      <c r="A362" s="33" t="str">
        <f>Translation!A369</f>
        <v>ADVOGADO </v>
      </c>
      <c r="B362" s="40" t="s">
        <v>1472</v>
      </c>
      <c r="C362" s="140" t="e">
        <f>VLOOKUP(Q362,Data!$B:$E,3,FALSE)</f>
        <v>#N/A</v>
      </c>
      <c r="D362" s="140" t="e">
        <f>VLOOKUP(R362,Data!$B:$E,3,FALSE)</f>
        <v>#N/A</v>
      </c>
      <c r="E362" s="140" t="e">
        <f>VLOOKUP(S362,Data!$B:$E,3,FALSE)</f>
        <v>#N/A</v>
      </c>
      <c r="F362" s="140" t="e">
        <f>VLOOKUP(T362,Data!$B:$E,3,FALSE)</f>
        <v>#N/A</v>
      </c>
      <c r="G362" s="140" t="e">
        <f>VLOOKUP(U362,Data!$B:$E,3,FALSE)</f>
        <v>#N/A</v>
      </c>
      <c r="H362" s="140" t="e">
        <f>VLOOKUP(V362,Data!$B:$E,3,FALSE)</f>
        <v>#N/A</v>
      </c>
      <c r="I362" s="141" t="e">
        <f>VLOOKUP(W362,Data!$B:$E,3,FALSE)</f>
        <v>#N/A</v>
      </c>
      <c r="O362" s="52" t="s">
        <v>1473</v>
      </c>
      <c r="P362" s="40" t="s">
        <v>1472</v>
      </c>
      <c r="Q362" s="84" t="s">
        <v>1474</v>
      </c>
      <c r="R362" s="84" t="s">
        <v>1475</v>
      </c>
      <c r="S362" s="84" t="s">
        <v>1476</v>
      </c>
      <c r="T362" s="84" t="s">
        <v>1477</v>
      </c>
      <c r="U362" s="84" t="s">
        <v>1478</v>
      </c>
      <c r="V362" s="84" t="s">
        <v>1479</v>
      </c>
      <c r="W362" s="57" t="s">
        <v>1480</v>
      </c>
    </row>
    <row r="363">
      <c r="A363" s="33" t="str">
        <f>Translation!A370</f>
        <v>CONTADOR</v>
      </c>
      <c r="B363" s="40" t="s">
        <v>1481</v>
      </c>
      <c r="C363" s="140" t="e">
        <f>VLOOKUP(Q363,Data!$B:$E,3,FALSE)</f>
        <v>#N/A</v>
      </c>
      <c r="D363" s="140" t="e">
        <f>VLOOKUP(R363,Data!$B:$E,3,FALSE)</f>
        <v>#N/A</v>
      </c>
      <c r="E363" s="140" t="e">
        <f>VLOOKUP(S363,Data!$B:$E,3,FALSE)</f>
        <v>#N/A</v>
      </c>
      <c r="F363" s="140" t="e">
        <f>VLOOKUP(T363,Data!$B:$E,3,FALSE)</f>
        <v>#N/A</v>
      </c>
      <c r="G363" s="140" t="e">
        <f>VLOOKUP(U363,Data!$B:$E,3,FALSE)</f>
        <v>#N/A</v>
      </c>
      <c r="H363" s="140" t="e">
        <f>VLOOKUP(V363,Data!$B:$E,3,FALSE)</f>
        <v>#N/A</v>
      </c>
      <c r="I363" s="141" t="e">
        <f>VLOOKUP(W363,Data!$B:$E,3,FALSE)</f>
        <v>#N/A</v>
      </c>
      <c r="O363" s="52" t="s">
        <v>1482</v>
      </c>
      <c r="P363" s="40" t="s">
        <v>1481</v>
      </c>
      <c r="Q363" s="84" t="s">
        <v>1483</v>
      </c>
      <c r="R363" s="84" t="s">
        <v>1484</v>
      </c>
      <c r="S363" s="84" t="s">
        <v>1485</v>
      </c>
      <c r="T363" s="84" t="s">
        <v>1486</v>
      </c>
      <c r="U363" s="84" t="s">
        <v>1487</v>
      </c>
      <c r="V363" s="84" t="s">
        <v>1488</v>
      </c>
      <c r="W363" s="57" t="s">
        <v>1489</v>
      </c>
    </row>
    <row r="364">
      <c r="A364" s="33" t="str">
        <f>Translation!A371</f>
        <v>DESPESAS LEGAIS</v>
      </c>
      <c r="B364" s="40" t="s">
        <v>1490</v>
      </c>
      <c r="C364" s="140" t="e">
        <f>VLOOKUP(Q364,Data!$B:$E,3,FALSE)</f>
        <v>#N/A</v>
      </c>
      <c r="D364" s="140" t="e">
        <f>VLOOKUP(R364,Data!$B:$E,3,FALSE)</f>
        <v>#N/A</v>
      </c>
      <c r="E364" s="140" t="e">
        <f>VLOOKUP(S364,Data!$B:$E,3,FALSE)</f>
        <v>#N/A</v>
      </c>
      <c r="F364" s="140" t="e">
        <f>VLOOKUP(T364,Data!$B:$E,3,FALSE)</f>
        <v>#N/A</v>
      </c>
      <c r="G364" s="140" t="e">
        <f>VLOOKUP(U364,Data!$B:$E,3,FALSE)</f>
        <v>#N/A</v>
      </c>
      <c r="H364" s="140" t="e">
        <f>VLOOKUP(V364,Data!$B:$E,3,FALSE)</f>
        <v>#N/A</v>
      </c>
      <c r="I364" s="141" t="e">
        <f>VLOOKUP(W364,Data!$B:$E,3,FALSE)</f>
        <v>#N/A</v>
      </c>
      <c r="O364" s="52" t="s">
        <v>1491</v>
      </c>
      <c r="P364" s="40" t="s">
        <v>1490</v>
      </c>
      <c r="Q364" s="84" t="s">
        <v>1492</v>
      </c>
      <c r="R364" s="84" t="s">
        <v>1493</v>
      </c>
      <c r="S364" s="84" t="s">
        <v>1494</v>
      </c>
      <c r="T364" s="84" t="s">
        <v>1495</v>
      </c>
      <c r="U364" s="84" t="s">
        <v>1496</v>
      </c>
      <c r="V364" s="84" t="s">
        <v>1497</v>
      </c>
      <c r="W364" s="57" t="s">
        <v>1498</v>
      </c>
    </row>
    <row r="365">
      <c r="A365" s="33" t="str">
        <f>Translation!A372</f>
        <v>DESPACHANTE </v>
      </c>
      <c r="B365" s="40" t="s">
        <v>1499</v>
      </c>
      <c r="C365" s="140" t="e">
        <f>VLOOKUP(Q365,Data!$B:$E,3,FALSE)</f>
        <v>#N/A</v>
      </c>
      <c r="D365" s="140" t="e">
        <f>VLOOKUP(R365,Data!$B:$E,3,FALSE)</f>
        <v>#N/A</v>
      </c>
      <c r="E365" s="140" t="e">
        <f>VLOOKUP(S365,Data!$B:$E,3,FALSE)</f>
        <v>#N/A</v>
      </c>
      <c r="F365" s="140" t="e">
        <f>VLOOKUP(T365,Data!$B:$E,3,FALSE)</f>
        <v>#N/A</v>
      </c>
      <c r="G365" s="140" t="e">
        <f>VLOOKUP(U365,Data!$B:$E,3,FALSE)</f>
        <v>#N/A</v>
      </c>
      <c r="H365" s="140" t="e">
        <f>VLOOKUP(V365,Data!$B:$E,3,FALSE)</f>
        <v>#N/A</v>
      </c>
      <c r="I365" s="141" t="e">
        <f>VLOOKUP(W365,Data!$B:$E,3,FALSE)</f>
        <v>#N/A</v>
      </c>
      <c r="O365" s="52" t="s">
        <v>1500</v>
      </c>
      <c r="P365" s="40" t="s">
        <v>1499</v>
      </c>
      <c r="Q365" s="84" t="s">
        <v>1501</v>
      </c>
      <c r="R365" s="84" t="s">
        <v>1502</v>
      </c>
      <c r="S365" s="84" t="s">
        <v>1503</v>
      </c>
      <c r="T365" s="84" t="s">
        <v>1504</v>
      </c>
      <c r="U365" s="84" t="s">
        <v>1505</v>
      </c>
      <c r="V365" s="84" t="s">
        <v>1506</v>
      </c>
      <c r="W365" s="57" t="s">
        <v>1507</v>
      </c>
    </row>
    <row r="366">
      <c r="A366" s="33" t="str">
        <f>Translation!A373</f>
        <v>INFORMÁTICA, TELEFONE E INTERNET</v>
      </c>
      <c r="B366" s="40" t="s">
        <v>1508</v>
      </c>
      <c r="C366" s="140" t="e">
        <f>VLOOKUP(Q366,Data!$B:$E,3,FALSE)</f>
        <v>#N/A</v>
      </c>
      <c r="D366" s="140" t="e">
        <f>VLOOKUP(R366,Data!$B:$E,3,FALSE)</f>
        <v>#N/A</v>
      </c>
      <c r="E366" s="140" t="e">
        <f>VLOOKUP(S366,Data!$B:$E,3,FALSE)</f>
        <v>#N/A</v>
      </c>
      <c r="F366" s="140" t="e">
        <f>VLOOKUP(T366,Data!$B:$E,3,FALSE)</f>
        <v>#N/A</v>
      </c>
      <c r="G366" s="140" t="e">
        <f>VLOOKUP(U366,Data!$B:$E,3,FALSE)</f>
        <v>#N/A</v>
      </c>
      <c r="H366" s="140" t="e">
        <f>VLOOKUP(V366,Data!$B:$E,3,FALSE)</f>
        <v>#N/A</v>
      </c>
      <c r="I366" s="141" t="e">
        <f>VLOOKUP(W366,Data!$B:$E,3,FALSE)</f>
        <v>#N/A</v>
      </c>
      <c r="O366" s="52" t="s">
        <v>1509</v>
      </c>
      <c r="P366" s="40" t="s">
        <v>1508</v>
      </c>
      <c r="Q366" s="84" t="s">
        <v>1510</v>
      </c>
      <c r="R366" s="84" t="s">
        <v>1511</v>
      </c>
      <c r="S366" s="84" t="s">
        <v>1512</v>
      </c>
      <c r="T366" s="84" t="s">
        <v>1513</v>
      </c>
      <c r="U366" s="84" t="s">
        <v>1514</v>
      </c>
      <c r="V366" s="84" t="s">
        <v>1515</v>
      </c>
      <c r="W366" s="57" t="s">
        <v>1516</v>
      </c>
    </row>
    <row r="367">
      <c r="A367" s="33" t="str">
        <f>Translation!A374</f>
        <v>MATERIAIS DE CONSUMO</v>
      </c>
      <c r="B367" s="40" t="s">
        <v>1517</v>
      </c>
      <c r="C367" s="140" t="e">
        <f>VLOOKUP(Q367,Data!$B:$E,3,FALSE)</f>
        <v>#N/A</v>
      </c>
      <c r="D367" s="140" t="e">
        <f>VLOOKUP(R367,Data!$B:$E,3,FALSE)</f>
        <v>#N/A</v>
      </c>
      <c r="E367" s="140" t="e">
        <f>VLOOKUP(S367,Data!$B:$E,3,FALSE)</f>
        <v>#N/A</v>
      </c>
      <c r="F367" s="140" t="e">
        <f>VLOOKUP(T367,Data!$B:$E,3,FALSE)</f>
        <v>#N/A</v>
      </c>
      <c r="G367" s="140" t="e">
        <f>VLOOKUP(U367,Data!$B:$E,3,FALSE)</f>
        <v>#N/A</v>
      </c>
      <c r="H367" s="140" t="e">
        <f>VLOOKUP(V367,Data!$B:$E,3,FALSE)</f>
        <v>#N/A</v>
      </c>
      <c r="I367" s="141" t="e">
        <f>VLOOKUP(W367,Data!$B:$E,3,FALSE)</f>
        <v>#N/A</v>
      </c>
      <c r="O367" s="52" t="s">
        <v>1518</v>
      </c>
      <c r="P367" s="40" t="s">
        <v>1517</v>
      </c>
      <c r="Q367" s="84" t="s">
        <v>1519</v>
      </c>
      <c r="R367" s="84" t="s">
        <v>1520</v>
      </c>
      <c r="S367" s="84" t="s">
        <v>1521</v>
      </c>
      <c r="T367" s="84" t="s">
        <v>1522</v>
      </c>
      <c r="U367" s="84" t="s">
        <v>1523</v>
      </c>
      <c r="V367" s="84" t="s">
        <v>1524</v>
      </c>
      <c r="W367" s="57" t="s">
        <v>1525</v>
      </c>
    </row>
    <row r="368">
      <c r="A368" s="33" t="str">
        <f>Translation!A375</f>
        <v>MULTAS</v>
      </c>
      <c r="B368" s="40" t="s">
        <v>1526</v>
      </c>
      <c r="C368" s="140" t="e">
        <f>VLOOKUP(Q368,Data!$B:$E,3,FALSE)</f>
        <v>#N/A</v>
      </c>
      <c r="D368" s="140" t="e">
        <f>VLOOKUP(R368,Data!$B:$E,3,FALSE)</f>
        <v>#N/A</v>
      </c>
      <c r="E368" s="140" t="e">
        <f>VLOOKUP(S368,Data!$B:$E,3,FALSE)</f>
        <v>#N/A</v>
      </c>
      <c r="F368" s="140" t="e">
        <f>VLOOKUP(T368,Data!$B:$E,3,FALSE)</f>
        <v>#N/A</v>
      </c>
      <c r="G368" s="140" t="e">
        <f>VLOOKUP(U368,Data!$B:$E,3,FALSE)</f>
        <v>#N/A</v>
      </c>
      <c r="H368" s="140" t="e">
        <f>VLOOKUP(V368,Data!$B:$E,3,FALSE)</f>
        <v>#N/A</v>
      </c>
      <c r="I368" s="141" t="e">
        <f>VLOOKUP(W368,Data!$B:$E,3,FALSE)</f>
        <v>#N/A</v>
      </c>
      <c r="O368" s="52" t="s">
        <v>1527</v>
      </c>
      <c r="P368" s="40" t="s">
        <v>1526</v>
      </c>
      <c r="Q368" s="84" t="s">
        <v>1528</v>
      </c>
      <c r="R368" s="84" t="s">
        <v>1529</v>
      </c>
      <c r="S368" s="84" t="s">
        <v>1530</v>
      </c>
      <c r="T368" s="84" t="s">
        <v>1531</v>
      </c>
      <c r="U368" s="84" t="s">
        <v>1532</v>
      </c>
      <c r="V368" s="84" t="s">
        <v>1533</v>
      </c>
      <c r="W368" s="57" t="s">
        <v>1534</v>
      </c>
    </row>
    <row r="369">
      <c r="A369" s="33" t="str">
        <f>Translation!A376</f>
        <v>FRETES</v>
      </c>
      <c r="B369" s="40" t="s">
        <v>1535</v>
      </c>
      <c r="C369" s="140" t="e">
        <f>VLOOKUP(Q369,Data!$B:$E,3,FALSE)</f>
        <v>#N/A</v>
      </c>
      <c r="D369" s="140" t="e">
        <f>VLOOKUP(R369,Data!$B:$E,3,FALSE)</f>
        <v>#N/A</v>
      </c>
      <c r="E369" s="140" t="e">
        <f>VLOOKUP(S369,Data!$B:$E,3,FALSE)</f>
        <v>#N/A</v>
      </c>
      <c r="F369" s="140" t="e">
        <f>VLOOKUP(T369,Data!$B:$E,3,FALSE)</f>
        <v>#N/A</v>
      </c>
      <c r="G369" s="140" t="e">
        <f>VLOOKUP(U369,Data!$B:$E,3,FALSE)</f>
        <v>#N/A</v>
      </c>
      <c r="H369" s="140" t="e">
        <f>VLOOKUP(V369,Data!$B:$E,3,FALSE)</f>
        <v>#N/A</v>
      </c>
      <c r="I369" s="141" t="e">
        <f>VLOOKUP(W369,Data!$B:$E,3,FALSE)</f>
        <v>#N/A</v>
      </c>
      <c r="O369" s="52" t="s">
        <v>1536</v>
      </c>
      <c r="P369" s="40" t="s">
        <v>1535</v>
      </c>
      <c r="Q369" s="84" t="s">
        <v>1537</v>
      </c>
      <c r="R369" s="84" t="s">
        <v>1538</v>
      </c>
      <c r="S369" s="84" t="s">
        <v>1539</v>
      </c>
      <c r="T369" s="84" t="s">
        <v>1540</v>
      </c>
      <c r="U369" s="84" t="s">
        <v>1541</v>
      </c>
      <c r="V369" s="84" t="s">
        <v>1542</v>
      </c>
      <c r="W369" s="57" t="s">
        <v>1543</v>
      </c>
    </row>
    <row r="370">
      <c r="A370" s="33" t="str">
        <f>Translation!A377</f>
        <v>PROPAGANDA E PROMOÇÃO</v>
      </c>
      <c r="B370" s="40" t="s">
        <v>1544</v>
      </c>
      <c r="C370" s="140" t="e">
        <f>VLOOKUP(Q370,Data!$B:$E,3,FALSE)</f>
        <v>#N/A</v>
      </c>
      <c r="D370" s="140" t="e">
        <f>VLOOKUP(R370,Data!$B:$E,3,FALSE)</f>
        <v>#N/A</v>
      </c>
      <c r="E370" s="140" t="e">
        <f>VLOOKUP(S370,Data!$B:$E,3,FALSE)</f>
        <v>#N/A</v>
      </c>
      <c r="F370" s="140" t="e">
        <f>VLOOKUP(T370,Data!$B:$E,3,FALSE)</f>
        <v>#N/A</v>
      </c>
      <c r="G370" s="140" t="e">
        <f>VLOOKUP(U370,Data!$B:$E,3,FALSE)</f>
        <v>#N/A</v>
      </c>
      <c r="H370" s="140" t="e">
        <f>VLOOKUP(V370,Data!$B:$E,3,FALSE)</f>
        <v>#N/A</v>
      </c>
      <c r="I370" s="141" t="e">
        <f>VLOOKUP(W370,Data!$B:$E,3,FALSE)</f>
        <v>#N/A</v>
      </c>
      <c r="O370" s="52" t="s">
        <v>1545</v>
      </c>
      <c r="P370" s="40" t="s">
        <v>1544</v>
      </c>
      <c r="Q370" s="84" t="s">
        <v>1546</v>
      </c>
      <c r="R370" s="84" t="s">
        <v>1547</v>
      </c>
      <c r="S370" s="84" t="s">
        <v>1548</v>
      </c>
      <c r="T370" s="84" t="s">
        <v>1549</v>
      </c>
      <c r="U370" s="84" t="s">
        <v>1550</v>
      </c>
      <c r="V370" s="84" t="s">
        <v>1551</v>
      </c>
      <c r="W370" s="57" t="s">
        <v>1552</v>
      </c>
    </row>
    <row r="371">
      <c r="A371" s="33" t="str">
        <f>Translation!A378</f>
        <v>IMPOSTOS, TAXAS E CONTRIBUIÇÕES(EXCETO IRPJ E CSLL)</v>
      </c>
      <c r="B371" s="40" t="s">
        <v>1553</v>
      </c>
      <c r="C371" s="140" t="e">
        <f>VLOOKUP(Q371,Data!$B:$E,3,FALSE)</f>
        <v>#N/A</v>
      </c>
      <c r="D371" s="140" t="e">
        <f>VLOOKUP(R371,Data!$B:$E,3,FALSE)</f>
        <v>#N/A</v>
      </c>
      <c r="E371" s="140" t="e">
        <f>VLOOKUP(S371,Data!$B:$E,3,FALSE)</f>
        <v>#N/A</v>
      </c>
      <c r="F371" s="140" t="e">
        <f>VLOOKUP(T371,Data!$B:$E,3,FALSE)</f>
        <v>#N/A</v>
      </c>
      <c r="G371" s="140" t="e">
        <f>VLOOKUP(U371,Data!$B:$E,3,FALSE)</f>
        <v>#N/A</v>
      </c>
      <c r="H371" s="140" t="e">
        <f>VLOOKUP(V371,Data!$B:$E,3,FALSE)</f>
        <v>#N/A</v>
      </c>
      <c r="I371" s="141" t="e">
        <f>VLOOKUP(W371,Data!$B:$E,3,FALSE)</f>
        <v>#N/A</v>
      </c>
      <c r="O371" s="52" t="s">
        <v>1554</v>
      </c>
      <c r="P371" s="40" t="s">
        <v>1553</v>
      </c>
      <c r="Q371" s="84" t="s">
        <v>1555</v>
      </c>
      <c r="R371" s="84" t="s">
        <v>1556</v>
      </c>
      <c r="S371" s="84" t="s">
        <v>1557</v>
      </c>
      <c r="T371" s="84" t="s">
        <v>1558</v>
      </c>
      <c r="U371" s="84" t="s">
        <v>1559</v>
      </c>
      <c r="V371" s="84" t="s">
        <v>1560</v>
      </c>
      <c r="W371" s="57" t="s">
        <v>1561</v>
      </c>
    </row>
    <row r="372">
      <c r="A372" s="33" t="str">
        <f>Translation!A379</f>
        <v>SEGUROS DE VEÍCULOS</v>
      </c>
      <c r="B372" s="40" t="s">
        <v>1562</v>
      </c>
      <c r="C372" s="140" t="e">
        <f>VLOOKUP(Q372,Data!$B:$E,3,FALSE)</f>
        <v>#N/A</v>
      </c>
      <c r="D372" s="140" t="e">
        <f>VLOOKUP(R372,Data!$B:$E,3,FALSE)</f>
        <v>#N/A</v>
      </c>
      <c r="E372" s="140" t="e">
        <f>VLOOKUP(S372,Data!$B:$E,3,FALSE)</f>
        <v>#N/A</v>
      </c>
      <c r="F372" s="140" t="e">
        <f>VLOOKUP(T372,Data!$B:$E,3,FALSE)</f>
        <v>#N/A</v>
      </c>
      <c r="G372" s="140" t="e">
        <f>VLOOKUP(U372,Data!$B:$E,3,FALSE)</f>
        <v>#N/A</v>
      </c>
      <c r="H372" s="140" t="e">
        <f>VLOOKUP(V372,Data!$B:$E,3,FALSE)</f>
        <v>#N/A</v>
      </c>
      <c r="I372" s="141" t="e">
        <f>VLOOKUP(W372,Data!$B:$E,3,FALSE)</f>
        <v>#N/A</v>
      </c>
      <c r="O372" s="52" t="s">
        <v>1563</v>
      </c>
      <c r="P372" s="40" t="s">
        <v>1562</v>
      </c>
      <c r="Q372" s="84" t="s">
        <v>1564</v>
      </c>
      <c r="R372" s="84" t="s">
        <v>1565</v>
      </c>
      <c r="S372" s="84" t="s">
        <v>1566</v>
      </c>
      <c r="T372" s="84" t="s">
        <v>1567</v>
      </c>
      <c r="U372" s="84" t="s">
        <v>1568</v>
      </c>
      <c r="V372" s="84" t="s">
        <v>1569</v>
      </c>
      <c r="W372" s="57" t="s">
        <v>1570</v>
      </c>
    </row>
    <row r="373">
      <c r="A373" s="33" t="str">
        <f>Translation!A380</f>
        <v>DESPESAS COM VEÍCULOS (CONSERVAÇÃO, USO E REPAROS)</v>
      </c>
      <c r="B373" s="40" t="s">
        <v>1571</v>
      </c>
      <c r="C373" s="140" t="e">
        <f>VLOOKUP(Q373,Data!$B:$E,3,FALSE)</f>
        <v>#N/A</v>
      </c>
      <c r="D373" s="140" t="e">
        <f>VLOOKUP(R373,Data!$B:$E,3,FALSE)</f>
        <v>#N/A</v>
      </c>
      <c r="E373" s="140" t="e">
        <f>VLOOKUP(S373,Data!$B:$E,3,FALSE)</f>
        <v>#N/A</v>
      </c>
      <c r="F373" s="140" t="e">
        <f>VLOOKUP(T373,Data!$B:$E,3,FALSE)</f>
        <v>#N/A</v>
      </c>
      <c r="G373" s="140" t="e">
        <f>VLOOKUP(U373,Data!$B:$E,3,FALSE)</f>
        <v>#N/A</v>
      </c>
      <c r="H373" s="140" t="e">
        <f>VLOOKUP(V373,Data!$B:$E,3,FALSE)</f>
        <v>#N/A</v>
      </c>
      <c r="I373" s="141" t="e">
        <f>VLOOKUP(W373,Data!$B:$E,3,FALSE)</f>
        <v>#N/A</v>
      </c>
      <c r="O373" s="52" t="s">
        <v>1572</v>
      </c>
      <c r="P373" s="40" t="s">
        <v>1571</v>
      </c>
      <c r="Q373" s="84" t="s">
        <v>1573</v>
      </c>
      <c r="R373" s="84" t="s">
        <v>1574</v>
      </c>
      <c r="S373" s="84" t="s">
        <v>1575</v>
      </c>
      <c r="T373" s="84" t="s">
        <v>1576</v>
      </c>
      <c r="U373" s="84" t="s">
        <v>1577</v>
      </c>
      <c r="V373" s="84" t="s">
        <v>1578</v>
      </c>
      <c r="W373" s="57" t="s">
        <v>1579</v>
      </c>
    </row>
    <row r="374">
      <c r="A374" s="33" t="str">
        <f>Translation!A381</f>
        <v>PRESTAÇÃO DE SERVIÇOS DE P.F. SEM VÍNC. EMPREGATÍCIO</v>
      </c>
      <c r="B374" s="40" t="s">
        <v>1580</v>
      </c>
      <c r="C374" s="140" t="e">
        <f>VLOOKUP(Q374,Data!$B:$E,3,FALSE)</f>
        <v>#N/A</v>
      </c>
      <c r="D374" s="140" t="e">
        <f>VLOOKUP(R374,Data!$B:$E,3,FALSE)</f>
        <v>#N/A</v>
      </c>
      <c r="E374" s="140" t="e">
        <f>VLOOKUP(S374,Data!$B:$E,3,FALSE)</f>
        <v>#N/A</v>
      </c>
      <c r="F374" s="140" t="e">
        <f>VLOOKUP(T374,Data!$B:$E,3,FALSE)</f>
        <v>#N/A</v>
      </c>
      <c r="G374" s="140" t="e">
        <f>VLOOKUP(U374,Data!$B:$E,3,FALSE)</f>
        <v>#N/A</v>
      </c>
      <c r="H374" s="140" t="e">
        <f>VLOOKUP(V374,Data!$B:$E,3,FALSE)</f>
        <v>#N/A</v>
      </c>
      <c r="I374" s="141" t="e">
        <f>VLOOKUP(W374,Data!$B:$E,3,FALSE)</f>
        <v>#N/A</v>
      </c>
      <c r="O374" s="52" t="s">
        <v>1581</v>
      </c>
      <c r="P374" s="40" t="s">
        <v>1580</v>
      </c>
      <c r="Q374" s="84" t="s">
        <v>1582</v>
      </c>
      <c r="R374" s="84" t="s">
        <v>1583</v>
      </c>
      <c r="S374" s="84" t="s">
        <v>1584</v>
      </c>
      <c r="T374" s="84" t="s">
        <v>1585</v>
      </c>
      <c r="U374" s="84" t="s">
        <v>1586</v>
      </c>
      <c r="V374" s="84" t="s">
        <v>1587</v>
      </c>
      <c r="W374" s="57" t="s">
        <v>1588</v>
      </c>
    </row>
    <row r="375">
      <c r="A375" s="33" t="str">
        <f>Translation!A382</f>
        <v>PRESTAÇÃO DE SERVIÇOS PESSOA JURÍDICA</v>
      </c>
      <c r="B375" s="40" t="s">
        <v>1589</v>
      </c>
      <c r="C375" s="140" t="e">
        <f>VLOOKUP(Q375,Data!$B:$E,3,FALSE)</f>
        <v>#N/A</v>
      </c>
      <c r="D375" s="140" t="e">
        <f>VLOOKUP(R375,Data!$B:$E,3,FALSE)</f>
        <v>#N/A</v>
      </c>
      <c r="E375" s="140" t="e">
        <f>VLOOKUP(S375,Data!$B:$E,3,FALSE)</f>
        <v>#N/A</v>
      </c>
      <c r="F375" s="140" t="e">
        <f>VLOOKUP(T375,Data!$B:$E,3,FALSE)</f>
        <v>#N/A</v>
      </c>
      <c r="G375" s="140" t="e">
        <f>VLOOKUP(U375,Data!$B:$E,3,FALSE)</f>
        <v>#N/A</v>
      </c>
      <c r="H375" s="140" t="e">
        <f>VLOOKUP(V375,Data!$B:$E,3,FALSE)</f>
        <v>#N/A</v>
      </c>
      <c r="I375" s="141" t="e">
        <f>VLOOKUP(W375,Data!$B:$E,3,FALSE)</f>
        <v>#N/A</v>
      </c>
      <c r="O375" s="52" t="s">
        <v>1590</v>
      </c>
      <c r="P375" s="40" t="s">
        <v>1589</v>
      </c>
      <c r="Q375" s="84" t="s">
        <v>1591</v>
      </c>
      <c r="R375" s="84" t="s">
        <v>1592</v>
      </c>
      <c r="S375" s="84" t="s">
        <v>1593</v>
      </c>
      <c r="T375" s="84" t="s">
        <v>1594</v>
      </c>
      <c r="U375" s="84" t="s">
        <v>1595</v>
      </c>
      <c r="V375" s="84" t="s">
        <v>1596</v>
      </c>
      <c r="W375" s="57" t="s">
        <v>1597</v>
      </c>
    </row>
    <row r="376">
      <c r="A376" s="33" t="str">
        <f>Translation!A383</f>
        <v>CORTESIAS COMERCIAIS</v>
      </c>
      <c r="B376" s="40" t="s">
        <v>1598</v>
      </c>
      <c r="C376" s="140" t="e">
        <f>VLOOKUP(Q376,Data!$B:$E,3,FALSE)</f>
        <v>#N/A</v>
      </c>
      <c r="D376" s="140" t="e">
        <f>VLOOKUP(R376,Data!$B:$E,3,FALSE)</f>
        <v>#N/A</v>
      </c>
      <c r="E376" s="140" t="e">
        <f>VLOOKUP(S376,Data!$B:$E,3,FALSE)</f>
        <v>#N/A</v>
      </c>
      <c r="F376" s="140" t="e">
        <f>VLOOKUP(T376,Data!$B:$E,3,FALSE)</f>
        <v>#N/A</v>
      </c>
      <c r="G376" s="140" t="e">
        <f>VLOOKUP(U376,Data!$B:$E,3,FALSE)</f>
        <v>#N/A</v>
      </c>
      <c r="H376" s="140" t="e">
        <f>VLOOKUP(V376,Data!$B:$E,3,FALSE)</f>
        <v>#N/A</v>
      </c>
      <c r="I376" s="141" t="e">
        <f>VLOOKUP(W376,Data!$B:$E,3,FALSE)</f>
        <v>#N/A</v>
      </c>
      <c r="O376" s="52" t="s">
        <v>1599</v>
      </c>
      <c r="P376" s="40" t="s">
        <v>1598</v>
      </c>
      <c r="Q376" s="84" t="s">
        <v>1600</v>
      </c>
      <c r="R376" s="84" t="s">
        <v>1601</v>
      </c>
      <c r="S376" s="84" t="s">
        <v>1602</v>
      </c>
      <c r="T376" s="84" t="s">
        <v>1603</v>
      </c>
      <c r="U376" s="84" t="s">
        <v>1604</v>
      </c>
      <c r="V376" s="84" t="s">
        <v>1605</v>
      </c>
      <c r="W376" s="57" t="s">
        <v>1606</v>
      </c>
    </row>
    <row r="377">
      <c r="A377" s="33" t="str">
        <f>Translation!A384</f>
        <v>CONTRIBUIÇÕES E DOAÇÕES</v>
      </c>
      <c r="B377" s="40" t="s">
        <v>1607</v>
      </c>
      <c r="C377" s="140" t="e">
        <f>VLOOKUP(Q377,Data!$B:$E,3,FALSE)</f>
        <v>#N/A</v>
      </c>
      <c r="D377" s="140" t="e">
        <f>VLOOKUP(R377,Data!$B:$E,3,FALSE)</f>
        <v>#N/A</v>
      </c>
      <c r="E377" s="140" t="e">
        <f>VLOOKUP(S377,Data!$B:$E,3,FALSE)</f>
        <v>#N/A</v>
      </c>
      <c r="F377" s="140" t="e">
        <f>VLOOKUP(T377,Data!$B:$E,3,FALSE)</f>
        <v>#N/A</v>
      </c>
      <c r="G377" s="140" t="e">
        <f>VLOOKUP(U377,Data!$B:$E,3,FALSE)</f>
        <v>#N/A</v>
      </c>
      <c r="H377" s="140" t="e">
        <f>VLOOKUP(V377,Data!$B:$E,3,FALSE)</f>
        <v>#N/A</v>
      </c>
      <c r="I377" s="141" t="e">
        <f>VLOOKUP(W377,Data!$B:$E,3,FALSE)</f>
        <v>#N/A</v>
      </c>
      <c r="O377" s="52" t="s">
        <v>1608</v>
      </c>
      <c r="P377" s="40" t="s">
        <v>1607</v>
      </c>
      <c r="Q377" s="84" t="s">
        <v>1609</v>
      </c>
      <c r="R377" s="84" t="s">
        <v>1610</v>
      </c>
      <c r="S377" s="84" t="s">
        <v>1611</v>
      </c>
      <c r="T377" s="84" t="s">
        <v>1612</v>
      </c>
      <c r="U377" s="84" t="s">
        <v>1613</v>
      </c>
      <c r="V377" s="84" t="s">
        <v>1614</v>
      </c>
      <c r="W377" s="57" t="s">
        <v>1615</v>
      </c>
    </row>
    <row r="378">
      <c r="A378" s="33" t="str">
        <f>Translation!A385</f>
        <v>PERDAS EM OPERAÇÕES DE CRÉDITO</v>
      </c>
      <c r="B378" s="40" t="s">
        <v>1616</v>
      </c>
      <c r="C378" s="140" t="e">
        <f>VLOOKUP(Q378,Data!$B:$E,3,FALSE)</f>
        <v>#N/A</v>
      </c>
      <c r="D378" s="140" t="e">
        <f>VLOOKUP(R378,Data!$B:$E,3,FALSE)</f>
        <v>#N/A</v>
      </c>
      <c r="E378" s="140" t="e">
        <f>VLOOKUP(S378,Data!$B:$E,3,FALSE)</f>
        <v>#N/A</v>
      </c>
      <c r="F378" s="140" t="e">
        <f>VLOOKUP(T378,Data!$B:$E,3,FALSE)</f>
        <v>#N/A</v>
      </c>
      <c r="G378" s="140" t="e">
        <f>VLOOKUP(U378,Data!$B:$E,3,FALSE)</f>
        <v>#N/A</v>
      </c>
      <c r="H378" s="140" t="e">
        <f>VLOOKUP(V378,Data!$B:$E,3,FALSE)</f>
        <v>#N/A</v>
      </c>
      <c r="I378" s="141" t="e">
        <f>VLOOKUP(W378,Data!$B:$E,3,FALSE)</f>
        <v>#N/A</v>
      </c>
      <c r="O378" s="52" t="s">
        <v>1617</v>
      </c>
      <c r="P378" s="40" t="s">
        <v>1616</v>
      </c>
      <c r="Q378" s="84" t="s">
        <v>1618</v>
      </c>
      <c r="R378" s="84" t="s">
        <v>1619</v>
      </c>
      <c r="S378" s="84" t="s">
        <v>1620</v>
      </c>
      <c r="T378" s="84" t="s">
        <v>1621</v>
      </c>
      <c r="U378" s="84" t="s">
        <v>1622</v>
      </c>
      <c r="V378" s="84" t="s">
        <v>1623</v>
      </c>
      <c r="W378" s="57" t="s">
        <v>1624</v>
      </c>
    </row>
    <row r="379">
      <c r="A379" s="33" t="str">
        <f>Translation!A386</f>
        <v>PERDAS DE ESTOQUE</v>
      </c>
      <c r="B379" s="40" t="s">
        <v>1625</v>
      </c>
      <c r="C379" s="140" t="e">
        <f>VLOOKUP(Q379,Data!$B:$E,3,FALSE)</f>
        <v>#N/A</v>
      </c>
      <c r="D379" s="140" t="e">
        <f>VLOOKUP(R379,Data!$B:$E,3,FALSE)</f>
        <v>#N/A</v>
      </c>
      <c r="E379" s="140" t="e">
        <f>VLOOKUP(S379,Data!$B:$E,3,FALSE)</f>
        <v>#N/A</v>
      </c>
      <c r="F379" s="140" t="e">
        <f>VLOOKUP(T379,Data!$B:$E,3,FALSE)</f>
        <v>#N/A</v>
      </c>
      <c r="G379" s="140" t="e">
        <f>VLOOKUP(U379,Data!$B:$E,3,FALSE)</f>
        <v>#N/A</v>
      </c>
      <c r="H379" s="140" t="e">
        <f>VLOOKUP(V379,Data!$B:$E,3,FALSE)</f>
        <v>#N/A</v>
      </c>
      <c r="I379" s="141" t="e">
        <f>VLOOKUP(W379,Data!$B:$E,3,FALSE)</f>
        <v>#N/A</v>
      </c>
      <c r="O379" s="52" t="s">
        <v>1626</v>
      </c>
      <c r="P379" s="40" t="s">
        <v>1625</v>
      </c>
      <c r="Q379" s="84" t="s">
        <v>1627</v>
      </c>
      <c r="R379" s="84" t="s">
        <v>1628</v>
      </c>
      <c r="S379" s="84" t="s">
        <v>1629</v>
      </c>
      <c r="T379" s="84" t="s">
        <v>1630</v>
      </c>
      <c r="U379" s="84" t="s">
        <v>1631</v>
      </c>
      <c r="V379" s="84" t="s">
        <v>1632</v>
      </c>
      <c r="W379" s="57" t="s">
        <v>1633</v>
      </c>
    </row>
    <row r="380">
      <c r="A380" s="33" t="str">
        <f>Translation!A387</f>
        <v>OUTRAS DESPESAS GERAIS</v>
      </c>
      <c r="B380" s="40" t="s">
        <v>1634</v>
      </c>
      <c r="C380" s="140" t="e">
        <f>VLOOKUP(Q380,Data!$B:$E,3,FALSE)</f>
        <v>#N/A</v>
      </c>
      <c r="D380" s="140" t="e">
        <f>VLOOKUP(R380,Data!$B:$E,3,FALSE)</f>
        <v>#N/A</v>
      </c>
      <c r="E380" s="140" t="e">
        <f>VLOOKUP(S380,Data!$B:$E,3,FALSE)</f>
        <v>#N/A</v>
      </c>
      <c r="F380" s="140" t="e">
        <f>VLOOKUP(T380,Data!$B:$E,3,FALSE)</f>
        <v>#N/A</v>
      </c>
      <c r="G380" s="140" t="e">
        <f>VLOOKUP(U380,Data!$B:$E,3,FALSE)</f>
        <v>#N/A</v>
      </c>
      <c r="H380" s="140" t="e">
        <f>VLOOKUP(V380,Data!$B:$E,3,FALSE)</f>
        <v>#N/A</v>
      </c>
      <c r="I380" s="141" t="e">
        <f>VLOOKUP(W380,Data!$B:$E,3,FALSE)</f>
        <v>#N/A</v>
      </c>
      <c r="O380" s="52" t="s">
        <v>1635</v>
      </c>
      <c r="P380" s="40" t="s">
        <v>1634</v>
      </c>
      <c r="Q380" s="84" t="s">
        <v>1636</v>
      </c>
      <c r="R380" s="84" t="s">
        <v>1637</v>
      </c>
      <c r="S380" s="84" t="s">
        <v>1638</v>
      </c>
      <c r="T380" s="84" t="s">
        <v>1639</v>
      </c>
      <c r="U380" s="84" t="s">
        <v>1640</v>
      </c>
      <c r="V380" s="84" t="s">
        <v>1641</v>
      </c>
      <c r="W380" s="57" t="s">
        <v>1642</v>
      </c>
    </row>
    <row r="381">
      <c r="A381" s="35" t="str">
        <f>Translation!A388</f>
        <v>TOTAL DE DESPESAS GERAIS (C)</v>
      </c>
      <c r="B381" s="40" t="s">
        <v>1643</v>
      </c>
      <c r="C381" s="141" t="e">
        <f>VLOOKUP(Q381,Data!$B:$E,3,FALSE)</f>
        <v>#N/A</v>
      </c>
      <c r="D381" s="141" t="e">
        <f>VLOOKUP(R381,Data!$B:$E,3,FALSE)</f>
        <v>#N/A</v>
      </c>
      <c r="E381" s="141" t="e">
        <f>VLOOKUP(S381,Data!$B:$E,3,FALSE)</f>
        <v>#N/A</v>
      </c>
      <c r="F381" s="141" t="e">
        <f>VLOOKUP(T381,Data!$B:$E,3,FALSE)</f>
        <v>#N/A</v>
      </c>
      <c r="G381" s="141" t="e">
        <f>VLOOKUP(U381,Data!$B:$E,3,FALSE)</f>
        <v>#N/A</v>
      </c>
      <c r="H381" s="141" t="e">
        <f>VLOOKUP(V381,Data!$B:$E,3,FALSE)</f>
        <v>#N/A</v>
      </c>
      <c r="I381" s="141" t="e">
        <f>VLOOKUP(W381,Data!$B:$E,3,FALSE)</f>
        <v>#N/A</v>
      </c>
      <c r="O381" s="54" t="s">
        <v>714</v>
      </c>
      <c r="P381" s="40" t="s">
        <v>1643</v>
      </c>
      <c r="Q381" s="57" t="s">
        <v>1644</v>
      </c>
      <c r="R381" s="57" t="s">
        <v>1645</v>
      </c>
      <c r="S381" s="57" t="s">
        <v>1646</v>
      </c>
      <c r="T381" s="57" t="s">
        <v>1647</v>
      </c>
      <c r="U381" s="57" t="s">
        <v>1648</v>
      </c>
      <c r="V381" s="57" t="s">
        <v>1649</v>
      </c>
      <c r="W381" s="57" t="s">
        <v>1650</v>
      </c>
    </row>
    <row r="382">
      <c r="A382" s="35" t="str">
        <f>Translation!A389</f>
        <v>RECUPERAÇÃO DE DESPESAS (D)</v>
      </c>
      <c r="B382" s="40" t="s">
        <v>1651</v>
      </c>
      <c r="C382" s="141" t="e">
        <f>VLOOKUP(Q382,Data!$B:$E,3,FALSE)</f>
        <v>#N/A</v>
      </c>
      <c r="D382" s="141" t="e">
        <f>VLOOKUP(R382,Data!$B:$E,3,FALSE)</f>
        <v>#N/A</v>
      </c>
      <c r="E382" s="141" t="e">
        <f>VLOOKUP(S382,Data!$B:$E,3,FALSE)</f>
        <v>#N/A</v>
      </c>
      <c r="F382" s="141" t="e">
        <f>VLOOKUP(T382,Data!$B:$E,3,FALSE)</f>
        <v>#N/A</v>
      </c>
      <c r="G382" s="141" t="e">
        <f>VLOOKUP(U382,Data!$B:$E,3,FALSE)</f>
        <v>#N/A</v>
      </c>
      <c r="H382" s="141" t="e">
        <f>VLOOKUP(V382,Data!$B:$E,3,FALSE)</f>
        <v>#N/A</v>
      </c>
      <c r="I382" s="141" t="e">
        <f>VLOOKUP(W382,Data!$B:$E,3,FALSE)</f>
        <v>#N/A</v>
      </c>
      <c r="O382" s="54" t="s">
        <v>1652</v>
      </c>
      <c r="P382" s="40" t="s">
        <v>1651</v>
      </c>
      <c r="Q382" s="57" t="s">
        <v>1653</v>
      </c>
      <c r="R382" s="57" t="s">
        <v>1654</v>
      </c>
      <c r="S382" s="57" t="s">
        <v>1655</v>
      </c>
      <c r="T382" s="57" t="s">
        <v>1656</v>
      </c>
      <c r="U382" s="57" t="s">
        <v>1657</v>
      </c>
      <c r="V382" s="57" t="s">
        <v>1658</v>
      </c>
      <c r="W382" s="57" t="s">
        <v>1659</v>
      </c>
    </row>
    <row r="383">
      <c r="A383" s="35" t="str">
        <f>Translation!A390</f>
        <v>TOTAL DE DESPESAS FIXAS (A + B + C - D)</v>
      </c>
      <c r="B383" s="40" t="s">
        <v>1660</v>
      </c>
      <c r="C383" s="141" t="e">
        <f>VLOOKUP(Q383,Data!$B:$E,3,FALSE)</f>
        <v>#N/A</v>
      </c>
      <c r="D383" s="141" t="e">
        <f>VLOOKUP(R383,Data!$B:$E,3,FALSE)</f>
        <v>#N/A</v>
      </c>
      <c r="E383" s="141" t="e">
        <f>VLOOKUP(S383,Data!$B:$E,3,FALSE)</f>
        <v>#N/A</v>
      </c>
      <c r="F383" s="141" t="e">
        <f>VLOOKUP(T383,Data!$B:$E,3,FALSE)</f>
        <v>#N/A</v>
      </c>
      <c r="G383" s="141" t="e">
        <f>VLOOKUP(U383,Data!$B:$E,3,FALSE)</f>
        <v>#N/A</v>
      </c>
      <c r="H383" s="141" t="e">
        <f>VLOOKUP(V383,Data!$B:$E,3,FALSE)</f>
        <v>#N/A</v>
      </c>
      <c r="I383" s="141" t="e">
        <f>VLOOKUP(W383,Data!$B:$E,3,FALSE)</f>
        <v>#N/A</v>
      </c>
      <c r="O383" s="54" t="s">
        <v>1661</v>
      </c>
      <c r="P383" s="40" t="s">
        <v>1660</v>
      </c>
      <c r="Q383" s="57" t="s">
        <v>1662</v>
      </c>
      <c r="R383" s="57" t="s">
        <v>1663</v>
      </c>
      <c r="S383" s="57" t="s">
        <v>1664</v>
      </c>
      <c r="T383" s="57" t="s">
        <v>1665</v>
      </c>
      <c r="U383" s="57" t="s">
        <v>1666</v>
      </c>
      <c r="V383" s="57" t="s">
        <v>1667</v>
      </c>
      <c r="W383" s="57" t="s">
        <v>1668</v>
      </c>
    </row>
    <row r="384">
      <c r="A384" s="36" t="str">
        <f>Translation!A391</f>
        <v>DESPESAS NÃO-OPERACIONAIS</v>
      </c>
      <c r="B384" s="40" t="str">
        <f>Translation!$G$32</f>
        <v>CONTA</v>
      </c>
      <c r="C384" s="121" t="str">
        <f>Translation!$G$23</f>
        <v>NOVOS</v>
      </c>
      <c r="D384" s="121" t="str">
        <f>Translation!$G$24</f>
        <v>USADOS</v>
      </c>
      <c r="E384" s="121" t="str">
        <f>Translation!$G$25</f>
        <v>F &amp; I</v>
      </c>
      <c r="F384" s="121" t="str">
        <f>Translation!$G$26</f>
        <v>PEÇAS E ACESS.</v>
      </c>
      <c r="G384" s="121" t="str">
        <f>Translation!$G$27</f>
        <v>SERVIÇO</v>
      </c>
      <c r="H384" s="121" t="str">
        <f>Translation!$G$28</f>
        <v>ADM</v>
      </c>
      <c r="I384" s="121" t="str">
        <f>Translation!$G$29</f>
        <v>TOTAL</v>
      </c>
      <c r="O384" s="50" t="s">
        <v>1669</v>
      </c>
      <c r="P384" s="40" t="str">
        <f>Translation!$G$32</f>
        <v>CONTA</v>
      </c>
      <c r="Q384" s="79" t="s">
        <v>1305</v>
      </c>
      <c r="R384" s="79" t="s">
        <v>1306</v>
      </c>
      <c r="S384" s="79" t="s">
        <v>1307</v>
      </c>
      <c r="T384" s="79" t="s">
        <v>1308</v>
      </c>
      <c r="U384" s="79" t="s">
        <v>1309</v>
      </c>
      <c r="V384" s="79" t="s">
        <v>1310</v>
      </c>
      <c r="W384" s="79" t="s">
        <v>1311</v>
      </c>
    </row>
    <row r="385">
      <c r="A385" s="33" t="str">
        <f>Translation!A392</f>
        <v>DOAÇÕES A ENTIDADES CIVIS</v>
      </c>
      <c r="B385" s="40" t="s">
        <v>1670</v>
      </c>
      <c r="C385" s="140" t="e">
        <f>VLOOKUP(Q385,Data!$B:$E,3,FALSE)</f>
        <v>#N/A</v>
      </c>
      <c r="D385" s="140" t="e">
        <f>VLOOKUP(R385,Data!$B:$E,3,FALSE)</f>
        <v>#N/A</v>
      </c>
      <c r="E385" s="140" t="e">
        <f>VLOOKUP(S385,Data!$B:$E,3,FALSE)</f>
        <v>#N/A</v>
      </c>
      <c r="F385" s="140" t="e">
        <f>VLOOKUP(T385,Data!$B:$E,3,FALSE)</f>
        <v>#N/A</v>
      </c>
      <c r="G385" s="140" t="e">
        <f>VLOOKUP(U385,Data!$B:$E,3,FALSE)</f>
        <v>#N/A</v>
      </c>
      <c r="H385" s="140" t="e">
        <f>VLOOKUP(V385,Data!$B:$E,3,FALSE)</f>
        <v>#N/A</v>
      </c>
      <c r="I385" s="141" t="e">
        <f>VLOOKUP(W385,Data!$B:$E,3,FALSE)</f>
        <v>#N/A</v>
      </c>
      <c r="O385" s="52" t="s">
        <v>1671</v>
      </c>
      <c r="P385" s="40" t="s">
        <v>1670</v>
      </c>
      <c r="Q385" s="84" t="s">
        <v>1672</v>
      </c>
      <c r="R385" s="84" t="s">
        <v>1673</v>
      </c>
      <c r="S385" s="84" t="s">
        <v>1674</v>
      </c>
      <c r="T385" s="84" t="s">
        <v>1675</v>
      </c>
      <c r="U385" s="84" t="s">
        <v>1676</v>
      </c>
      <c r="V385" s="84" t="s">
        <v>1677</v>
      </c>
      <c r="W385" s="57" t="s">
        <v>1678</v>
      </c>
    </row>
    <row r="386">
      <c r="A386" s="33" t="str">
        <f>Translation!A393</f>
        <v>DOAÇÕES INSTIT. ENSINO E PESQUISA (LEI 9249/1995)</v>
      </c>
      <c r="B386" s="40" t="s">
        <v>1679</v>
      </c>
      <c r="C386" s="140" t="e">
        <f>VLOOKUP(Q386,Data!$B:$E,3,FALSE)</f>
        <v>#N/A</v>
      </c>
      <c r="D386" s="140" t="e">
        <f>VLOOKUP(R386,Data!$B:$E,3,FALSE)</f>
        <v>#N/A</v>
      </c>
      <c r="E386" s="140" t="e">
        <f>VLOOKUP(S386,Data!$B:$E,3,FALSE)</f>
        <v>#N/A</v>
      </c>
      <c r="F386" s="140" t="e">
        <f>VLOOKUP(T386,Data!$B:$E,3,FALSE)</f>
        <v>#N/A</v>
      </c>
      <c r="G386" s="140" t="e">
        <f>VLOOKUP(U386,Data!$B:$E,3,FALSE)</f>
        <v>#N/A</v>
      </c>
      <c r="H386" s="140" t="e">
        <f>VLOOKUP(V386,Data!$B:$E,3,FALSE)</f>
        <v>#N/A</v>
      </c>
      <c r="I386" s="141" t="e">
        <f>VLOOKUP(W386,Data!$B:$E,3,FALSE)</f>
        <v>#N/A</v>
      </c>
      <c r="O386" s="52" t="s">
        <v>1680</v>
      </c>
      <c r="P386" s="40" t="s">
        <v>1679</v>
      </c>
      <c r="Q386" s="84" t="s">
        <v>1681</v>
      </c>
      <c r="R386" s="84" t="s">
        <v>1682</v>
      </c>
      <c r="S386" s="84" t="s">
        <v>1683</v>
      </c>
      <c r="T386" s="84" t="s">
        <v>1684</v>
      </c>
      <c r="U386" s="84" t="s">
        <v>1685</v>
      </c>
      <c r="V386" s="84" t="s">
        <v>1686</v>
      </c>
      <c r="W386" s="57" t="s">
        <v>1687</v>
      </c>
    </row>
    <row r="387">
      <c r="A387" s="33" t="str">
        <f>Translation!A394</f>
        <v>DOAÇÕES A PATROC. DE CARÁTER CULT. E ARTÍST. (LEI 8313)</v>
      </c>
      <c r="B387" s="40" t="s">
        <v>1688</v>
      </c>
      <c r="C387" s="140" t="e">
        <f>VLOOKUP(Q387,Data!$B:$E,3,FALSE)</f>
        <v>#N/A</v>
      </c>
      <c r="D387" s="140" t="e">
        <f>VLOOKUP(R387,Data!$B:$E,3,FALSE)</f>
        <v>#N/A</v>
      </c>
      <c r="E387" s="140" t="e">
        <f>VLOOKUP(S387,Data!$B:$E,3,FALSE)</f>
        <v>#N/A</v>
      </c>
      <c r="F387" s="140" t="e">
        <f>VLOOKUP(T387,Data!$B:$E,3,FALSE)</f>
        <v>#N/A</v>
      </c>
      <c r="G387" s="140" t="e">
        <f>VLOOKUP(U387,Data!$B:$E,3,FALSE)</f>
        <v>#N/A</v>
      </c>
      <c r="H387" s="140" t="e">
        <f>VLOOKUP(V387,Data!$B:$E,3,FALSE)</f>
        <v>#N/A</v>
      </c>
      <c r="I387" s="141" t="e">
        <f>VLOOKUP(W387,Data!$B:$E,3,FALSE)</f>
        <v>#N/A</v>
      </c>
      <c r="O387" s="52" t="s">
        <v>1689</v>
      </c>
      <c r="P387" s="40" t="s">
        <v>1688</v>
      </c>
      <c r="Q387" s="84" t="s">
        <v>1690</v>
      </c>
      <c r="R387" s="84" t="s">
        <v>1691</v>
      </c>
      <c r="S387" s="84" t="s">
        <v>1692</v>
      </c>
      <c r="T387" s="84" t="s">
        <v>1693</v>
      </c>
      <c r="U387" s="84" t="s">
        <v>1694</v>
      </c>
      <c r="V387" s="84" t="s">
        <v>1695</v>
      </c>
      <c r="W387" s="57" t="s">
        <v>1696</v>
      </c>
    </row>
    <row r="388">
      <c r="A388" s="33" t="str">
        <f>Translation!A395</f>
        <v>OUTRAS DESPESAS NÃO-OPERACIONAIS</v>
      </c>
      <c r="B388" s="40" t="s">
        <v>1697</v>
      </c>
      <c r="C388" s="140" t="e">
        <f>VLOOKUP(Q388,Data!$B:$E,3,FALSE)</f>
        <v>#N/A</v>
      </c>
      <c r="D388" s="140" t="e">
        <f>VLOOKUP(R388,Data!$B:$E,3,FALSE)</f>
        <v>#N/A</v>
      </c>
      <c r="E388" s="140" t="e">
        <f>VLOOKUP(S388,Data!$B:$E,3,FALSE)</f>
        <v>#N/A</v>
      </c>
      <c r="F388" s="140" t="e">
        <f>VLOOKUP(T388,Data!$B:$E,3,FALSE)</f>
        <v>#N/A</v>
      </c>
      <c r="G388" s="140" t="e">
        <f>VLOOKUP(U388,Data!$B:$E,3,FALSE)</f>
        <v>#N/A</v>
      </c>
      <c r="H388" s="140" t="e">
        <f>VLOOKUP(V388,Data!$B:$E,3,FALSE)</f>
        <v>#N/A</v>
      </c>
      <c r="I388" s="141" t="e">
        <f>VLOOKUP(W388,Data!$B:$E,3,FALSE)</f>
        <v>#N/A</v>
      </c>
      <c r="O388" s="52" t="s">
        <v>1698</v>
      </c>
      <c r="P388" s="40" t="s">
        <v>1697</v>
      </c>
      <c r="Q388" s="84" t="s">
        <v>1699</v>
      </c>
      <c r="R388" s="84" t="s">
        <v>1700</v>
      </c>
      <c r="S388" s="84" t="s">
        <v>1701</v>
      </c>
      <c r="T388" s="84" t="s">
        <v>1702</v>
      </c>
      <c r="U388" s="84" t="s">
        <v>1703</v>
      </c>
      <c r="V388" s="84" t="s">
        <v>1704</v>
      </c>
      <c r="W388" s="57" t="s">
        <v>1705</v>
      </c>
    </row>
    <row r="389">
      <c r="A389" s="35" t="str">
        <f>Translation!A396</f>
        <v>TOTAL DE DESPESAS NÃO-OPERACIONAIS</v>
      </c>
      <c r="B389" s="40" t="s">
        <v>1706</v>
      </c>
      <c r="C389" s="141" t="e">
        <f>VLOOKUP(Q389,Data!$B:$E,3,FALSE)</f>
        <v>#N/A</v>
      </c>
      <c r="D389" s="141" t="e">
        <f>VLOOKUP(R389,Data!$B:$E,3,FALSE)</f>
        <v>#N/A</v>
      </c>
      <c r="E389" s="141" t="e">
        <f>VLOOKUP(S389,Data!$B:$E,3,FALSE)</f>
        <v>#N/A</v>
      </c>
      <c r="F389" s="141" t="e">
        <f>VLOOKUP(T389,Data!$B:$E,3,FALSE)</f>
        <v>#N/A</v>
      </c>
      <c r="G389" s="141" t="e">
        <f>VLOOKUP(U389,Data!$B:$E,3,FALSE)</f>
        <v>#N/A</v>
      </c>
      <c r="H389" s="141" t="e">
        <f>VLOOKUP(V389,Data!$B:$E,3,FALSE)</f>
        <v>#N/A</v>
      </c>
      <c r="I389" s="141" t="e">
        <f>VLOOKUP(W389,Data!$B:$E,3,FALSE)</f>
        <v>#N/A</v>
      </c>
      <c r="O389" s="54" t="s">
        <v>724</v>
      </c>
      <c r="P389" s="40" t="s">
        <v>1706</v>
      </c>
      <c r="Q389" s="57" t="s">
        <v>1707</v>
      </c>
      <c r="R389" s="57" t="s">
        <v>1708</v>
      </c>
      <c r="S389" s="57" t="s">
        <v>1709</v>
      </c>
      <c r="T389" s="57" t="s">
        <v>1710</v>
      </c>
      <c r="U389" s="57" t="s">
        <v>1711</v>
      </c>
      <c r="V389" s="57" t="s">
        <v>1712</v>
      </c>
      <c r="W389" s="57" t="s">
        <v>1713</v>
      </c>
    </row>
    <row r="390">
      <c r="A390" s="36" t="str">
        <f>Translation!A397</f>
        <v>DESPESAS FINANCEIRAS</v>
      </c>
      <c r="B390" s="40" t="str">
        <f>Translation!$G$32</f>
        <v>CONTA</v>
      </c>
      <c r="C390" s="121" t="str">
        <f>Translation!$G$23</f>
        <v>NOVOS</v>
      </c>
      <c r="D390" s="121" t="str">
        <f>Translation!$G$24</f>
        <v>USADOS</v>
      </c>
      <c r="E390" s="121" t="str">
        <f>Translation!$G$25</f>
        <v>F &amp; I</v>
      </c>
      <c r="F390" s="121" t="str">
        <f>Translation!$G$26</f>
        <v>PEÇAS E ACESS.</v>
      </c>
      <c r="G390" s="121" t="str">
        <f>Translation!$G$27</f>
        <v>SERVIÇO</v>
      </c>
      <c r="H390" s="121" t="str">
        <f>Translation!$G$28</f>
        <v>ADM</v>
      </c>
      <c r="I390" s="121" t="str">
        <f>Translation!$G$29</f>
        <v>TOTAL</v>
      </c>
      <c r="O390" s="50" t="s">
        <v>1714</v>
      </c>
      <c r="P390" s="40" t="str">
        <f>Translation!$G$32</f>
        <v>CONTA</v>
      </c>
      <c r="Q390" s="79" t="s">
        <v>1305</v>
      </c>
      <c r="R390" s="79" t="s">
        <v>1306</v>
      </c>
      <c r="S390" s="79" t="s">
        <v>1307</v>
      </c>
      <c r="T390" s="79" t="s">
        <v>1308</v>
      </c>
      <c r="U390" s="79" t="s">
        <v>1309</v>
      </c>
      <c r="V390" s="79" t="s">
        <v>1310</v>
      </c>
      <c r="W390" s="79" t="s">
        <v>1311</v>
      </c>
    </row>
    <row r="391">
      <c r="A391" s="34" t="str">
        <f>Translation!A398</f>
        <v>IOF</v>
      </c>
      <c r="B391" s="40" t="s">
        <v>1715</v>
      </c>
      <c r="C391" s="140" t="e">
        <f>VLOOKUP(Q391,Data!$B:$E,3,FALSE)</f>
        <v>#N/A</v>
      </c>
      <c r="D391" s="140" t="e">
        <f>VLOOKUP(R391,Data!$B:$E,3,FALSE)</f>
        <v>#N/A</v>
      </c>
      <c r="E391" s="140" t="e">
        <f>VLOOKUP(S391,Data!$B:$E,3,FALSE)</f>
        <v>#N/A</v>
      </c>
      <c r="F391" s="140" t="e">
        <f>VLOOKUP(T391,Data!$B:$E,3,FALSE)</f>
        <v>#N/A</v>
      </c>
      <c r="G391" s="140" t="e">
        <f>VLOOKUP(U391,Data!$B:$E,3,FALSE)</f>
        <v>#N/A</v>
      </c>
      <c r="H391" s="140" t="e">
        <f>VLOOKUP(V391,Data!$B:$E,3,FALSE)</f>
        <v>#N/A</v>
      </c>
      <c r="I391" s="141" t="e">
        <f>VLOOKUP(W391,Data!$B:$E,3,FALSE)</f>
        <v>#N/A</v>
      </c>
      <c r="O391" s="53" t="s">
        <v>1716</v>
      </c>
      <c r="P391" s="40" t="s">
        <v>1715</v>
      </c>
      <c r="Q391" s="84" t="s">
        <v>1717</v>
      </c>
      <c r="R391" s="84" t="s">
        <v>1718</v>
      </c>
      <c r="S391" s="84" t="s">
        <v>1719</v>
      </c>
      <c r="T391" s="84" t="s">
        <v>1720</v>
      </c>
      <c r="U391" s="84" t="s">
        <v>1721</v>
      </c>
      <c r="V391" s="84" t="s">
        <v>1722</v>
      </c>
      <c r="W391" s="57" t="s">
        <v>1723</v>
      </c>
    </row>
    <row r="392">
      <c r="A392" s="34" t="str">
        <f>Translation!A399</f>
        <v>JUROS LINHA DE CRÉDITO BANCO YAMAHA</v>
      </c>
      <c r="B392" s="40" t="s">
        <v>1724</v>
      </c>
      <c r="C392" s="140" t="e">
        <f>VLOOKUP(Q392,Data!$B:$E,3,FALSE)</f>
        <v>#N/A</v>
      </c>
      <c r="D392" s="140" t="e">
        <f>VLOOKUP(R392,Data!$B:$E,3,FALSE)</f>
        <v>#N/A</v>
      </c>
      <c r="E392" s="122"/>
      <c r="F392" s="122"/>
      <c r="G392" s="122"/>
      <c r="H392" s="122"/>
      <c r="I392" s="141" t="e">
        <f>VLOOKUP(W392,Data!$B:$E,3,FALSE)</f>
        <v>#N/A</v>
      </c>
      <c r="O392" s="53" t="s">
        <v>1725</v>
      </c>
      <c r="P392" s="40" t="s">
        <v>1724</v>
      </c>
      <c r="Q392" s="84" t="s">
        <v>1726</v>
      </c>
      <c r="R392" s="84" t="s">
        <v>1727</v>
      </c>
      <c r="S392" s="94"/>
      <c r="T392" s="94"/>
      <c r="U392" s="94"/>
      <c r="V392" s="94"/>
      <c r="W392" s="57" t="s">
        <v>1728</v>
      </c>
    </row>
    <row r="393">
      <c r="A393" s="34" t="str">
        <f>Translation!A400</f>
        <v>JUROS PASSIVOS</v>
      </c>
      <c r="B393" s="40" t="s">
        <v>1729</v>
      </c>
      <c r="C393" s="140" t="e">
        <f>VLOOKUP(Q393,Data!$B:$E,3,FALSE)</f>
        <v>#N/A</v>
      </c>
      <c r="D393" s="140" t="e">
        <f>VLOOKUP(R393,Data!$B:$E,3,FALSE)</f>
        <v>#N/A</v>
      </c>
      <c r="E393" s="140" t="e">
        <f>VLOOKUP(S393,Data!$B:$E,3,FALSE)</f>
        <v>#N/A</v>
      </c>
      <c r="F393" s="140" t="e">
        <f>VLOOKUP(T393,Data!$B:$E,3,FALSE)</f>
        <v>#N/A</v>
      </c>
      <c r="G393" s="140" t="e">
        <f>VLOOKUP(U393,Data!$B:$E,3,FALSE)</f>
        <v>#N/A</v>
      </c>
      <c r="H393" s="140" t="e">
        <f>VLOOKUP(V393,Data!$B:$E,3,FALSE)</f>
        <v>#N/A</v>
      </c>
      <c r="I393" s="141" t="e">
        <f>VLOOKUP(W393,Data!$B:$E,3,FALSE)</f>
        <v>#N/A</v>
      </c>
      <c r="O393" s="53" t="s">
        <v>1730</v>
      </c>
      <c r="P393" s="40" t="s">
        <v>1729</v>
      </c>
      <c r="Q393" s="84" t="s">
        <v>1731</v>
      </c>
      <c r="R393" s="84" t="s">
        <v>1732</v>
      </c>
      <c r="S393" s="84" t="s">
        <v>1733</v>
      </c>
      <c r="T393" s="84" t="s">
        <v>1734</v>
      </c>
      <c r="U393" s="84" t="s">
        <v>1735</v>
      </c>
      <c r="V393" s="84" t="s">
        <v>1736</v>
      </c>
      <c r="W393" s="57" t="s">
        <v>1737</v>
      </c>
    </row>
    <row r="394">
      <c r="A394" s="33" t="str">
        <f>Translation!A401</f>
        <v>JUROS DE MORA</v>
      </c>
      <c r="B394" s="40" t="s">
        <v>1738</v>
      </c>
      <c r="C394" s="140" t="e">
        <f>VLOOKUP(Q394,Data!$B:$E,3,FALSE)</f>
        <v>#N/A</v>
      </c>
      <c r="D394" s="140" t="e">
        <f>VLOOKUP(R394,Data!$B:$E,3,FALSE)</f>
        <v>#N/A</v>
      </c>
      <c r="E394" s="140" t="e">
        <f>VLOOKUP(S394,Data!$B:$E,3,FALSE)</f>
        <v>#N/A</v>
      </c>
      <c r="F394" s="140" t="e">
        <f>VLOOKUP(T394,Data!$B:$E,3,FALSE)</f>
        <v>#N/A</v>
      </c>
      <c r="G394" s="140" t="e">
        <f>VLOOKUP(U394,Data!$B:$E,3,FALSE)</f>
        <v>#N/A</v>
      </c>
      <c r="H394" s="140" t="e">
        <f>VLOOKUP(V394,Data!$B:$E,3,FALSE)</f>
        <v>#N/A</v>
      </c>
      <c r="I394" s="141" t="e">
        <f>VLOOKUP(W394,Data!$B:$E,3,FALSE)</f>
        <v>#N/A</v>
      </c>
      <c r="O394" s="52" t="s">
        <v>743</v>
      </c>
      <c r="P394" s="40" t="s">
        <v>1738</v>
      </c>
      <c r="Q394" s="84" t="s">
        <v>1739</v>
      </c>
      <c r="R394" s="84" t="s">
        <v>1740</v>
      </c>
      <c r="S394" s="84" t="s">
        <v>1741</v>
      </c>
      <c r="T394" s="84" t="s">
        <v>1742</v>
      </c>
      <c r="U394" s="84" t="s">
        <v>1743</v>
      </c>
      <c r="V394" s="84" t="s">
        <v>1744</v>
      </c>
      <c r="W394" s="57" t="s">
        <v>1745</v>
      </c>
    </row>
    <row r="395">
      <c r="A395" s="33" t="str">
        <f>Translation!A402</f>
        <v>DESCONTOS CONCEDIDOS</v>
      </c>
      <c r="B395" s="40" t="s">
        <v>1746</v>
      </c>
      <c r="C395" s="140" t="e">
        <f>VLOOKUP(Q395,Data!$B:$E,3,FALSE)</f>
        <v>#N/A</v>
      </c>
      <c r="D395" s="140" t="e">
        <f>VLOOKUP(R395,Data!$B:$E,3,FALSE)</f>
        <v>#N/A</v>
      </c>
      <c r="E395" s="140" t="e">
        <f>VLOOKUP(S395,Data!$B:$E,3,FALSE)</f>
        <v>#N/A</v>
      </c>
      <c r="F395" s="140" t="e">
        <f>VLOOKUP(T395,Data!$B:$E,3,FALSE)</f>
        <v>#N/A</v>
      </c>
      <c r="G395" s="140" t="e">
        <f>VLOOKUP(U395,Data!$B:$E,3,FALSE)</f>
        <v>#N/A</v>
      </c>
      <c r="H395" s="140" t="e">
        <f>VLOOKUP(V395,Data!$B:$E,3,FALSE)</f>
        <v>#N/A</v>
      </c>
      <c r="I395" s="141" t="e">
        <f>VLOOKUP(W395,Data!$B:$E,3,FALSE)</f>
        <v>#N/A</v>
      </c>
      <c r="O395" s="52" t="s">
        <v>1747</v>
      </c>
      <c r="P395" s="40" t="s">
        <v>1746</v>
      </c>
      <c r="Q395" s="84" t="s">
        <v>1748</v>
      </c>
      <c r="R395" s="84" t="s">
        <v>1749</v>
      </c>
      <c r="S395" s="84" t="s">
        <v>1750</v>
      </c>
      <c r="T395" s="84" t="s">
        <v>1751</v>
      </c>
      <c r="U395" s="84" t="s">
        <v>1752</v>
      </c>
      <c r="V395" s="84" t="s">
        <v>1753</v>
      </c>
      <c r="W395" s="57" t="s">
        <v>1754</v>
      </c>
    </row>
    <row r="396">
      <c r="A396" s="33" t="str">
        <f>Translation!A403</f>
        <v>MULTAS E ENCARGOS FINANCEIROS</v>
      </c>
      <c r="B396" s="40" t="s">
        <v>1755</v>
      </c>
      <c r="C396" s="140" t="e">
        <f>VLOOKUP(Q396,Data!$B:$E,3,FALSE)</f>
        <v>#N/A</v>
      </c>
      <c r="D396" s="140" t="e">
        <f>VLOOKUP(R396,Data!$B:$E,3,FALSE)</f>
        <v>#N/A</v>
      </c>
      <c r="E396" s="122"/>
      <c r="F396" s="140" t="e">
        <f>VLOOKUP(T396,Data!$B:$E,3,FALSE)</f>
        <v>#N/A</v>
      </c>
      <c r="G396" s="140" t="e">
        <f>VLOOKUP(U396,Data!$B:$E,3,FALSE)</f>
        <v>#N/A</v>
      </c>
      <c r="H396" s="140" t="e">
        <f>VLOOKUP(V396,Data!$B:$E,3,FALSE)</f>
        <v>#N/A</v>
      </c>
      <c r="I396" s="141" t="e">
        <f>VLOOKUP(W396,Data!$B:$E,3,FALSE)</f>
        <v>#N/A</v>
      </c>
      <c r="O396" s="52" t="s">
        <v>1756</v>
      </c>
      <c r="P396" s="40" t="s">
        <v>1755</v>
      </c>
      <c r="Q396" s="84" t="s">
        <v>1757</v>
      </c>
      <c r="R396" s="84" t="s">
        <v>1758</v>
      </c>
      <c r="S396" s="94"/>
      <c r="T396" s="84" t="s">
        <v>1759</v>
      </c>
      <c r="U396" s="84" t="s">
        <v>1760</v>
      </c>
      <c r="V396" s="84" t="s">
        <v>1761</v>
      </c>
      <c r="W396" s="57" t="s">
        <v>1762</v>
      </c>
    </row>
    <row r="397">
      <c r="A397" s="33" t="str">
        <f>Translation!A404</f>
        <v>TARIFA BANCÁRIA</v>
      </c>
      <c r="B397" s="40" t="s">
        <v>1763</v>
      </c>
      <c r="C397" s="140" t="e">
        <f>VLOOKUP(Q397,Data!$B:$E,3,FALSE)</f>
        <v>#N/A</v>
      </c>
      <c r="D397" s="140" t="e">
        <f>VLOOKUP(R397,Data!$B:$E,3,FALSE)</f>
        <v>#N/A</v>
      </c>
      <c r="E397" s="140" t="e">
        <f>VLOOKUP(S397,Data!$B:$E,3,FALSE)</f>
        <v>#N/A</v>
      </c>
      <c r="F397" s="140" t="e">
        <f>VLOOKUP(T397,Data!$B:$E,3,FALSE)</f>
        <v>#N/A</v>
      </c>
      <c r="G397" s="140" t="e">
        <f>VLOOKUP(U397,Data!$B:$E,3,FALSE)</f>
        <v>#N/A</v>
      </c>
      <c r="H397" s="140" t="e">
        <f>VLOOKUP(V397,Data!$B:$E,3,FALSE)</f>
        <v>#N/A</v>
      </c>
      <c r="I397" s="141" t="e">
        <f>VLOOKUP(W397,Data!$B:$E,3,FALSE)</f>
        <v>#N/A</v>
      </c>
      <c r="O397" s="52" t="s">
        <v>1764</v>
      </c>
      <c r="P397" s="40" t="s">
        <v>1763</v>
      </c>
      <c r="Q397" s="84" t="s">
        <v>1765</v>
      </c>
      <c r="R397" s="84" t="s">
        <v>1766</v>
      </c>
      <c r="S397" s="84" t="s">
        <v>1767</v>
      </c>
      <c r="T397" s="84" t="s">
        <v>1768</v>
      </c>
      <c r="U397" s="84" t="s">
        <v>1769</v>
      </c>
      <c r="V397" s="84" t="s">
        <v>1770</v>
      </c>
      <c r="W397" s="57" t="s">
        <v>1771</v>
      </c>
    </row>
    <row r="398">
      <c r="A398" s="33" t="str">
        <f>Translation!A405</f>
        <v>DESPESAS COM CARTÃO DE CRÉDITO</v>
      </c>
      <c r="B398" s="40" t="s">
        <v>1772</v>
      </c>
      <c r="C398" s="140" t="e">
        <f>VLOOKUP(Q398,Data!$B:$E,3,FALSE)</f>
        <v>#N/A</v>
      </c>
      <c r="D398" s="140" t="e">
        <f>VLOOKUP(R398,Data!$B:$E,3,FALSE)</f>
        <v>#N/A</v>
      </c>
      <c r="E398" s="140" t="e">
        <f>VLOOKUP(S398,Data!$B:$E,3,FALSE)</f>
        <v>#N/A</v>
      </c>
      <c r="F398" s="140" t="e">
        <f>VLOOKUP(T398,Data!$B:$E,3,FALSE)</f>
        <v>#N/A</v>
      </c>
      <c r="G398" s="140" t="e">
        <f>VLOOKUP(U398,Data!$B:$E,3,FALSE)</f>
        <v>#N/A</v>
      </c>
      <c r="H398" s="140" t="e">
        <f>VLOOKUP(V398,Data!$B:$E,3,FALSE)</f>
        <v>#N/A</v>
      </c>
      <c r="I398" s="141" t="e">
        <f>VLOOKUP(W398,Data!$B:$E,3,FALSE)</f>
        <v>#N/A</v>
      </c>
      <c r="O398" s="52" t="s">
        <v>1773</v>
      </c>
      <c r="P398" s="40" t="s">
        <v>1772</v>
      </c>
      <c r="Q398" s="84" t="s">
        <v>1774</v>
      </c>
      <c r="R398" s="84" t="s">
        <v>1775</v>
      </c>
      <c r="S398" s="84" t="s">
        <v>1776</v>
      </c>
      <c r="T398" s="84" t="s">
        <v>1777</v>
      </c>
      <c r="U398" s="84" t="s">
        <v>1778</v>
      </c>
      <c r="V398" s="84" t="s">
        <v>1779</v>
      </c>
      <c r="W398" s="57" t="s">
        <v>1780</v>
      </c>
    </row>
    <row r="399">
      <c r="A399" s="35" t="str">
        <f>Translation!A406</f>
        <v>TOTAL DE DESPESAS FINANCEIRAS</v>
      </c>
      <c r="B399" s="40" t="s">
        <v>1781</v>
      </c>
      <c r="C399" s="141" t="e">
        <f>VLOOKUP(Q399,Data!$B:$E,3,FALSE)</f>
        <v>#N/A</v>
      </c>
      <c r="D399" s="141" t="e">
        <f>VLOOKUP(R399,Data!$B:$E,3,FALSE)</f>
        <v>#N/A</v>
      </c>
      <c r="E399" s="141" t="e">
        <f>VLOOKUP(S399,Data!$B:$E,3,FALSE)</f>
        <v>#N/A</v>
      </c>
      <c r="F399" s="141" t="e">
        <f>VLOOKUP(T399,Data!$B:$E,3,FALSE)</f>
        <v>#N/A</v>
      </c>
      <c r="G399" s="141" t="e">
        <f>VLOOKUP(U399,Data!$B:$E,3,FALSE)</f>
        <v>#N/A</v>
      </c>
      <c r="H399" s="141" t="e">
        <f>VLOOKUP(V399,Data!$B:$E,3,FALSE)</f>
        <v>#N/A</v>
      </c>
      <c r="I399" s="141" t="e">
        <f>VLOOKUP(W399,Data!$B:$E,3,FALSE)</f>
        <v>#N/A</v>
      </c>
      <c r="O399" s="54" t="s">
        <v>727</v>
      </c>
      <c r="P399" s="40" t="s">
        <v>1781</v>
      </c>
      <c r="Q399" s="57" t="s">
        <v>1782</v>
      </c>
      <c r="R399" s="57" t="s">
        <v>1783</v>
      </c>
      <c r="S399" s="57" t="s">
        <v>1784</v>
      </c>
      <c r="T399" s="57" t="s">
        <v>1785</v>
      </c>
      <c r="U399" s="57" t="s">
        <v>1786</v>
      </c>
      <c r="V399" s="57" t="s">
        <v>1787</v>
      </c>
      <c r="W399" s="57" t="s">
        <v>1788</v>
      </c>
    </row>
    <row r="400">
      <c r="A400" s="36" t="str">
        <f>Translation!A407</f>
        <v>RECEITAS NÃO-OPERACIONAIS</v>
      </c>
      <c r="B400" s="40" t="str">
        <f>Translation!$G$32</f>
        <v>CONTA</v>
      </c>
      <c r="C400" s="121" t="str">
        <f>Translation!$G$23</f>
        <v>NOVOS</v>
      </c>
      <c r="D400" s="121" t="str">
        <f>Translation!$G$24</f>
        <v>USADOS</v>
      </c>
      <c r="E400" s="121" t="str">
        <f>Translation!$G$25</f>
        <v>F &amp; I</v>
      </c>
      <c r="F400" s="121" t="str">
        <f>Translation!$G$26</f>
        <v>PEÇAS E ACESS.</v>
      </c>
      <c r="G400" s="121" t="str">
        <f>Translation!$G$27</f>
        <v>SERVIÇO</v>
      </c>
      <c r="H400" s="121" t="str">
        <f>Translation!$G$28</f>
        <v>ADM</v>
      </c>
      <c r="I400" s="121" t="str">
        <f>Translation!$G$29</f>
        <v>TOTAL</v>
      </c>
      <c r="O400" s="50" t="s">
        <v>1789</v>
      </c>
      <c r="P400" s="40" t="str">
        <f>Translation!$G$32</f>
        <v>CONTA</v>
      </c>
      <c r="Q400" s="79" t="s">
        <v>1305</v>
      </c>
      <c r="R400" s="79" t="s">
        <v>1306</v>
      </c>
      <c r="S400" s="79" t="s">
        <v>1307</v>
      </c>
      <c r="T400" s="79" t="s">
        <v>1308</v>
      </c>
      <c r="U400" s="79" t="s">
        <v>1309</v>
      </c>
      <c r="V400" s="79" t="s">
        <v>1310</v>
      </c>
      <c r="W400" s="79" t="s">
        <v>1311</v>
      </c>
    </row>
    <row r="401">
      <c r="A401" s="34" t="str">
        <f>Translation!A408</f>
        <v>RECEITAS DIVERSAS</v>
      </c>
      <c r="B401" s="40" t="s">
        <v>1790</v>
      </c>
      <c r="C401" s="140" t="e">
        <f>VLOOKUP(Q401,Data!$B:$E,3,FALSE)</f>
        <v>#N/A</v>
      </c>
      <c r="D401" s="140" t="e">
        <f>VLOOKUP(R401,Data!$B:$E,3,FALSE)</f>
        <v>#N/A</v>
      </c>
      <c r="E401" s="140" t="e">
        <f>VLOOKUP(S401,Data!$B:$E,3,FALSE)</f>
        <v>#N/A</v>
      </c>
      <c r="F401" s="140" t="e">
        <f>VLOOKUP(T401,Data!$B:$E,3,FALSE)</f>
        <v>#N/A</v>
      </c>
      <c r="G401" s="140" t="e">
        <f>VLOOKUP(U401,Data!$B:$E,3,FALSE)</f>
        <v>#N/A</v>
      </c>
      <c r="H401" s="140" t="e">
        <f>VLOOKUP(V401,Data!$B:$E,3,FALSE)</f>
        <v>#N/A</v>
      </c>
      <c r="I401" s="141" t="e">
        <f>VLOOKUP(W401,Data!$B:$E,3,FALSE)</f>
        <v>#N/A</v>
      </c>
      <c r="O401" s="53" t="s">
        <v>1791</v>
      </c>
      <c r="P401" s="40" t="s">
        <v>1790</v>
      </c>
      <c r="Q401" s="84" t="s">
        <v>1792</v>
      </c>
      <c r="R401" s="84" t="s">
        <v>1793</v>
      </c>
      <c r="S401" s="84" t="s">
        <v>1794</v>
      </c>
      <c r="T401" s="84" t="s">
        <v>1795</v>
      </c>
      <c r="U401" s="84" t="s">
        <v>1796</v>
      </c>
      <c r="V401" s="84" t="s">
        <v>1797</v>
      </c>
      <c r="W401" s="57" t="s">
        <v>1798</v>
      </c>
    </row>
    <row r="402">
      <c r="A402" s="34" t="str">
        <f>Translation!A409</f>
        <v>REEMBOLSO DE EMPLACAMENTOS</v>
      </c>
      <c r="B402" s="40" t="s">
        <v>1799</v>
      </c>
      <c r="C402" s="140" t="e">
        <f>VLOOKUP(Q402,Data!$B:$E,3,FALSE)</f>
        <v>#N/A</v>
      </c>
      <c r="D402" s="140" t="e">
        <f>VLOOKUP(R402,Data!$B:$E,3,FALSE)</f>
        <v>#N/A</v>
      </c>
      <c r="E402" s="122"/>
      <c r="F402" s="122"/>
      <c r="G402" s="122"/>
      <c r="H402" s="122"/>
      <c r="I402" s="141" t="e">
        <f>VLOOKUP(W402,Data!$B:$E,3,FALSE)</f>
        <v>#N/A</v>
      </c>
      <c r="O402" s="53" t="s">
        <v>1800</v>
      </c>
      <c r="P402" s="40" t="s">
        <v>1799</v>
      </c>
      <c r="Q402" s="84" t="s">
        <v>1801</v>
      </c>
      <c r="R402" s="84" t="s">
        <v>1802</v>
      </c>
      <c r="S402" s="94"/>
      <c r="T402" s="94"/>
      <c r="U402" s="94"/>
      <c r="V402" s="94"/>
      <c r="W402" s="57" t="s">
        <v>1803</v>
      </c>
    </row>
    <row r="403">
      <c r="A403" s="34" t="str">
        <f>Translation!A410</f>
        <v>RECEITAS COM ALIENAÇÃO DE BENS</v>
      </c>
      <c r="B403" s="40" t="s">
        <v>1804</v>
      </c>
      <c r="C403" s="140" t="e">
        <f>VLOOKUP(Q403,Data!$B:$E,3,FALSE)</f>
        <v>#N/A</v>
      </c>
      <c r="D403" s="140" t="e">
        <f>VLOOKUP(R403,Data!$B:$E,3,FALSE)</f>
        <v>#N/A</v>
      </c>
      <c r="E403" s="140" t="e">
        <f>VLOOKUP(S403,Data!$B:$E,3,FALSE)</f>
        <v>#N/A</v>
      </c>
      <c r="F403" s="140" t="e">
        <f>VLOOKUP(T403,Data!$B:$E,3,FALSE)</f>
        <v>#N/A</v>
      </c>
      <c r="G403" s="140" t="e">
        <f>VLOOKUP(U403,Data!$B:$E,3,FALSE)</f>
        <v>#N/A</v>
      </c>
      <c r="H403" s="140" t="e">
        <f>VLOOKUP(V403,Data!$B:$E,3,FALSE)</f>
        <v>#N/A</v>
      </c>
      <c r="I403" s="141" t="e">
        <f>VLOOKUP(W403,Data!$B:$E,3,FALSE)</f>
        <v>#N/A</v>
      </c>
      <c r="O403" s="53" t="s">
        <v>1805</v>
      </c>
      <c r="P403" s="40" t="s">
        <v>1804</v>
      </c>
      <c r="Q403" s="84" t="s">
        <v>1806</v>
      </c>
      <c r="R403" s="84" t="s">
        <v>1807</v>
      </c>
      <c r="S403" s="84" t="s">
        <v>1808</v>
      </c>
      <c r="T403" s="84" t="s">
        <v>1809</v>
      </c>
      <c r="U403" s="84" t="s">
        <v>1810</v>
      </c>
      <c r="V403" s="84" t="s">
        <v>1811</v>
      </c>
      <c r="W403" s="57" t="s">
        <v>1812</v>
      </c>
    </row>
    <row r="404">
      <c r="A404" s="35" t="str">
        <f>Translation!A411</f>
        <v>TOTAL DE RECEITAS NÃO-OPERACIONAIS</v>
      </c>
      <c r="B404" s="40" t="s">
        <v>1813</v>
      </c>
      <c r="C404" s="141" t="e">
        <f>VLOOKUP(Q404,Data!$B:$E,3,FALSE)</f>
        <v>#N/A</v>
      </c>
      <c r="D404" s="141" t="e">
        <f>VLOOKUP(R404,Data!$B:$E,3,FALSE)</f>
        <v>#N/A</v>
      </c>
      <c r="E404" s="141" t="e">
        <f>VLOOKUP(S404,Data!$B:$E,3,FALSE)</f>
        <v>#N/A</v>
      </c>
      <c r="F404" s="141" t="e">
        <f>VLOOKUP(T404,Data!$B:$E,3,FALSE)</f>
        <v>#N/A</v>
      </c>
      <c r="G404" s="141" t="e">
        <f>VLOOKUP(U404,Data!$B:$E,3,FALSE)</f>
        <v>#N/A</v>
      </c>
      <c r="H404" s="141" t="e">
        <f>VLOOKUP(V404,Data!$B:$E,3,FALSE)</f>
        <v>#N/A</v>
      </c>
      <c r="I404" s="141" t="e">
        <f>VLOOKUP(W404,Data!$B:$E,3,FALSE)</f>
        <v>#N/A</v>
      </c>
      <c r="O404" s="54" t="s">
        <v>730</v>
      </c>
      <c r="P404" s="40" t="s">
        <v>1813</v>
      </c>
      <c r="Q404" s="57" t="s">
        <v>1814</v>
      </c>
      <c r="R404" s="57" t="s">
        <v>1815</v>
      </c>
      <c r="S404" s="57" t="s">
        <v>1816</v>
      </c>
      <c r="T404" s="57" t="s">
        <v>1817</v>
      </c>
      <c r="U404" s="57" t="s">
        <v>1818</v>
      </c>
      <c r="V404" s="57" t="s">
        <v>1819</v>
      </c>
      <c r="W404" s="57" t="s">
        <v>1820</v>
      </c>
    </row>
    <row r="405">
      <c r="A405" s="36" t="str">
        <f>Translation!A412</f>
        <v>RECEITAS FINANCEIRAS</v>
      </c>
      <c r="B405" s="40" t="str">
        <f>Translation!$G$32</f>
        <v>CONTA</v>
      </c>
      <c r="C405" s="121" t="str">
        <f>Translation!$G$23</f>
        <v>NOVOS</v>
      </c>
      <c r="D405" s="121" t="str">
        <f>Translation!$G$24</f>
        <v>USADOS</v>
      </c>
      <c r="E405" s="121" t="str">
        <f>Translation!$G$25</f>
        <v>F &amp; I</v>
      </c>
      <c r="F405" s="121" t="str">
        <f>Translation!$G$26</f>
        <v>PEÇAS E ACESS.</v>
      </c>
      <c r="G405" s="121" t="str">
        <f>Translation!$G$27</f>
        <v>SERVIÇO</v>
      </c>
      <c r="H405" s="121" t="str">
        <f>Translation!$G$28</f>
        <v>ADM</v>
      </c>
      <c r="I405" s="121" t="str">
        <f>Translation!$G$29</f>
        <v>TOTAL</v>
      </c>
      <c r="O405" s="50" t="s">
        <v>1821</v>
      </c>
      <c r="P405" s="40" t="str">
        <f>Translation!$G$32</f>
        <v>CONTA</v>
      </c>
      <c r="Q405" s="79" t="s">
        <v>1305</v>
      </c>
      <c r="R405" s="79" t="s">
        <v>1306</v>
      </c>
      <c r="S405" s="79" t="s">
        <v>1307</v>
      </c>
      <c r="T405" s="79" t="s">
        <v>1308</v>
      </c>
      <c r="U405" s="79" t="s">
        <v>1309</v>
      </c>
      <c r="V405" s="79" t="s">
        <v>1310</v>
      </c>
      <c r="W405" s="79" t="s">
        <v>1311</v>
      </c>
    </row>
    <row r="406">
      <c r="A406" s="34" t="str">
        <f>Translation!A413</f>
        <v>RENDIMENTO SOBRE APLICAÇÕES</v>
      </c>
      <c r="B406" s="40" t="s">
        <v>1822</v>
      </c>
      <c r="C406" s="140" t="e">
        <f>VLOOKUP(Q406,Data!$B:$E,3,FALSE)</f>
        <v>#N/A</v>
      </c>
      <c r="D406" s="140" t="e">
        <f>VLOOKUP(R406,Data!$B:$E,3,FALSE)</f>
        <v>#N/A</v>
      </c>
      <c r="E406" s="140" t="e">
        <f>VLOOKUP(S406,Data!$B:$E,3,FALSE)</f>
        <v>#N/A</v>
      </c>
      <c r="F406" s="140" t="e">
        <f>VLOOKUP(T406,Data!$B:$E,3,FALSE)</f>
        <v>#N/A</v>
      </c>
      <c r="G406" s="140" t="e">
        <f>VLOOKUP(U406,Data!$B:$E,3,FALSE)</f>
        <v>#N/A</v>
      </c>
      <c r="H406" s="140" t="e">
        <f>VLOOKUP(V406,Data!$B:$E,3,FALSE)</f>
        <v>#N/A</v>
      </c>
      <c r="I406" s="141" t="e">
        <f>VLOOKUP(W406,Data!$B:$E,3,FALSE)</f>
        <v>#N/A</v>
      </c>
      <c r="O406" s="53" t="s">
        <v>1823</v>
      </c>
      <c r="P406" s="40" t="s">
        <v>1822</v>
      </c>
      <c r="Q406" s="84" t="s">
        <v>1824</v>
      </c>
      <c r="R406" s="84" t="s">
        <v>1825</v>
      </c>
      <c r="S406" s="84" t="s">
        <v>1826</v>
      </c>
      <c r="T406" s="84" t="s">
        <v>1827</v>
      </c>
      <c r="U406" s="84" t="s">
        <v>1828</v>
      </c>
      <c r="V406" s="84" t="s">
        <v>1829</v>
      </c>
      <c r="W406" s="57" t="s">
        <v>1830</v>
      </c>
    </row>
    <row r="407">
      <c r="A407" s="34" t="str">
        <f>Translation!A414</f>
        <v>DESCONTOS OBTIDOS</v>
      </c>
      <c r="B407" s="40" t="s">
        <v>1831</v>
      </c>
      <c r="C407" s="140" t="e">
        <f>VLOOKUP(Q407,Data!$B:$E,3,FALSE)</f>
        <v>#N/A</v>
      </c>
      <c r="D407" s="140" t="e">
        <f>VLOOKUP(R407,Data!$B:$E,3,FALSE)</f>
        <v>#N/A</v>
      </c>
      <c r="E407" s="140" t="e">
        <f>VLOOKUP(S407,Data!$B:$E,3,FALSE)</f>
        <v>#N/A</v>
      </c>
      <c r="F407" s="140" t="e">
        <f>VLOOKUP(T407,Data!$B:$E,3,FALSE)</f>
        <v>#N/A</v>
      </c>
      <c r="G407" s="140" t="e">
        <f>VLOOKUP(U407,Data!$B:$E,3,FALSE)</f>
        <v>#N/A</v>
      </c>
      <c r="H407" s="140" t="e">
        <f>VLOOKUP(V407,Data!$B:$E,3,FALSE)</f>
        <v>#N/A</v>
      </c>
      <c r="I407" s="141" t="e">
        <f>VLOOKUP(W407,Data!$B:$E,3,FALSE)</f>
        <v>#N/A</v>
      </c>
      <c r="O407" s="53" t="s">
        <v>1832</v>
      </c>
      <c r="P407" s="40" t="s">
        <v>1831</v>
      </c>
      <c r="Q407" s="84" t="s">
        <v>1833</v>
      </c>
      <c r="R407" s="84" t="s">
        <v>1834</v>
      </c>
      <c r="S407" s="84" t="s">
        <v>1835</v>
      </c>
      <c r="T407" s="84" t="s">
        <v>1836</v>
      </c>
      <c r="U407" s="84" t="s">
        <v>1837</v>
      </c>
      <c r="V407" s="84" t="s">
        <v>1838</v>
      </c>
      <c r="W407" s="57" t="s">
        <v>1839</v>
      </c>
    </row>
    <row r="408">
      <c r="A408" s="34" t="str">
        <f>Translation!A415</f>
        <v>COMISSÕES / BONIFICAÇÕES DIVERSAS</v>
      </c>
      <c r="B408" s="40" t="s">
        <v>1840</v>
      </c>
      <c r="C408" s="140" t="e">
        <f>VLOOKUP(Q408,Data!$B:$E,3,FALSE)</f>
        <v>#N/A</v>
      </c>
      <c r="D408" s="140" t="e">
        <f>VLOOKUP(R408,Data!$B:$E,3,FALSE)</f>
        <v>#N/A</v>
      </c>
      <c r="E408" s="122"/>
      <c r="F408" s="122"/>
      <c r="G408" s="122"/>
      <c r="H408" s="122"/>
      <c r="I408" s="141" t="e">
        <f>VLOOKUP(W408,Data!$B:$E,3,FALSE)</f>
        <v>#N/A</v>
      </c>
      <c r="O408" s="53" t="s">
        <v>1841</v>
      </c>
      <c r="P408" s="40" t="s">
        <v>1840</v>
      </c>
      <c r="Q408" s="80" t="s">
        <v>1842</v>
      </c>
      <c r="R408" s="80" t="s">
        <v>1843</v>
      </c>
      <c r="S408" s="95"/>
      <c r="T408" s="95"/>
      <c r="U408" s="95"/>
      <c r="V408" s="95"/>
      <c r="W408" s="57" t="s">
        <v>1844</v>
      </c>
    </row>
    <row r="409">
      <c r="A409" s="35" t="str">
        <f>Translation!A416</f>
        <v>TOTAL DE RECEITAS FINANCEIRAS</v>
      </c>
      <c r="B409" s="40" t="s">
        <v>1845</v>
      </c>
      <c r="C409" s="141" t="e">
        <f>VLOOKUP(Q409,Data!$B:$E,3,FALSE)</f>
        <v>#N/A</v>
      </c>
      <c r="D409" s="141" t="e">
        <f>VLOOKUP(R409,Data!$B:$E,3,FALSE)</f>
        <v>#N/A</v>
      </c>
      <c r="E409" s="141" t="e">
        <f>VLOOKUP(S409,Data!$B:$E,3,FALSE)</f>
        <v>#N/A</v>
      </c>
      <c r="F409" s="141" t="e">
        <f>VLOOKUP(T409,Data!$B:$E,3,FALSE)</f>
        <v>#N/A</v>
      </c>
      <c r="G409" s="141" t="e">
        <f>VLOOKUP(U409,Data!$B:$E,3,FALSE)</f>
        <v>#N/A</v>
      </c>
      <c r="H409" s="141" t="e">
        <f>VLOOKUP(V409,Data!$B:$E,3,FALSE)</f>
        <v>#N/A</v>
      </c>
      <c r="I409" s="141" t="e">
        <f>VLOOKUP(W409,Data!$B:$E,3,FALSE)</f>
        <v>#N/A</v>
      </c>
      <c r="O409" s="54" t="s">
        <v>733</v>
      </c>
      <c r="P409" s="40" t="s">
        <v>1845</v>
      </c>
      <c r="Q409" s="57" t="s">
        <v>1846</v>
      </c>
      <c r="R409" s="57" t="s">
        <v>1847</v>
      </c>
      <c r="S409" s="57" t="s">
        <v>1848</v>
      </c>
      <c r="T409" s="57" t="s">
        <v>1849</v>
      </c>
      <c r="U409" s="57" t="s">
        <v>1850</v>
      </c>
      <c r="V409" s="57" t="s">
        <v>1851</v>
      </c>
      <c r="W409" s="57" t="s">
        <v>1852</v>
      </c>
    </row>
    <row r="410">
      <c r="A410" s="36" t="str">
        <f>Translation!A417</f>
        <v>RESULTADO ANTES DO IRPJ/CSLL</v>
      </c>
      <c r="B410" s="40" t="str">
        <f>Translation!$G$32</f>
        <v>CONTA</v>
      </c>
      <c r="C410" s="121" t="str">
        <f>Translation!$G$23</f>
        <v>NOVOS</v>
      </c>
      <c r="D410" s="121" t="str">
        <f>Translation!$G$24</f>
        <v>USADOS</v>
      </c>
      <c r="E410" s="121" t="str">
        <f>Translation!$G$25</f>
        <v>F &amp; I</v>
      </c>
      <c r="F410" s="121" t="str">
        <f>Translation!$G$26</f>
        <v>PEÇAS E ACESS.</v>
      </c>
      <c r="G410" s="121" t="str">
        <f>Translation!$G$27</f>
        <v>SERVIÇO</v>
      </c>
      <c r="H410" s="121" t="str">
        <f>Translation!$G$28</f>
        <v>ADM</v>
      </c>
      <c r="I410" s="121" t="str">
        <f>Translation!$G$29</f>
        <v>TOTAL</v>
      </c>
      <c r="O410" s="50" t="s">
        <v>1853</v>
      </c>
      <c r="P410" s="40" t="str">
        <f>Translation!$G$32</f>
        <v>CONTA</v>
      </c>
      <c r="Q410" s="79" t="s">
        <v>1305</v>
      </c>
      <c r="R410" s="79" t="s">
        <v>1306</v>
      </c>
      <c r="S410" s="79" t="s">
        <v>1307</v>
      </c>
      <c r="T410" s="79" t="s">
        <v>1308</v>
      </c>
      <c r="U410" s="79" t="s">
        <v>1309</v>
      </c>
      <c r="V410" s="79" t="s">
        <v>1310</v>
      </c>
      <c r="W410" s="79" t="s">
        <v>1311</v>
      </c>
    </row>
    <row r="411">
      <c r="A411" s="35" t="str">
        <f>Translation!A418</f>
        <v>RESULTADO ANTES DO IRPJ/CSLL</v>
      </c>
      <c r="B411" s="40" t="s">
        <v>1854</v>
      </c>
      <c r="C411" s="141" t="e">
        <f>VLOOKUP(Q411,Data!$B:$E,3,FALSE)</f>
        <v>#N/A</v>
      </c>
      <c r="D411" s="141" t="e">
        <f>VLOOKUP(R411,Data!$B:$E,3,FALSE)</f>
        <v>#N/A</v>
      </c>
      <c r="E411" s="141" t="e">
        <f>VLOOKUP(S411,Data!$B:$E,3,FALSE)</f>
        <v>#N/A</v>
      </c>
      <c r="F411" s="141" t="e">
        <f>VLOOKUP(T411,Data!$B:$E,3,FALSE)</f>
        <v>#N/A</v>
      </c>
      <c r="G411" s="141" t="e">
        <f>VLOOKUP(U411,Data!$B:$E,3,FALSE)</f>
        <v>#N/A</v>
      </c>
      <c r="H411" s="141" t="e">
        <f>VLOOKUP(V411,Data!$B:$E,3,FALSE)</f>
        <v>#N/A</v>
      </c>
      <c r="I411" s="141" t="e">
        <f>VLOOKUP(W411,Data!$B:$E,3,FALSE)</f>
        <v>#N/A</v>
      </c>
      <c r="O411" s="139" t="s">
        <v>1853</v>
      </c>
      <c r="P411" s="40" t="s">
        <v>1854</v>
      </c>
      <c r="Q411" s="57" t="s">
        <v>1855</v>
      </c>
      <c r="R411" s="57" t="s">
        <v>1856</v>
      </c>
      <c r="S411" s="57" t="s">
        <v>1857</v>
      </c>
      <c r="T411" s="57" t="s">
        <v>1858</v>
      </c>
      <c r="U411" s="57" t="s">
        <v>1859</v>
      </c>
      <c r="V411" s="57" t="s">
        <v>1860</v>
      </c>
      <c r="W411" s="57" t="s">
        <v>1861</v>
      </c>
    </row>
    <row r="412">
      <c r="A412" s="36" t="str">
        <f>Translation!A419</f>
        <v>ESTATÍSTICA DE PESSOAL - NÚMERO DE FUNCIONÁRIOS</v>
      </c>
      <c r="B412" s="40" t="str">
        <f>Translation!$G$32</f>
        <v>CONTA</v>
      </c>
      <c r="C412" s="121" t="str">
        <f>Translation!$G$16</f>
        <v>NOVOS</v>
      </c>
      <c r="D412" s="121" t="str">
        <f>Translation!$G$17</f>
        <v>USADOS</v>
      </c>
      <c r="E412" s="121" t="str">
        <f>Translation!$G$18</f>
        <v>F &amp; I</v>
      </c>
      <c r="F412" s="121" t="str">
        <f>Translation!$G$19</f>
        <v>PEÇAS E ACESS.</v>
      </c>
      <c r="G412" s="121" t="str">
        <f>Translation!$G$20</f>
        <v>SERVIÇO</v>
      </c>
      <c r="H412" s="121" t="str">
        <f>Translation!$G$21</f>
        <v>ADM</v>
      </c>
      <c r="I412" s="121" t="str">
        <f>Translation!$G$22</f>
        <v>TOTAL</v>
      </c>
      <c r="O412" s="50" t="s">
        <v>1862</v>
      </c>
      <c r="P412" s="40" t="str">
        <f>Translation!$G$32</f>
        <v>CONTA</v>
      </c>
      <c r="Q412" s="79" t="s">
        <v>1863</v>
      </c>
      <c r="R412" s="79" t="s">
        <v>1864</v>
      </c>
      <c r="S412" s="79" t="s">
        <v>1865</v>
      </c>
      <c r="T412" s="79" t="s">
        <v>1866</v>
      </c>
      <c r="U412" s="79" t="s">
        <v>1867</v>
      </c>
      <c r="V412" s="79" t="s">
        <v>1868</v>
      </c>
      <c r="W412" s="79" t="s">
        <v>1869</v>
      </c>
    </row>
    <row r="413">
      <c r="A413" s="34" t="str">
        <f>Translation!A420</f>
        <v>GERENTES</v>
      </c>
      <c r="B413" s="40" t="s">
        <v>1870</v>
      </c>
      <c r="C413" s="140" t="e">
        <f>VLOOKUP(Q413,Data!$B:$E,3,FALSE)</f>
        <v>#N/A</v>
      </c>
      <c r="D413" s="140" t="e">
        <f>VLOOKUP(R413,Data!$B:$E,3,FALSE)</f>
        <v>#N/A</v>
      </c>
      <c r="E413" s="140" t="e">
        <f>VLOOKUP(S413,Data!$B:$E,3,FALSE)</f>
        <v>#N/A</v>
      </c>
      <c r="F413" s="140" t="e">
        <f>VLOOKUP(T413,Data!$B:$E,3,FALSE)</f>
        <v>#N/A</v>
      </c>
      <c r="G413" s="140" t="e">
        <f>VLOOKUP(U413,Data!$B:$E,3,FALSE)</f>
        <v>#N/A</v>
      </c>
      <c r="H413" s="140" t="e">
        <f>VLOOKUP(V413,Data!$B:$E,3,FALSE)</f>
        <v>#N/A</v>
      </c>
      <c r="I413" s="141" t="e">
        <f>VLOOKUP(W413,Data!$B:$E,3,FALSE)</f>
        <v>#N/A</v>
      </c>
      <c r="O413" s="53" t="s">
        <v>1871</v>
      </c>
      <c r="P413" s="40" t="s">
        <v>1870</v>
      </c>
      <c r="Q413" s="80" t="s">
        <v>1872</v>
      </c>
      <c r="R413" s="80" t="s">
        <v>1873</v>
      </c>
      <c r="S413" s="80" t="s">
        <v>1874</v>
      </c>
      <c r="T413" s="80" t="s">
        <v>1875</v>
      </c>
      <c r="U413" s="80" t="s">
        <v>1876</v>
      </c>
      <c r="V413" s="80" t="s">
        <v>1877</v>
      </c>
      <c r="W413" s="57" t="s">
        <v>1878</v>
      </c>
    </row>
    <row r="414">
      <c r="A414" s="34" t="str">
        <f>Translation!A421</f>
        <v>SUPERVISOR</v>
      </c>
      <c r="B414" s="40" t="s">
        <v>1879</v>
      </c>
      <c r="C414" s="140" t="e">
        <f>VLOOKUP(Q414,Data!$B:$E,3,FALSE)</f>
        <v>#N/A</v>
      </c>
      <c r="D414" s="140" t="e">
        <f>VLOOKUP(R414,Data!$B:$E,3,FALSE)</f>
        <v>#N/A</v>
      </c>
      <c r="E414" s="140" t="e">
        <f>VLOOKUP(S414,Data!$B:$E,3,FALSE)</f>
        <v>#N/A</v>
      </c>
      <c r="F414" s="140" t="e">
        <f>VLOOKUP(T414,Data!$B:$E,3,FALSE)</f>
        <v>#N/A</v>
      </c>
      <c r="G414" s="140" t="e">
        <f>VLOOKUP(U414,Data!$B:$E,3,FALSE)</f>
        <v>#N/A</v>
      </c>
      <c r="H414" s="140" t="e">
        <f>VLOOKUP(V414,Data!$B:$E,3,FALSE)</f>
        <v>#N/A</v>
      </c>
      <c r="I414" s="141" t="e">
        <f>VLOOKUP(W414,Data!$B:$E,3,FALSE)</f>
        <v>#N/A</v>
      </c>
      <c r="O414" s="53" t="s">
        <v>1880</v>
      </c>
      <c r="P414" s="40" t="s">
        <v>1879</v>
      </c>
      <c r="Q414" s="80" t="s">
        <v>1881</v>
      </c>
      <c r="R414" s="80" t="s">
        <v>1882</v>
      </c>
      <c r="S414" s="80" t="s">
        <v>1883</v>
      </c>
      <c r="T414" s="80" t="s">
        <v>1884</v>
      </c>
      <c r="U414" s="80" t="s">
        <v>1885</v>
      </c>
      <c r="V414" s="80" t="s">
        <v>1886</v>
      </c>
      <c r="W414" s="57" t="s">
        <v>1887</v>
      </c>
    </row>
    <row r="415">
      <c r="A415" s="34" t="str">
        <f>Translation!A422</f>
        <v>VENDEDORES EXTERNOS</v>
      </c>
      <c r="B415" s="40" t="s">
        <v>1888</v>
      </c>
      <c r="C415" s="140" t="e">
        <f>VLOOKUP(Q415,Data!$B:$E,3,FALSE)</f>
        <v>#N/A</v>
      </c>
      <c r="D415" s="140" t="e">
        <f>VLOOKUP(R415,Data!$B:$E,3,FALSE)</f>
        <v>#N/A</v>
      </c>
      <c r="E415" s="140" t="e">
        <f>VLOOKUP(S415,Data!$B:$E,3,FALSE)</f>
        <v>#N/A</v>
      </c>
      <c r="F415" s="140" t="e">
        <f>VLOOKUP(T415,Data!$B:$E,3,FALSE)</f>
        <v>#N/A</v>
      </c>
      <c r="G415" s="140" t="e">
        <f>VLOOKUP(U415,Data!$B:$E,3,FALSE)</f>
        <v>#N/A</v>
      </c>
      <c r="H415" s="140" t="e">
        <f>VLOOKUP(V415,Data!$B:$E,3,FALSE)</f>
        <v>#N/A</v>
      </c>
      <c r="I415" s="141" t="e">
        <f>VLOOKUP(W415,Data!$B:$E,3,FALSE)</f>
        <v>#N/A</v>
      </c>
      <c r="O415" s="53" t="s">
        <v>1889</v>
      </c>
      <c r="P415" s="40" t="s">
        <v>1888</v>
      </c>
      <c r="Q415" s="80" t="s">
        <v>1890</v>
      </c>
      <c r="R415" s="80" t="s">
        <v>1891</v>
      </c>
      <c r="S415" s="80" t="s">
        <v>1892</v>
      </c>
      <c r="T415" s="80" t="s">
        <v>1893</v>
      </c>
      <c r="U415" s="80" t="s">
        <v>1894</v>
      </c>
      <c r="V415" s="80" t="s">
        <v>1895</v>
      </c>
      <c r="W415" s="57" t="s">
        <v>1896</v>
      </c>
    </row>
    <row r="416">
      <c r="A416" s="34" t="str">
        <f>Translation!A423</f>
        <v>VENDEDORES INTERNOS</v>
      </c>
      <c r="B416" s="40" t="s">
        <v>1897</v>
      </c>
      <c r="C416" s="140" t="e">
        <f>VLOOKUP(Q416,Data!$B:$E,3,FALSE)</f>
        <v>#N/A</v>
      </c>
      <c r="D416" s="140" t="e">
        <f>VLOOKUP(R416,Data!$B:$E,3,FALSE)</f>
        <v>#N/A</v>
      </c>
      <c r="E416" s="140" t="e">
        <f>VLOOKUP(S416,Data!$B:$E,3,FALSE)</f>
        <v>#N/A</v>
      </c>
      <c r="F416" s="140" t="e">
        <f>VLOOKUP(T416,Data!$B:$E,3,FALSE)</f>
        <v>#N/A</v>
      </c>
      <c r="G416" s="140" t="e">
        <f>VLOOKUP(U416,Data!$B:$E,3,FALSE)</f>
        <v>#N/A</v>
      </c>
      <c r="H416" s="140" t="e">
        <f>VLOOKUP(V416,Data!$B:$E,3,FALSE)</f>
        <v>#N/A</v>
      </c>
      <c r="I416" s="141" t="e">
        <f>VLOOKUP(W416,Data!$B:$E,3,FALSE)</f>
        <v>#N/A</v>
      </c>
      <c r="O416" s="53" t="s">
        <v>1898</v>
      </c>
      <c r="P416" s="40" t="s">
        <v>1897</v>
      </c>
      <c r="Q416" s="80" t="s">
        <v>1899</v>
      </c>
      <c r="R416" s="80" t="s">
        <v>1900</v>
      </c>
      <c r="S416" s="80" t="s">
        <v>1901</v>
      </c>
      <c r="T416" s="80" t="s">
        <v>1902</v>
      </c>
      <c r="U416" s="80" t="s">
        <v>1903</v>
      </c>
      <c r="V416" s="80" t="s">
        <v>1904</v>
      </c>
      <c r="W416" s="57" t="s">
        <v>1905</v>
      </c>
    </row>
    <row r="417">
      <c r="A417" s="34" t="str">
        <f>Translation!A424</f>
        <v>ADMINISTRATIVOS</v>
      </c>
      <c r="B417" s="40" t="s">
        <v>1906</v>
      </c>
      <c r="C417" s="140" t="e">
        <f>VLOOKUP(Q417,Data!$B:$E,3,FALSE)</f>
        <v>#N/A</v>
      </c>
      <c r="D417" s="140" t="e">
        <f>VLOOKUP(R417,Data!$B:$E,3,FALSE)</f>
        <v>#N/A</v>
      </c>
      <c r="E417" s="140" t="e">
        <f>VLOOKUP(S417,Data!$B:$E,3,FALSE)</f>
        <v>#N/A</v>
      </c>
      <c r="F417" s="140" t="e">
        <f>VLOOKUP(T417,Data!$B:$E,3,FALSE)</f>
        <v>#N/A</v>
      </c>
      <c r="G417" s="140" t="e">
        <f>VLOOKUP(U417,Data!$B:$E,3,FALSE)</f>
        <v>#N/A</v>
      </c>
      <c r="H417" s="140" t="e">
        <f>VLOOKUP(V417,Data!$B:$E,3,FALSE)</f>
        <v>#N/A</v>
      </c>
      <c r="I417" s="141" t="e">
        <f>VLOOKUP(W417,Data!$B:$E,3,FALSE)</f>
        <v>#N/A</v>
      </c>
      <c r="O417" s="53" t="s">
        <v>1907</v>
      </c>
      <c r="P417" s="40" t="s">
        <v>1906</v>
      </c>
      <c r="Q417" s="80" t="s">
        <v>1908</v>
      </c>
      <c r="R417" s="80" t="s">
        <v>1909</v>
      </c>
      <c r="S417" s="80" t="s">
        <v>1910</v>
      </c>
      <c r="T417" s="80" t="s">
        <v>1911</v>
      </c>
      <c r="U417" s="80" t="s">
        <v>1912</v>
      </c>
      <c r="V417" s="80" t="s">
        <v>1913</v>
      </c>
      <c r="W417" s="57" t="s">
        <v>1914</v>
      </c>
    </row>
    <row r="418">
      <c r="A418" s="34" t="str">
        <f>Translation!A425</f>
        <v>RECEPCIONISTA</v>
      </c>
      <c r="B418" s="40" t="s">
        <v>1915</v>
      </c>
      <c r="C418" s="140" t="e">
        <f>VLOOKUP(Q418,Data!$B:$E,3,FALSE)</f>
        <v>#N/A</v>
      </c>
      <c r="D418" s="140" t="e">
        <f>VLOOKUP(R418,Data!$B:$E,3,FALSE)</f>
        <v>#N/A</v>
      </c>
      <c r="E418" s="140" t="e">
        <f>VLOOKUP(S418,Data!$B:$E,3,FALSE)</f>
        <v>#N/A</v>
      </c>
      <c r="F418" s="140" t="e">
        <f>VLOOKUP(T418,Data!$B:$E,3,FALSE)</f>
        <v>#N/A</v>
      </c>
      <c r="G418" s="140" t="e">
        <f>VLOOKUP(U418,Data!$B:$E,3,FALSE)</f>
        <v>#N/A</v>
      </c>
      <c r="H418" s="140" t="e">
        <f>VLOOKUP(V418,Data!$B:$E,3,FALSE)</f>
        <v>#N/A</v>
      </c>
      <c r="I418" s="141" t="e">
        <f>VLOOKUP(W418,Data!$B:$E,3,FALSE)</f>
        <v>#N/A</v>
      </c>
      <c r="O418" s="53" t="s">
        <v>1916</v>
      </c>
      <c r="P418" s="40" t="s">
        <v>1915</v>
      </c>
      <c r="Q418" s="80" t="s">
        <v>1917</v>
      </c>
      <c r="R418" s="80" t="s">
        <v>1918</v>
      </c>
      <c r="S418" s="80" t="s">
        <v>1919</v>
      </c>
      <c r="T418" s="80" t="s">
        <v>1920</v>
      </c>
      <c r="U418" s="80" t="s">
        <v>1921</v>
      </c>
      <c r="V418" s="80" t="s">
        <v>1922</v>
      </c>
      <c r="W418" s="57" t="s">
        <v>1923</v>
      </c>
    </row>
    <row r="419">
      <c r="A419" s="34" t="str">
        <f>Translation!A426</f>
        <v>MECANICOS</v>
      </c>
      <c r="B419" s="40" t="s">
        <v>1924</v>
      </c>
      <c r="C419" s="140" t="e">
        <f>VLOOKUP(Q419,Data!$B:$E,3,FALSE)</f>
        <v>#N/A</v>
      </c>
      <c r="D419" s="140" t="e">
        <f>VLOOKUP(R419,Data!$B:$E,3,FALSE)</f>
        <v>#N/A</v>
      </c>
      <c r="E419" s="140" t="e">
        <f>VLOOKUP(S419,Data!$B:$E,3,FALSE)</f>
        <v>#N/A</v>
      </c>
      <c r="F419" s="140" t="e">
        <f>VLOOKUP(T419,Data!$B:$E,3,FALSE)</f>
        <v>#N/A</v>
      </c>
      <c r="G419" s="140" t="e">
        <f>VLOOKUP(U419,Data!$B:$E,3,FALSE)</f>
        <v>#N/A</v>
      </c>
      <c r="H419" s="140" t="e">
        <f>VLOOKUP(V419,Data!$B:$E,3,FALSE)</f>
        <v>#N/A</v>
      </c>
      <c r="I419" s="141" t="e">
        <f>VLOOKUP(W419,Data!$B:$E,3,FALSE)</f>
        <v>#N/A</v>
      </c>
      <c r="O419" s="53" t="s">
        <v>1925</v>
      </c>
      <c r="P419" s="40" t="s">
        <v>1924</v>
      </c>
      <c r="Q419" s="80" t="s">
        <v>1926</v>
      </c>
      <c r="R419" s="80" t="s">
        <v>1927</v>
      </c>
      <c r="S419" s="80" t="s">
        <v>1928</v>
      </c>
      <c r="T419" s="80" t="s">
        <v>1929</v>
      </c>
      <c r="U419" s="80" t="s">
        <v>1930</v>
      </c>
      <c r="V419" s="80" t="s">
        <v>1931</v>
      </c>
      <c r="W419" s="57" t="s">
        <v>1932</v>
      </c>
    </row>
    <row r="420">
      <c r="A420" s="35" t="str">
        <f>Translation!A427</f>
        <v>TOTAL DE NÚMERO DE FUNCIONÁRIOS</v>
      </c>
      <c r="B420" s="40" t="s">
        <v>1933</v>
      </c>
      <c r="C420" s="141" t="e">
        <f>VLOOKUP(Q420,Data!$B:$E,3,FALSE)</f>
        <v>#N/A</v>
      </c>
      <c r="D420" s="141" t="e">
        <f>VLOOKUP(R420,Data!$B:$E,3,FALSE)</f>
        <v>#N/A</v>
      </c>
      <c r="E420" s="141" t="e">
        <f>VLOOKUP(S420,Data!$B:$E,3,FALSE)</f>
        <v>#N/A</v>
      </c>
      <c r="F420" s="141" t="e">
        <f>VLOOKUP(T420,Data!$B:$E,3,FALSE)</f>
        <v>#N/A</v>
      </c>
      <c r="G420" s="141" t="e">
        <f>VLOOKUP(U420,Data!$B:$E,3,FALSE)</f>
        <v>#N/A</v>
      </c>
      <c r="H420" s="141" t="e">
        <f>VLOOKUP(V420,Data!$B:$E,3,FALSE)</f>
        <v>#N/A</v>
      </c>
      <c r="I420" s="141" t="e">
        <f>VLOOKUP(W420,Data!$B:$E,3,FALSE)</f>
        <v>#N/A</v>
      </c>
      <c r="O420" s="54" t="s">
        <v>1934</v>
      </c>
      <c r="P420" s="40" t="s">
        <v>1933</v>
      </c>
      <c r="Q420" s="57" t="s">
        <v>1935</v>
      </c>
      <c r="R420" s="57" t="s">
        <v>1936</v>
      </c>
      <c r="S420" s="57" t="s">
        <v>1937</v>
      </c>
      <c r="T420" s="57" t="s">
        <v>1938</v>
      </c>
      <c r="U420" s="57" t="s">
        <v>1939</v>
      </c>
      <c r="V420" s="57" t="s">
        <v>1940</v>
      </c>
      <c r="W420" s="57" t="s">
        <v>1941</v>
      </c>
    </row>
    <row r="421">
      <c r="A421" s="37" t="str">
        <f>Translation!A428</f>
        <v>ÁREAS UTILIZADAS ( M2 )</v>
      </c>
      <c r="B421" s="40" t="str">
        <f>Translation!$G$32</f>
        <v>CONTA</v>
      </c>
      <c r="C421" s="121" t="str">
        <f>Translation!$G$16</f>
        <v>NOVOS</v>
      </c>
      <c r="D421" s="121" t="str">
        <f>Translation!$G$17</f>
        <v>USADOS</v>
      </c>
      <c r="E421" s="121" t="str">
        <f>Translation!$G$18</f>
        <v>F &amp; I</v>
      </c>
      <c r="F421" s="121" t="str">
        <f>Translation!$G$19</f>
        <v>PEÇAS E ACESS.</v>
      </c>
      <c r="G421" s="121" t="str">
        <f>Translation!$G$20</f>
        <v>SERVIÇO</v>
      </c>
      <c r="H421" s="121" t="str">
        <f>Translation!$G$21</f>
        <v>ADM</v>
      </c>
      <c r="I421" s="121" t="str">
        <f>Translation!$G$22</f>
        <v>TOTAL</v>
      </c>
      <c r="O421" s="55" t="s">
        <v>1942</v>
      </c>
      <c r="P421" s="40" t="str">
        <f>Translation!$G$32</f>
        <v>CONTA</v>
      </c>
      <c r="Q421" s="79" t="s">
        <v>1863</v>
      </c>
      <c r="R421" s="79" t="s">
        <v>1864</v>
      </c>
      <c r="S421" s="79" t="s">
        <v>1865</v>
      </c>
      <c r="T421" s="79" t="s">
        <v>1866</v>
      </c>
      <c r="U421" s="79" t="s">
        <v>1867</v>
      </c>
      <c r="V421" s="79" t="s">
        <v>1868</v>
      </c>
      <c r="W421" s="79" t="s">
        <v>1869</v>
      </c>
    </row>
    <row r="422">
      <c r="A422" s="34" t="str">
        <f>Translation!A429</f>
        <v>ÁREA DE VENDAS</v>
      </c>
      <c r="B422" s="40" t="s">
        <v>1943</v>
      </c>
      <c r="C422" s="140" t="e">
        <f>VLOOKUP(Q422,Data!$B:$E,3,FALSE)</f>
        <v>#N/A</v>
      </c>
      <c r="D422" s="140" t="e">
        <f>VLOOKUP(R422,Data!$B:$E,3,FALSE)</f>
        <v>#N/A</v>
      </c>
      <c r="E422" s="140" t="e">
        <f>VLOOKUP(S422,Data!$B:$E,3,FALSE)</f>
        <v>#N/A</v>
      </c>
      <c r="F422" s="140" t="e">
        <f>VLOOKUP(T422,Data!$B:$E,3,FALSE)</f>
        <v>#N/A</v>
      </c>
      <c r="G422" s="140" t="e">
        <f>VLOOKUP(U422,Data!$B:$E,3,FALSE)</f>
        <v>#N/A</v>
      </c>
      <c r="H422" s="122"/>
      <c r="I422" s="141" t="e">
        <f>VLOOKUP(W422,Data!$B:$E,3,FALSE)</f>
        <v>#N/A</v>
      </c>
      <c r="O422" s="53" t="s">
        <v>1944</v>
      </c>
      <c r="P422" s="40" t="s">
        <v>1943</v>
      </c>
      <c r="Q422" s="80" t="s">
        <v>1945</v>
      </c>
      <c r="R422" s="80" t="s">
        <v>1946</v>
      </c>
      <c r="S422" s="80" t="s">
        <v>1947</v>
      </c>
      <c r="T422" s="80" t="s">
        <v>1948</v>
      </c>
      <c r="U422" s="80" t="s">
        <v>1949</v>
      </c>
      <c r="V422" s="61"/>
      <c r="W422" s="57" t="s">
        <v>1950</v>
      </c>
    </row>
    <row r="423">
      <c r="A423" s="34" t="str">
        <f>Translation!A430</f>
        <v>ÁREA DE OFICINA</v>
      </c>
      <c r="B423" s="40" t="s">
        <v>1951</v>
      </c>
      <c r="C423" s="122"/>
      <c r="D423" s="122"/>
      <c r="E423" s="122"/>
      <c r="F423" s="122"/>
      <c r="G423" s="140" t="e">
        <f>VLOOKUP(U423,Data!$B:$E,3,FALSE)</f>
        <v>#N/A</v>
      </c>
      <c r="H423" s="122"/>
      <c r="I423" s="141" t="e">
        <f>VLOOKUP(W423,Data!$B:$E,3,FALSE)</f>
        <v>#N/A</v>
      </c>
      <c r="O423" s="53" t="s">
        <v>1952</v>
      </c>
      <c r="P423" s="40" t="s">
        <v>1951</v>
      </c>
      <c r="Q423" s="61"/>
      <c r="R423" s="61"/>
      <c r="S423" s="61"/>
      <c r="T423" s="61"/>
      <c r="U423" s="80" t="s">
        <v>1953</v>
      </c>
      <c r="V423" s="61"/>
      <c r="W423" s="57" t="s">
        <v>1954</v>
      </c>
    </row>
    <row r="424">
      <c r="A424" s="34" t="str">
        <f>Translation!A431</f>
        <v>ÁREA DE PEÇAS E ACESSÓRIOS</v>
      </c>
      <c r="B424" s="40" t="s">
        <v>1955</v>
      </c>
      <c r="C424" s="122"/>
      <c r="D424" s="122"/>
      <c r="E424" s="122"/>
      <c r="F424" s="140" t="e">
        <f>VLOOKUP(T424,Data!$B:$E,3,FALSE)</f>
        <v>#N/A</v>
      </c>
      <c r="G424" s="122"/>
      <c r="H424" s="122"/>
      <c r="I424" s="141" t="e">
        <f>VLOOKUP(W424,Data!$B:$E,3,FALSE)</f>
        <v>#N/A</v>
      </c>
      <c r="O424" s="53" t="s">
        <v>1956</v>
      </c>
      <c r="P424" s="40" t="s">
        <v>1955</v>
      </c>
      <c r="Q424" s="61"/>
      <c r="R424" s="61"/>
      <c r="S424" s="61"/>
      <c r="T424" s="80" t="s">
        <v>1957</v>
      </c>
      <c r="U424" s="61"/>
      <c r="V424" s="61"/>
      <c r="W424" s="57" t="s">
        <v>1958</v>
      </c>
    </row>
    <row r="425">
      <c r="A425" s="34" t="str">
        <f>Translation!A432</f>
        <v>ÁREA DE ADMINISTRAÇÃO</v>
      </c>
      <c r="B425" s="40" t="s">
        <v>1959</v>
      </c>
      <c r="C425" s="122"/>
      <c r="D425" s="122"/>
      <c r="E425" s="122"/>
      <c r="F425" s="122"/>
      <c r="G425" s="122"/>
      <c r="H425" s="140" t="e">
        <f>VLOOKUP(V425,Data!$B:$E,3,FALSE)</f>
        <v>#N/A</v>
      </c>
      <c r="I425" s="141" t="e">
        <f>VLOOKUP(W425,Data!$B:$E,3,FALSE)</f>
        <v>#N/A</v>
      </c>
      <c r="O425" s="53" t="s">
        <v>1960</v>
      </c>
      <c r="P425" s="40" t="s">
        <v>1959</v>
      </c>
      <c r="Q425" s="61"/>
      <c r="R425" s="61"/>
      <c r="S425" s="61"/>
      <c r="T425" s="61"/>
      <c r="U425" s="61"/>
      <c r="V425" s="80" t="s">
        <v>1961</v>
      </c>
      <c r="W425" s="57" t="s">
        <v>1962</v>
      </c>
    </row>
    <row r="426">
      <c r="A426" s="35" t="str">
        <f>Translation!A433</f>
        <v>TOTAL DA ÁREAS UTILIZADAS ( M2 )</v>
      </c>
      <c r="B426" s="40" t="s">
        <v>1963</v>
      </c>
      <c r="C426" s="141" t="e">
        <f>VLOOKUP(Q426,Data!$B:$E,3,FALSE)</f>
        <v>#N/A</v>
      </c>
      <c r="D426" s="141" t="e">
        <f>VLOOKUP(R426,Data!$B:$E,3,FALSE)</f>
        <v>#N/A</v>
      </c>
      <c r="E426" s="141" t="e">
        <f>VLOOKUP(S426,Data!$B:$E,3,FALSE)</f>
        <v>#N/A</v>
      </c>
      <c r="F426" s="141" t="e">
        <f>VLOOKUP(T426,Data!$B:$E,3,FALSE)</f>
        <v>#N/A</v>
      </c>
      <c r="G426" s="141" t="e">
        <f>VLOOKUP(U426,Data!$B:$E,3,FALSE)</f>
        <v>#N/A</v>
      </c>
      <c r="H426" s="141" t="e">
        <f>VLOOKUP(V426,Data!$B:$E,3,FALSE)</f>
        <v>#N/A</v>
      </c>
      <c r="I426" s="141" t="e">
        <f>VLOOKUP(W426,Data!$B:$E,3,FALSE)</f>
        <v>#N/A</v>
      </c>
      <c r="O426" s="54" t="s">
        <v>1964</v>
      </c>
      <c r="P426" s="40" t="s">
        <v>1963</v>
      </c>
      <c r="Q426" s="57" t="s">
        <v>1965</v>
      </c>
      <c r="R426" s="57" t="s">
        <v>1966</v>
      </c>
      <c r="S426" s="57" t="s">
        <v>1967</v>
      </c>
      <c r="T426" s="57" t="s">
        <v>1968</v>
      </c>
      <c r="U426" s="57" t="s">
        <v>1969</v>
      </c>
      <c r="V426" s="57" t="s">
        <v>1970</v>
      </c>
      <c r="W426" s="57" t="s">
        <v>1971</v>
      </c>
    </row>
    <row r="427">
      <c r="A427" s="71" t="str">
        <f>Translation!A7</f>
        <v>BALANÇO</v>
      </c>
      <c r="B427" s="82"/>
      <c r="C427" s="102"/>
      <c r="D427" s="102"/>
      <c r="E427" s="102"/>
      <c r="F427" s="102"/>
      <c r="G427" s="103"/>
      <c r="H427" s="104"/>
      <c r="I427" s="104"/>
      <c r="O427" s="71" t="s">
        <v>1972</v>
      </c>
      <c r="P427" s="82"/>
      <c r="Q427" s="89"/>
      <c r="R427" s="89"/>
      <c r="S427" s="89"/>
      <c r="T427" s="89"/>
      <c r="U427" s="90"/>
      <c r="V427" s="91"/>
      <c r="W427" s="91"/>
    </row>
    <row r="428">
      <c r="A428" s="30" t="str">
        <f>Translation!A435</f>
        <v>ATIVO</v>
      </c>
      <c r="B428" s="40" t="str">
        <f>Translation!$G$32</f>
        <v>CONTA</v>
      </c>
      <c r="C428" s="74" t="str">
        <f>Translation!$G$1</f>
        <v>VALOR</v>
      </c>
      <c r="D428" s="113"/>
      <c r="E428" s="113"/>
      <c r="F428" s="113"/>
      <c r="G428" s="113"/>
      <c r="H428" s="113"/>
      <c r="I428" s="113"/>
      <c r="O428" s="27" t="s">
        <v>1973</v>
      </c>
      <c r="P428" s="40" t="str">
        <f>Translation!$G$32</f>
        <v>CONTA</v>
      </c>
      <c r="Q428" s="79" t="str">
        <f>Translation!$G$1</f>
        <v>VALOR</v>
      </c>
      <c r="R428" s="84"/>
      <c r="S428" s="84"/>
      <c r="T428" s="84"/>
      <c r="U428" s="84"/>
      <c r="V428" s="84"/>
      <c r="W428" s="84"/>
    </row>
    <row r="429">
      <c r="A429" s="26" t="str">
        <f>Translation!A436</f>
        <v>CAIXA</v>
      </c>
      <c r="B429" s="40" t="s">
        <v>1974</v>
      </c>
      <c r="C429" s="140" t="e">
        <f>VLOOKUP(Q429,Data!$B:$E,3,FALSE)</f>
        <v>#N/A</v>
      </c>
      <c r="D429" s="114"/>
      <c r="E429" s="114"/>
      <c r="F429" s="114"/>
      <c r="G429" s="114"/>
      <c r="H429" s="113"/>
      <c r="I429" s="113"/>
      <c r="O429" s="29" t="s">
        <v>1975</v>
      </c>
      <c r="P429" s="40" t="s">
        <v>1974</v>
      </c>
      <c r="Q429" s="80" t="s">
        <v>1976</v>
      </c>
      <c r="R429" s="83"/>
      <c r="S429" s="83"/>
      <c r="T429" s="83"/>
      <c r="U429" s="83"/>
      <c r="V429" s="84"/>
      <c r="W429" s="84"/>
    </row>
    <row r="430">
      <c r="A430" s="26" t="str">
        <f>Translation!A437</f>
        <v>BANCOS</v>
      </c>
      <c r="B430" s="40" t="s">
        <v>1977</v>
      </c>
      <c r="C430" s="140" t="e">
        <f>VLOOKUP(Q430,Data!$B:$E,3,FALSE)</f>
        <v>#N/A</v>
      </c>
      <c r="D430" s="114"/>
      <c r="E430" s="114"/>
      <c r="F430" s="114"/>
      <c r="G430" s="114"/>
      <c r="H430" s="113"/>
      <c r="I430" s="113"/>
      <c r="O430" s="29" t="s">
        <v>1978</v>
      </c>
      <c r="P430" s="40" t="s">
        <v>1977</v>
      </c>
      <c r="Q430" s="80" t="s">
        <v>1979</v>
      </c>
      <c r="R430" s="83"/>
      <c r="S430" s="83"/>
      <c r="T430" s="83"/>
      <c r="U430" s="83"/>
      <c r="V430" s="84"/>
      <c r="W430" s="84"/>
    </row>
    <row r="431">
      <c r="A431" s="26" t="str">
        <f>Translation!A438</f>
        <v>CONTA CORRENTE</v>
      </c>
      <c r="B431" s="40" t="s">
        <v>1980</v>
      </c>
      <c r="C431" s="140" t="e">
        <f>VLOOKUP(Q431,Data!$B:$E,3,FALSE)</f>
        <v>#N/A</v>
      </c>
      <c r="D431" s="114"/>
      <c r="E431" s="114"/>
      <c r="F431" s="114"/>
      <c r="G431" s="114"/>
      <c r="H431" s="113"/>
      <c r="I431" s="113"/>
      <c r="O431" s="29" t="s">
        <v>1981</v>
      </c>
      <c r="P431" s="40" t="s">
        <v>1980</v>
      </c>
      <c r="Q431" s="80" t="s">
        <v>1982</v>
      </c>
      <c r="R431" s="83"/>
      <c r="S431" s="83"/>
      <c r="T431" s="83"/>
      <c r="U431" s="83"/>
      <c r="V431" s="84"/>
      <c r="W431" s="84"/>
    </row>
    <row r="432">
      <c r="A432" s="33" t="str">
        <f>Translation!A439</f>
        <v>INVESTIMENTOS / APLICAÇÕES</v>
      </c>
      <c r="B432" s="40" t="s">
        <v>1983</v>
      </c>
      <c r="C432" s="140" t="e">
        <f>VLOOKUP(Q432,Data!$B:$E,3,FALSE)</f>
        <v>#N/A</v>
      </c>
      <c r="D432" s="118"/>
      <c r="E432" s="118"/>
      <c r="F432" s="117"/>
      <c r="G432" s="117"/>
      <c r="H432" s="113"/>
      <c r="I432" s="113"/>
      <c r="O432" s="52" t="s">
        <v>1984</v>
      </c>
      <c r="P432" s="40" t="s">
        <v>1983</v>
      </c>
      <c r="Q432" s="80" t="s">
        <v>1985</v>
      </c>
      <c r="R432" s="88"/>
      <c r="S432" s="88"/>
      <c r="T432" s="87"/>
      <c r="U432" s="87"/>
      <c r="V432" s="84"/>
      <c r="W432" s="84"/>
    </row>
    <row r="433">
      <c r="A433" s="31" t="str">
        <f>Translation!A440</f>
        <v>TOTAL DE CAIXA E BANCOS</v>
      </c>
      <c r="B433" s="40" t="s">
        <v>1986</v>
      </c>
      <c r="C433" s="141" t="e">
        <f>VLOOKUP(Q433,Data!$B:$E,3,FALSE)</f>
        <v>#N/A</v>
      </c>
      <c r="D433" s="118"/>
      <c r="E433" s="118"/>
      <c r="F433" s="117"/>
      <c r="G433" s="117"/>
      <c r="H433" s="113"/>
      <c r="I433" s="113"/>
      <c r="O433" s="48" t="s">
        <v>1987</v>
      </c>
      <c r="P433" s="40" t="s">
        <v>1986</v>
      </c>
      <c r="Q433" s="57" t="s">
        <v>1988</v>
      </c>
      <c r="R433" s="88"/>
      <c r="S433" s="88"/>
      <c r="T433" s="87"/>
      <c r="U433" s="87"/>
      <c r="V433" s="84"/>
      <c r="W433" s="84"/>
    </row>
    <row r="434">
      <c r="A434" s="26" t="str">
        <f>Translation!A441</f>
        <v>DUPLICATAS A RECEBER</v>
      </c>
      <c r="B434" s="40" t="s">
        <v>1989</v>
      </c>
      <c r="C434" s="140" t="e">
        <f>VLOOKUP(Q434,Data!$B:$E,3,FALSE)</f>
        <v>#N/A</v>
      </c>
      <c r="D434" s="113"/>
      <c r="E434" s="113"/>
      <c r="F434" s="113"/>
      <c r="G434" s="113"/>
      <c r="H434" s="113"/>
      <c r="I434" s="113"/>
      <c r="O434" s="29" t="s">
        <v>1990</v>
      </c>
      <c r="P434" s="40" t="s">
        <v>1989</v>
      </c>
      <c r="Q434" s="80" t="s">
        <v>1991</v>
      </c>
      <c r="R434" s="84"/>
      <c r="S434" s="84"/>
      <c r="T434" s="84"/>
      <c r="U434" s="84"/>
      <c r="V434" s="84"/>
      <c r="W434" s="84"/>
    </row>
    <row r="435">
      <c r="A435" s="26" t="str">
        <f>Translation!A442</f>
        <v>CHEQUES EM COBRANÇA</v>
      </c>
      <c r="B435" s="40" t="s">
        <v>1992</v>
      </c>
      <c r="C435" s="140" t="e">
        <f>VLOOKUP(Q435,Data!$B:$E,3,FALSE)</f>
        <v>#N/A</v>
      </c>
      <c r="D435" s="113"/>
      <c r="E435" s="113"/>
      <c r="F435" s="113"/>
      <c r="G435" s="113"/>
      <c r="H435" s="113"/>
      <c r="I435" s="113"/>
      <c r="O435" s="29" t="s">
        <v>1993</v>
      </c>
      <c r="P435" s="40" t="s">
        <v>1992</v>
      </c>
      <c r="Q435" s="80" t="s">
        <v>1994</v>
      </c>
      <c r="R435" s="84"/>
      <c r="S435" s="84"/>
      <c r="T435" s="84"/>
      <c r="U435" s="84"/>
      <c r="V435" s="84"/>
      <c r="W435" s="84"/>
    </row>
    <row r="436">
      <c r="A436" s="26" t="str">
        <f>Translation!A443</f>
        <v>CLIENTES DIVERSOS</v>
      </c>
      <c r="B436" s="40" t="s">
        <v>1995</v>
      </c>
      <c r="C436" s="140" t="e">
        <f>VLOOKUP(Q436,Data!$B:$E,3,FALSE)</f>
        <v>#N/A</v>
      </c>
      <c r="D436" s="113"/>
      <c r="E436" s="113"/>
      <c r="F436" s="113"/>
      <c r="G436" s="113"/>
      <c r="H436" s="113"/>
      <c r="I436" s="113"/>
      <c r="O436" s="29" t="s">
        <v>1996</v>
      </c>
      <c r="P436" s="40" t="s">
        <v>1995</v>
      </c>
      <c r="Q436" s="80" t="s">
        <v>1997</v>
      </c>
      <c r="R436" s="84"/>
      <c r="S436" s="84"/>
      <c r="T436" s="84"/>
      <c r="U436" s="84"/>
      <c r="V436" s="84"/>
      <c r="W436" s="84"/>
    </row>
    <row r="437">
      <c r="A437" s="26" t="str">
        <f>Translation!A444</f>
        <v>CARTÕES DE CRÉDITO</v>
      </c>
      <c r="B437" s="40" t="s">
        <v>1998</v>
      </c>
      <c r="C437" s="140" t="e">
        <f>VLOOKUP(Q437,Data!$B:$E,3,FALSE)</f>
        <v>#N/A</v>
      </c>
      <c r="D437" s="113"/>
      <c r="E437" s="113"/>
      <c r="F437" s="113"/>
      <c r="G437" s="113"/>
      <c r="H437" s="113"/>
      <c r="I437" s="113"/>
      <c r="O437" s="29" t="s">
        <v>1999</v>
      </c>
      <c r="P437" s="40" t="s">
        <v>1998</v>
      </c>
      <c r="Q437" s="80" t="s">
        <v>2000</v>
      </c>
      <c r="R437" s="84"/>
      <c r="S437" s="84"/>
      <c r="T437" s="84"/>
      <c r="U437" s="84"/>
      <c r="V437" s="84"/>
      <c r="W437" s="84"/>
    </row>
    <row r="438">
      <c r="A438" s="26" t="str">
        <f>Translation!A445</f>
        <v>CHEQUES PRÉ-DATADOS</v>
      </c>
      <c r="B438" s="40" t="s">
        <v>2001</v>
      </c>
      <c r="C438" s="140" t="e">
        <f>VLOOKUP(Q438,Data!$B:$E,3,FALSE)</f>
        <v>#N/A</v>
      </c>
      <c r="D438" s="114"/>
      <c r="E438" s="114"/>
      <c r="F438" s="114"/>
      <c r="G438" s="114"/>
      <c r="H438" s="113"/>
      <c r="I438" s="113"/>
      <c r="O438" s="29" t="s">
        <v>2002</v>
      </c>
      <c r="P438" s="40" t="s">
        <v>2001</v>
      </c>
      <c r="Q438" s="80" t="s">
        <v>2003</v>
      </c>
      <c r="R438" s="83"/>
      <c r="S438" s="83"/>
      <c r="T438" s="83"/>
      <c r="U438" s="83"/>
      <c r="V438" s="84"/>
      <c r="W438" s="84"/>
    </row>
    <row r="439">
      <c r="A439" s="26" t="str">
        <f>Translation!A446</f>
        <v>PROVISÃO PARA DEVEDORES DUVIDOSOS (-)</v>
      </c>
      <c r="B439" s="40" t="s">
        <v>2004</v>
      </c>
      <c r="C439" s="140" t="e">
        <f>VLOOKUP(Q439,Data!$B:$E,3,FALSE)</f>
        <v>#N/A</v>
      </c>
      <c r="D439" s="114"/>
      <c r="E439" s="114"/>
      <c r="F439" s="114"/>
      <c r="G439" s="114"/>
      <c r="H439" s="113"/>
      <c r="I439" s="113"/>
      <c r="O439" s="29" t="s">
        <v>2005</v>
      </c>
      <c r="P439" s="40" t="s">
        <v>2004</v>
      </c>
      <c r="Q439" s="80" t="s">
        <v>2006</v>
      </c>
      <c r="R439" s="83"/>
      <c r="S439" s="83"/>
      <c r="T439" s="83"/>
      <c r="U439" s="83"/>
      <c r="V439" s="84"/>
      <c r="W439" s="84"/>
    </row>
    <row r="440">
      <c r="A440" s="33" t="str">
        <f>Translation!A447</f>
        <v>DUPLICATAS / CHEQUES DESCONTADOS (-)</v>
      </c>
      <c r="B440" s="40" t="s">
        <v>2007</v>
      </c>
      <c r="C440" s="140" t="e">
        <f>VLOOKUP(Q440,Data!$B:$E,3,FALSE)</f>
        <v>#N/A</v>
      </c>
      <c r="D440" s="118"/>
      <c r="E440" s="118"/>
      <c r="F440" s="117"/>
      <c r="G440" s="117"/>
      <c r="H440" s="113"/>
      <c r="I440" s="113"/>
      <c r="O440" s="52" t="s">
        <v>2008</v>
      </c>
      <c r="P440" s="40" t="s">
        <v>2007</v>
      </c>
      <c r="Q440" s="80" t="s">
        <v>2009</v>
      </c>
      <c r="R440" s="88"/>
      <c r="S440" s="88"/>
      <c r="T440" s="87"/>
      <c r="U440" s="87"/>
      <c r="V440" s="84"/>
      <c r="W440" s="84"/>
    </row>
    <row r="441">
      <c r="A441" s="31" t="str">
        <f>Translation!A448</f>
        <v>TOTAL DE CONTAS A RECEBER</v>
      </c>
      <c r="B441" s="40" t="s">
        <v>2010</v>
      </c>
      <c r="C441" s="141" t="e">
        <f>VLOOKUP(Q441,Data!$B:$E,3,FALSE)</f>
        <v>#N/A</v>
      </c>
      <c r="D441" s="118"/>
      <c r="E441" s="118"/>
      <c r="F441" s="117"/>
      <c r="G441" s="117"/>
      <c r="H441" s="113"/>
      <c r="I441" s="113"/>
      <c r="O441" s="48" t="s">
        <v>2011</v>
      </c>
      <c r="P441" s="40" t="s">
        <v>2010</v>
      </c>
      <c r="Q441" s="57" t="s">
        <v>2012</v>
      </c>
      <c r="R441" s="88"/>
      <c r="S441" s="88"/>
      <c r="T441" s="87"/>
      <c r="U441" s="87"/>
      <c r="V441" s="84"/>
      <c r="W441" s="84"/>
    </row>
    <row r="442">
      <c r="A442" s="26" t="str">
        <f>Translation!A449</f>
        <v>ADIANTAMENTOS A FORNECEDORES</v>
      </c>
      <c r="B442" s="40" t="s">
        <v>2013</v>
      </c>
      <c r="C442" s="140" t="e">
        <f>VLOOKUP(Q442,Data!$B:$E,3,FALSE)</f>
        <v>#N/A</v>
      </c>
      <c r="D442" s="113"/>
      <c r="E442" s="113"/>
      <c r="F442" s="113"/>
      <c r="G442" s="113"/>
      <c r="H442" s="113"/>
      <c r="I442" s="113"/>
      <c r="O442" s="29" t="s">
        <v>2014</v>
      </c>
      <c r="P442" s="40" t="s">
        <v>2013</v>
      </c>
      <c r="Q442" s="80" t="s">
        <v>2015</v>
      </c>
      <c r="R442" s="84"/>
      <c r="S442" s="84"/>
      <c r="T442" s="84"/>
      <c r="U442" s="84"/>
      <c r="V442" s="84"/>
      <c r="W442" s="84"/>
    </row>
    <row r="443">
      <c r="A443" s="26" t="str">
        <f>Translation!A450</f>
        <v>IMPOSTOS A RECUPERAR</v>
      </c>
      <c r="B443" s="40" t="s">
        <v>2016</v>
      </c>
      <c r="C443" s="140" t="e">
        <f>VLOOKUP(Q443,Data!$B:$E,3,FALSE)</f>
        <v>#N/A</v>
      </c>
      <c r="D443" s="118"/>
      <c r="E443" s="118"/>
      <c r="F443" s="117"/>
      <c r="G443" s="117"/>
      <c r="H443" s="113"/>
      <c r="I443" s="113"/>
      <c r="O443" s="29" t="s">
        <v>2017</v>
      </c>
      <c r="P443" s="40" t="s">
        <v>2016</v>
      </c>
      <c r="Q443" s="80" t="s">
        <v>2018</v>
      </c>
      <c r="R443" s="88"/>
      <c r="S443" s="88"/>
      <c r="T443" s="87"/>
      <c r="U443" s="87"/>
      <c r="V443" s="84"/>
      <c r="W443" s="84"/>
    </row>
    <row r="444">
      <c r="A444" s="26" t="str">
        <f>Translation!A451</f>
        <v>DESPESAS ANTECIPADAS</v>
      </c>
      <c r="B444" s="40" t="s">
        <v>2019</v>
      </c>
      <c r="C444" s="140" t="e">
        <f>VLOOKUP(Q444,Data!$B:$E,3,FALSE)</f>
        <v>#N/A</v>
      </c>
      <c r="D444" s="114"/>
      <c r="E444" s="114"/>
      <c r="F444" s="114"/>
      <c r="G444" s="114"/>
      <c r="H444" s="113"/>
      <c r="I444" s="113"/>
      <c r="O444" s="29" t="s">
        <v>2020</v>
      </c>
      <c r="P444" s="40" t="s">
        <v>2019</v>
      </c>
      <c r="Q444" s="80" t="s">
        <v>2021</v>
      </c>
      <c r="R444" s="83"/>
      <c r="S444" s="83"/>
      <c r="T444" s="83"/>
      <c r="U444" s="83"/>
      <c r="V444" s="84"/>
      <c r="W444" s="84"/>
    </row>
    <row r="445">
      <c r="A445" s="26" t="str">
        <f>Translation!A452</f>
        <v>OUTRAS CONTAS A RECEBER</v>
      </c>
      <c r="B445" s="40" t="s">
        <v>2022</v>
      </c>
      <c r="C445" s="140" t="e">
        <f>VLOOKUP(Q445,Data!$B:$E,3,FALSE)</f>
        <v>#N/A</v>
      </c>
      <c r="D445" s="114"/>
      <c r="E445" s="114"/>
      <c r="F445" s="114"/>
      <c r="G445" s="114"/>
      <c r="H445" s="113"/>
      <c r="I445" s="113"/>
      <c r="O445" s="29" t="s">
        <v>2023</v>
      </c>
      <c r="P445" s="40" t="s">
        <v>2022</v>
      </c>
      <c r="Q445" s="80" t="s">
        <v>2024</v>
      </c>
      <c r="R445" s="83"/>
      <c r="S445" s="83"/>
      <c r="T445" s="83"/>
      <c r="U445" s="83"/>
      <c r="V445" s="84"/>
      <c r="W445" s="84"/>
    </row>
    <row r="446">
      <c r="A446" s="31" t="str">
        <f>Translation!A453</f>
        <v>TOTAL DO ATIVO CIRCULANTE</v>
      </c>
      <c r="B446" s="40" t="s">
        <v>2025</v>
      </c>
      <c r="C446" s="141" t="e">
        <f>VLOOKUP(Q446,Data!$B:$E,3,FALSE)</f>
        <v>#N/A</v>
      </c>
      <c r="D446" s="115"/>
      <c r="E446" s="115"/>
      <c r="F446" s="115"/>
      <c r="G446" s="116"/>
      <c r="H446" s="115"/>
      <c r="I446" s="115"/>
      <c r="O446" s="48" t="s">
        <v>2026</v>
      </c>
      <c r="P446" s="40" t="s">
        <v>2025</v>
      </c>
      <c r="Q446" s="57" t="s">
        <v>2027</v>
      </c>
      <c r="R446" s="85"/>
      <c r="S446" s="85"/>
      <c r="T446" s="85"/>
      <c r="U446" s="86"/>
      <c r="V446" s="85"/>
      <c r="W446" s="85"/>
    </row>
    <row r="447">
      <c r="A447" s="27" t="str">
        <f>Translation!A454</f>
        <v>ESTOQUES (PRÓPRIOS, NÃO CONSIGNADOS)</v>
      </c>
      <c r="B447" s="40" t="str">
        <f>Translation!$G$32</f>
        <v>CONTA</v>
      </c>
      <c r="C447" s="74" t="str">
        <f>Translation!$G$1</f>
        <v>VALOR</v>
      </c>
      <c r="D447" s="114"/>
      <c r="E447" s="114"/>
      <c r="F447" s="114"/>
      <c r="G447" s="114"/>
      <c r="H447" s="113"/>
      <c r="I447" s="113"/>
      <c r="O447" s="27" t="s">
        <v>2028</v>
      </c>
      <c r="P447" s="40" t="str">
        <f>Translation!$G$32</f>
        <v>CONTA</v>
      </c>
      <c r="Q447" s="79" t="str">
        <f>Translation!$G$1</f>
        <v>VALOR</v>
      </c>
      <c r="R447" s="83"/>
      <c r="S447" s="83"/>
      <c r="T447" s="83"/>
      <c r="U447" s="83"/>
      <c r="V447" s="84"/>
      <c r="W447" s="84"/>
    </row>
    <row r="448">
      <c r="A448" s="26" t="str">
        <f>Translation!A455</f>
        <v>VEÍCULOS NOVOS</v>
      </c>
      <c r="B448" s="40" t="s">
        <v>2029</v>
      </c>
      <c r="C448" s="140" t="e">
        <f>VLOOKUP(Q448,Data!$B:$E,3,FALSE)</f>
        <v>#N/A</v>
      </c>
      <c r="D448" s="114"/>
      <c r="E448" s="114"/>
      <c r="F448" s="114"/>
      <c r="G448" s="114"/>
      <c r="H448" s="113"/>
      <c r="I448" s="113"/>
      <c r="O448" s="29" t="s">
        <v>2030</v>
      </c>
      <c r="P448" s="40" t="s">
        <v>2029</v>
      </c>
      <c r="Q448" s="80" t="s">
        <v>2031</v>
      </c>
      <c r="R448" s="83"/>
      <c r="S448" s="83"/>
      <c r="T448" s="83"/>
      <c r="U448" s="83"/>
      <c r="V448" s="84"/>
      <c r="W448" s="84"/>
    </row>
    <row r="449">
      <c r="A449" s="26" t="str">
        <f>Translation!A456</f>
        <v>VEÍCULOS USADOS</v>
      </c>
      <c r="B449" s="40" t="s">
        <v>2032</v>
      </c>
      <c r="C449" s="140" t="e">
        <f>VLOOKUP(Q449,Data!$B:$E,3,FALSE)</f>
        <v>#N/A</v>
      </c>
      <c r="D449" s="114"/>
      <c r="E449" s="114"/>
      <c r="F449" s="114"/>
      <c r="G449" s="114"/>
      <c r="H449" s="113"/>
      <c r="I449" s="113"/>
      <c r="O449" s="29" t="s">
        <v>2033</v>
      </c>
      <c r="P449" s="40" t="s">
        <v>2032</v>
      </c>
      <c r="Q449" s="80" t="s">
        <v>2034</v>
      </c>
      <c r="R449" s="83"/>
      <c r="S449" s="83"/>
      <c r="T449" s="83"/>
      <c r="U449" s="83"/>
      <c r="V449" s="84"/>
      <c r="W449" s="84"/>
    </row>
    <row r="450">
      <c r="A450" s="26" t="str">
        <f>Translation!A457</f>
        <v>PEÇAS E ACESSÓRIOS</v>
      </c>
      <c r="B450" s="40" t="s">
        <v>2035</v>
      </c>
      <c r="C450" s="140" t="e">
        <f>VLOOKUP(Q450,Data!$B:$E,3,FALSE)</f>
        <v>#N/A</v>
      </c>
      <c r="D450" s="118"/>
      <c r="E450" s="118"/>
      <c r="F450" s="117"/>
      <c r="G450" s="117"/>
      <c r="H450" s="113"/>
      <c r="I450" s="113"/>
      <c r="O450" s="29" t="s">
        <v>2036</v>
      </c>
      <c r="P450" s="40" t="s">
        <v>2035</v>
      </c>
      <c r="Q450" s="80" t="s">
        <v>2037</v>
      </c>
      <c r="R450" s="88"/>
      <c r="S450" s="88"/>
      <c r="T450" s="87"/>
      <c r="U450" s="87"/>
      <c r="V450" s="84"/>
      <c r="W450" s="84"/>
    </row>
    <row r="451">
      <c r="A451" s="26" t="str">
        <f>Translation!A458</f>
        <v>OUTROS ESTOQUES</v>
      </c>
      <c r="B451" s="40" t="s">
        <v>2038</v>
      </c>
      <c r="C451" s="140" t="e">
        <f>VLOOKUP(Q451,Data!$B:$E,3,FALSE)</f>
        <v>#N/A</v>
      </c>
      <c r="D451" s="118"/>
      <c r="E451" s="118"/>
      <c r="F451" s="117"/>
      <c r="G451" s="117"/>
      <c r="H451" s="113"/>
      <c r="I451" s="113"/>
      <c r="O451" s="29" t="s">
        <v>2039</v>
      </c>
      <c r="P451" s="40" t="s">
        <v>2038</v>
      </c>
      <c r="Q451" s="80" t="s">
        <v>2040</v>
      </c>
      <c r="R451" s="88"/>
      <c r="S451" s="88"/>
      <c r="T451" s="87"/>
      <c r="U451" s="87"/>
      <c r="V451" s="84"/>
      <c r="W451" s="84"/>
    </row>
    <row r="452">
      <c r="A452" s="31" t="str">
        <f>Translation!A459</f>
        <v>TOTAL DO ESTOQUE</v>
      </c>
      <c r="B452" s="40" t="s">
        <v>2041</v>
      </c>
      <c r="C452" s="141" t="e">
        <f>VLOOKUP(Q452,Data!$B:$E,3,FALSE)</f>
        <v>#N/A</v>
      </c>
      <c r="D452" s="113"/>
      <c r="E452" s="113"/>
      <c r="F452" s="113"/>
      <c r="G452" s="113"/>
      <c r="H452" s="113"/>
      <c r="I452" s="113"/>
      <c r="O452" s="48" t="s">
        <v>2042</v>
      </c>
      <c r="P452" s="40" t="s">
        <v>2041</v>
      </c>
      <c r="Q452" s="57" t="s">
        <v>2043</v>
      </c>
      <c r="R452" s="84"/>
      <c r="S452" s="84"/>
      <c r="T452" s="84"/>
      <c r="U452" s="84"/>
      <c r="V452" s="84"/>
      <c r="W452" s="84"/>
    </row>
    <row r="453">
      <c r="A453" s="27" t="str">
        <f>Translation!A460</f>
        <v>REALIZÁVEL A LONGO PRAZO</v>
      </c>
      <c r="B453" s="40" t="str">
        <f>Translation!$G$32</f>
        <v>CONTA</v>
      </c>
      <c r="C453" s="74" t="str">
        <f>Translation!$G$1</f>
        <v>VALOR</v>
      </c>
      <c r="D453" s="113"/>
      <c r="E453" s="113"/>
      <c r="F453" s="113"/>
      <c r="G453" s="113"/>
      <c r="H453" s="113"/>
      <c r="I453" s="113"/>
      <c r="O453" s="27" t="s">
        <v>2044</v>
      </c>
      <c r="P453" s="40" t="str">
        <f>Translation!$G$32</f>
        <v>CONTA</v>
      </c>
      <c r="Q453" s="79" t="str">
        <f>Translation!$G$1</f>
        <v>VALOR</v>
      </c>
      <c r="R453" s="84"/>
      <c r="S453" s="84"/>
      <c r="T453" s="84"/>
      <c r="U453" s="84"/>
      <c r="V453" s="84"/>
      <c r="W453" s="84"/>
    </row>
    <row r="454">
      <c r="A454" s="26" t="str">
        <f>Translation!A461</f>
        <v>EMPRÉSTIMOS / MÚTUOS COM SÓCIOS</v>
      </c>
      <c r="B454" s="40" t="s">
        <v>2045</v>
      </c>
      <c r="C454" s="140" t="e">
        <f>VLOOKUP(Q454,Data!$B:$E,3,FALSE)</f>
        <v>#N/A</v>
      </c>
      <c r="D454" s="115"/>
      <c r="E454" s="115"/>
      <c r="F454" s="115"/>
      <c r="G454" s="116"/>
      <c r="H454" s="115"/>
      <c r="I454" s="115"/>
      <c r="O454" s="29" t="s">
        <v>2046</v>
      </c>
      <c r="P454" s="40" t="s">
        <v>2045</v>
      </c>
      <c r="Q454" s="80" t="s">
        <v>2047</v>
      </c>
      <c r="R454" s="85"/>
      <c r="S454" s="85"/>
      <c r="T454" s="85"/>
      <c r="U454" s="86"/>
      <c r="V454" s="85"/>
      <c r="W454" s="85"/>
    </row>
    <row r="455">
      <c r="A455" s="26" t="str">
        <f>Translation!A462</f>
        <v>CONTAS A RECEBER DE COLIGADAS</v>
      </c>
      <c r="B455" s="40" t="s">
        <v>2048</v>
      </c>
      <c r="C455" s="140" t="e">
        <f>VLOOKUP(Q455,Data!$B:$E,3,FALSE)</f>
        <v>#N/A</v>
      </c>
      <c r="D455" s="114"/>
      <c r="E455" s="114"/>
      <c r="F455" s="114"/>
      <c r="G455" s="114"/>
      <c r="H455" s="113"/>
      <c r="I455" s="113"/>
      <c r="O455" s="29" t="s">
        <v>2049</v>
      </c>
      <c r="P455" s="40" t="s">
        <v>2048</v>
      </c>
      <c r="Q455" s="80" t="s">
        <v>2050</v>
      </c>
      <c r="R455" s="83"/>
      <c r="S455" s="83"/>
      <c r="T455" s="83"/>
      <c r="U455" s="83"/>
      <c r="V455" s="84"/>
      <c r="W455" s="84"/>
    </row>
    <row r="456">
      <c r="A456" s="26" t="str">
        <f>Translation!A463</f>
        <v>DEPÓSITOS JUDICIAIS</v>
      </c>
      <c r="B456" s="40" t="s">
        <v>2051</v>
      </c>
      <c r="C456" s="140" t="e">
        <f>VLOOKUP(Q456,Data!$B:$E,3,FALSE)</f>
        <v>#N/A</v>
      </c>
      <c r="D456" s="114"/>
      <c r="E456" s="114"/>
      <c r="F456" s="114"/>
      <c r="G456" s="114"/>
      <c r="H456" s="113"/>
      <c r="I456" s="113"/>
      <c r="O456" s="29" t="s">
        <v>2052</v>
      </c>
      <c r="P456" s="40" t="s">
        <v>2051</v>
      </c>
      <c r="Q456" s="80" t="s">
        <v>2053</v>
      </c>
      <c r="R456" s="83"/>
      <c r="S456" s="83"/>
      <c r="T456" s="83"/>
      <c r="U456" s="83"/>
      <c r="V456" s="84"/>
      <c r="W456" s="84"/>
    </row>
    <row r="457">
      <c r="A457" s="26" t="str">
        <f>Translation!A464</f>
        <v>TRANSFERÊNCIAS ENTRE MATRIZ E FILIAIS</v>
      </c>
      <c r="B457" s="40" t="s">
        <v>2054</v>
      </c>
      <c r="C457" s="140" t="e">
        <f>VLOOKUP(Q457,Data!$B:$E,3,FALSE)</f>
        <v>#N/A</v>
      </c>
      <c r="D457" s="114"/>
      <c r="E457" s="114"/>
      <c r="F457" s="114"/>
      <c r="G457" s="114"/>
      <c r="H457" s="113"/>
      <c r="I457" s="113"/>
      <c r="O457" s="29" t="s">
        <v>2055</v>
      </c>
      <c r="P457" s="40" t="s">
        <v>2054</v>
      </c>
      <c r="Q457" s="80" t="s">
        <v>2056</v>
      </c>
      <c r="R457" s="83"/>
      <c r="S457" s="83"/>
      <c r="T457" s="83"/>
      <c r="U457" s="83"/>
      <c r="V457" s="84"/>
      <c r="W457" s="84"/>
    </row>
    <row r="458">
      <c r="A458" s="26" t="str">
        <f>Translation!A465</f>
        <v>OUTROS VALORES A RECEBER</v>
      </c>
      <c r="B458" s="40" t="s">
        <v>2057</v>
      </c>
      <c r="C458" s="140" t="e">
        <f>VLOOKUP(Q458,Data!$B:$E,3,FALSE)</f>
        <v>#N/A</v>
      </c>
      <c r="D458" s="118"/>
      <c r="E458" s="118"/>
      <c r="F458" s="117"/>
      <c r="G458" s="117"/>
      <c r="H458" s="113"/>
      <c r="I458" s="113"/>
      <c r="O458" s="29" t="s">
        <v>2058</v>
      </c>
      <c r="P458" s="40" t="s">
        <v>2057</v>
      </c>
      <c r="Q458" s="80" t="s">
        <v>2059</v>
      </c>
      <c r="R458" s="88"/>
      <c r="S458" s="88"/>
      <c r="T458" s="87"/>
      <c r="U458" s="87"/>
      <c r="V458" s="84"/>
      <c r="W458" s="84"/>
    </row>
    <row r="459">
      <c r="A459" s="31" t="str">
        <f>Translation!A466</f>
        <v>TOTAL DO REALIZÁVEL A LONGO PRAZO</v>
      </c>
      <c r="B459" s="40" t="s">
        <v>2060</v>
      </c>
      <c r="C459" s="141" t="e">
        <f>VLOOKUP(Q459,Data!$B:$E,3,FALSE)</f>
        <v>#N/A</v>
      </c>
      <c r="D459" s="118"/>
      <c r="E459" s="118"/>
      <c r="F459" s="117"/>
      <c r="G459" s="117"/>
      <c r="H459" s="113"/>
      <c r="I459" s="113"/>
      <c r="O459" s="48" t="s">
        <v>2061</v>
      </c>
      <c r="P459" s="40" t="s">
        <v>2060</v>
      </c>
      <c r="Q459" s="57" t="s">
        <v>2062</v>
      </c>
      <c r="R459" s="88"/>
      <c r="S459" s="88"/>
      <c r="T459" s="87"/>
      <c r="U459" s="87"/>
      <c r="V459" s="84"/>
      <c r="W459" s="84"/>
    </row>
    <row r="460">
      <c r="A460" s="31" t="str">
        <f>Translation!A467</f>
        <v>TOTAL DO ATIVO NÃO-CIRCULANTE</v>
      </c>
      <c r="B460" s="40" t="s">
        <v>2063</v>
      </c>
      <c r="C460" s="141" t="e">
        <f>VLOOKUP(Q460,Data!$B:$E,3,FALSE)</f>
        <v>#N/A</v>
      </c>
      <c r="D460" s="113"/>
      <c r="E460" s="113"/>
      <c r="F460" s="113"/>
      <c r="G460" s="113"/>
      <c r="H460" s="113"/>
      <c r="I460" s="113"/>
      <c r="O460" s="48" t="s">
        <v>2064</v>
      </c>
      <c r="P460" s="40" t="s">
        <v>2063</v>
      </c>
      <c r="Q460" s="57" t="s">
        <v>2065</v>
      </c>
      <c r="R460" s="84"/>
      <c r="S460" s="84"/>
      <c r="T460" s="84"/>
      <c r="U460" s="84"/>
      <c r="V460" s="84"/>
      <c r="W460" s="84"/>
    </row>
    <row r="461">
      <c r="A461" s="27" t="str">
        <f>Translation!A468</f>
        <v>ATIVO PERMANENTE</v>
      </c>
      <c r="B461" s="40" t="str">
        <f>Translation!$G$32</f>
        <v>CONTA</v>
      </c>
      <c r="C461" s="74" t="str">
        <f>Translation!$G$1</f>
        <v>VALOR</v>
      </c>
      <c r="D461" s="118"/>
      <c r="E461" s="118"/>
      <c r="F461" s="117"/>
      <c r="G461" s="117"/>
      <c r="H461" s="113"/>
      <c r="I461" s="113"/>
      <c r="O461" s="27" t="s">
        <v>2066</v>
      </c>
      <c r="P461" s="40" t="str">
        <f>Translation!$G$32</f>
        <v>CONTA</v>
      </c>
      <c r="Q461" s="79" t="str">
        <f>Translation!$G$1</f>
        <v>VALOR</v>
      </c>
      <c r="R461" s="88"/>
      <c r="S461" s="88"/>
      <c r="T461" s="87"/>
      <c r="U461" s="87"/>
      <c r="V461" s="84"/>
      <c r="W461" s="84"/>
    </row>
    <row r="462">
      <c r="A462" s="26" t="str">
        <f>Translation!A469</f>
        <v>PARTIC. EM EMPR. CONTROLADAS E COLIGADAS</v>
      </c>
      <c r="B462" s="40" t="s">
        <v>2067</v>
      </c>
      <c r="C462" s="140" t="e">
        <f>VLOOKUP(Q462,Data!$B:$E,3,FALSE)</f>
        <v>#N/A</v>
      </c>
      <c r="D462" s="114"/>
      <c r="E462" s="114"/>
      <c r="F462" s="114"/>
      <c r="G462" s="114"/>
      <c r="H462" s="113"/>
      <c r="I462" s="113"/>
      <c r="O462" s="29" t="s">
        <v>2068</v>
      </c>
      <c r="P462" s="40" t="s">
        <v>2067</v>
      </c>
      <c r="Q462" s="80" t="s">
        <v>2069</v>
      </c>
      <c r="R462" s="83"/>
      <c r="S462" s="83"/>
      <c r="T462" s="83"/>
      <c r="U462" s="83"/>
      <c r="V462" s="84"/>
      <c r="W462" s="84"/>
    </row>
    <row r="463">
      <c r="A463" s="26" t="str">
        <f>Translation!A470</f>
        <v>PARTIC. INCENTIVOS FISCAIS E OUTROS</v>
      </c>
      <c r="B463" s="40" t="s">
        <v>2070</v>
      </c>
      <c r="C463" s="140" t="e">
        <f>VLOOKUP(Q463,Data!$B:$E,3,FALSE)</f>
        <v>#N/A</v>
      </c>
      <c r="D463" s="114"/>
      <c r="E463" s="114"/>
      <c r="F463" s="114"/>
      <c r="G463" s="114"/>
      <c r="H463" s="113"/>
      <c r="I463" s="113"/>
      <c r="O463" s="29" t="s">
        <v>2071</v>
      </c>
      <c r="P463" s="40" t="s">
        <v>2070</v>
      </c>
      <c r="Q463" s="80" t="s">
        <v>2072</v>
      </c>
      <c r="R463" s="83"/>
      <c r="S463" s="83"/>
      <c r="T463" s="83"/>
      <c r="U463" s="83"/>
      <c r="V463" s="84"/>
      <c r="W463" s="84"/>
    </row>
    <row r="464">
      <c r="A464" s="31" t="str">
        <f>Translation!A471</f>
        <v>TOTAL DE INVESTIMENTOS</v>
      </c>
      <c r="B464" s="40" t="s">
        <v>2073</v>
      </c>
      <c r="C464" s="141" t="e">
        <f>VLOOKUP(Q464,Data!$B:$E,3,FALSE)</f>
        <v>#N/A</v>
      </c>
      <c r="D464" s="118"/>
      <c r="E464" s="118"/>
      <c r="F464" s="117"/>
      <c r="G464" s="117"/>
      <c r="H464" s="113"/>
      <c r="I464" s="113"/>
      <c r="O464" s="48" t="s">
        <v>2074</v>
      </c>
      <c r="P464" s="40" t="s">
        <v>2073</v>
      </c>
      <c r="Q464" s="57" t="s">
        <v>2075</v>
      </c>
      <c r="R464" s="88"/>
      <c r="S464" s="88"/>
      <c r="T464" s="87"/>
      <c r="U464" s="87"/>
      <c r="V464" s="84"/>
      <c r="W464" s="84"/>
    </row>
    <row r="465">
      <c r="A465" s="26" t="str">
        <f>Translation!A472</f>
        <v>IMÓVEIS</v>
      </c>
      <c r="B465" s="40" t="s">
        <v>2076</v>
      </c>
      <c r="C465" s="140" t="e">
        <f>VLOOKUP(Q465,Data!$B:$E,3,FALSE)</f>
        <v>#N/A</v>
      </c>
      <c r="D465" s="118"/>
      <c r="E465" s="118"/>
      <c r="F465" s="117"/>
      <c r="G465" s="117"/>
      <c r="H465" s="113"/>
      <c r="I465" s="113"/>
      <c r="O465" s="29" t="s">
        <v>2077</v>
      </c>
      <c r="P465" s="40" t="s">
        <v>2076</v>
      </c>
      <c r="Q465" s="80" t="s">
        <v>2078</v>
      </c>
      <c r="R465" s="88"/>
      <c r="S465" s="88"/>
      <c r="T465" s="87"/>
      <c r="U465" s="87"/>
      <c r="V465" s="84"/>
      <c r="W465" s="84"/>
    </row>
    <row r="466">
      <c r="A466" s="26" t="str">
        <f>Translation!A473</f>
        <v>MÓVEIS E UTENSÍLIOS</v>
      </c>
      <c r="B466" s="40" t="s">
        <v>2079</v>
      </c>
      <c r="C466" s="140" t="e">
        <f>VLOOKUP(Q466,Data!$B:$E,3,FALSE)</f>
        <v>#N/A</v>
      </c>
      <c r="D466" s="113"/>
      <c r="E466" s="113"/>
      <c r="F466" s="113"/>
      <c r="G466" s="113"/>
      <c r="H466" s="113"/>
      <c r="I466" s="113"/>
      <c r="O466" s="29" t="s">
        <v>2080</v>
      </c>
      <c r="P466" s="40" t="s">
        <v>2079</v>
      </c>
      <c r="Q466" s="80" t="s">
        <v>2081</v>
      </c>
      <c r="R466" s="84"/>
      <c r="S466" s="84"/>
      <c r="T466" s="84"/>
      <c r="U466" s="84"/>
      <c r="V466" s="84"/>
      <c r="W466" s="84"/>
    </row>
    <row r="467">
      <c r="A467" s="26" t="str">
        <f>Translation!A474</f>
        <v>INSTALAÇÕES</v>
      </c>
      <c r="B467" s="40" t="s">
        <v>2082</v>
      </c>
      <c r="C467" s="140" t="e">
        <f>VLOOKUP(Q467,Data!$B:$E,3,FALSE)</f>
        <v>#N/A</v>
      </c>
      <c r="D467" s="113"/>
      <c r="E467" s="113"/>
      <c r="F467" s="113"/>
      <c r="G467" s="113"/>
      <c r="H467" s="113"/>
      <c r="I467" s="113"/>
      <c r="O467" s="29" t="s">
        <v>2083</v>
      </c>
      <c r="P467" s="40" t="s">
        <v>2082</v>
      </c>
      <c r="Q467" s="80" t="s">
        <v>2084</v>
      </c>
      <c r="R467" s="84"/>
      <c r="S467" s="84"/>
      <c r="T467" s="84"/>
      <c r="U467" s="84"/>
      <c r="V467" s="84"/>
      <c r="W467" s="84"/>
    </row>
    <row r="468">
      <c r="A468" s="26" t="str">
        <f>Translation!A475</f>
        <v>MÁQUINAS E EQUIPAMENTOS</v>
      </c>
      <c r="B468" s="40" t="s">
        <v>2085</v>
      </c>
      <c r="C468" s="140" t="e">
        <f>VLOOKUP(Q468,Data!$B:$E,3,FALSE)</f>
        <v>#N/A</v>
      </c>
      <c r="D468" s="115"/>
      <c r="E468" s="115"/>
      <c r="F468" s="115"/>
      <c r="G468" s="116"/>
      <c r="H468" s="115"/>
      <c r="I468" s="115"/>
      <c r="O468" s="29" t="s">
        <v>2086</v>
      </c>
      <c r="P468" s="40" t="s">
        <v>2085</v>
      </c>
      <c r="Q468" s="80" t="s">
        <v>2087</v>
      </c>
      <c r="R468" s="85"/>
      <c r="S468" s="85"/>
      <c r="T468" s="85"/>
      <c r="U468" s="86"/>
      <c r="V468" s="85"/>
      <c r="W468" s="85"/>
    </row>
    <row r="469">
      <c r="A469" s="26" t="str">
        <f>Translation!A476</f>
        <v>VEÍCULOS DE USO</v>
      </c>
      <c r="B469" s="40" t="s">
        <v>2088</v>
      </c>
      <c r="C469" s="140" t="e">
        <f>VLOOKUP(Q469,Data!$B:$E,3,FALSE)</f>
        <v>#N/A</v>
      </c>
      <c r="D469" s="114"/>
      <c r="E469" s="114"/>
      <c r="F469" s="114"/>
      <c r="G469" s="114"/>
      <c r="H469" s="113"/>
      <c r="I469" s="113"/>
      <c r="O469" s="29" t="s">
        <v>2089</v>
      </c>
      <c r="P469" s="40" t="s">
        <v>2088</v>
      </c>
      <c r="Q469" s="80" t="s">
        <v>2090</v>
      </c>
      <c r="R469" s="83"/>
      <c r="S469" s="83"/>
      <c r="T469" s="83"/>
      <c r="U469" s="83"/>
      <c r="V469" s="84"/>
      <c r="W469" s="84"/>
    </row>
    <row r="470">
      <c r="A470" s="26" t="str">
        <f>Translation!A477</f>
        <v>VEÍCULOS DE TEST-DRIVE</v>
      </c>
      <c r="B470" s="40" t="s">
        <v>2091</v>
      </c>
      <c r="C470" s="140" t="e">
        <f>VLOOKUP(Q470,Data!$B:$E,3,FALSE)</f>
        <v>#N/A</v>
      </c>
      <c r="D470" s="114"/>
      <c r="E470" s="114"/>
      <c r="F470" s="114"/>
      <c r="G470" s="114"/>
      <c r="H470" s="113"/>
      <c r="I470" s="113"/>
      <c r="O470" s="29" t="s">
        <v>2092</v>
      </c>
      <c r="P470" s="40" t="s">
        <v>2091</v>
      </c>
      <c r="Q470" s="80" t="s">
        <v>2093</v>
      </c>
      <c r="R470" s="83"/>
      <c r="S470" s="83"/>
      <c r="T470" s="83"/>
      <c r="U470" s="83"/>
      <c r="V470" s="84"/>
      <c r="W470" s="84"/>
    </row>
    <row r="471">
      <c r="A471" s="26" t="str">
        <f>Translation!A478</f>
        <v>OUTROS</v>
      </c>
      <c r="B471" s="40" t="s">
        <v>2094</v>
      </c>
      <c r="C471" s="140" t="e">
        <f>VLOOKUP(Q471,Data!$B:$E,3,FALSE)</f>
        <v>#N/A</v>
      </c>
      <c r="D471" s="114"/>
      <c r="E471" s="114"/>
      <c r="F471" s="114"/>
      <c r="G471" s="114"/>
      <c r="H471" s="113"/>
      <c r="I471" s="113"/>
      <c r="O471" s="29" t="s">
        <v>2095</v>
      </c>
      <c r="P471" s="40" t="s">
        <v>2094</v>
      </c>
      <c r="Q471" s="80" t="s">
        <v>2096</v>
      </c>
      <c r="R471" s="83"/>
      <c r="S471" s="83"/>
      <c r="T471" s="83"/>
      <c r="U471" s="83"/>
      <c r="V471" s="84"/>
      <c r="W471" s="84"/>
    </row>
    <row r="472">
      <c r="A472" s="26" t="str">
        <f>Translation!A479</f>
        <v>DEPRECIAÇÕES ACUMULADAS (-)</v>
      </c>
      <c r="B472" s="40" t="s">
        <v>2097</v>
      </c>
      <c r="C472" s="140" t="e">
        <f>VLOOKUP(Q472,Data!$B:$E,3,FALSE)</f>
        <v>#N/A</v>
      </c>
      <c r="D472" s="118"/>
      <c r="E472" s="118"/>
      <c r="F472" s="117"/>
      <c r="G472" s="117"/>
      <c r="H472" s="113"/>
      <c r="I472" s="113"/>
      <c r="O472" s="29" t="s">
        <v>2098</v>
      </c>
      <c r="P472" s="40" t="s">
        <v>2097</v>
      </c>
      <c r="Q472" s="80" t="s">
        <v>2099</v>
      </c>
      <c r="R472" s="88"/>
      <c r="S472" s="88"/>
      <c r="T472" s="87"/>
      <c r="U472" s="87"/>
      <c r="V472" s="84"/>
      <c r="W472" s="84"/>
    </row>
    <row r="473">
      <c r="A473" s="31" t="str">
        <f>Translation!A480</f>
        <v>TOTAL DO IMOBILIZADO</v>
      </c>
      <c r="B473" s="40" t="s">
        <v>2100</v>
      </c>
      <c r="C473" s="141" t="e">
        <f>VLOOKUP(Q473,Data!$B:$E,3,FALSE)</f>
        <v>#N/A</v>
      </c>
      <c r="D473" s="118"/>
      <c r="E473" s="118"/>
      <c r="F473" s="117"/>
      <c r="G473" s="117"/>
      <c r="H473" s="113"/>
      <c r="I473" s="113"/>
      <c r="O473" s="48" t="s">
        <v>2101</v>
      </c>
      <c r="P473" s="40" t="s">
        <v>2100</v>
      </c>
      <c r="Q473" s="57" t="s">
        <v>2102</v>
      </c>
      <c r="R473" s="88"/>
      <c r="S473" s="88"/>
      <c r="T473" s="87"/>
      <c r="U473" s="87"/>
      <c r="V473" s="84"/>
      <c r="W473" s="84"/>
    </row>
    <row r="474">
      <c r="A474" s="26" t="str">
        <f>Translation!A481</f>
        <v>PROJETOS / AMORTIZAÇÕES (-)</v>
      </c>
      <c r="B474" s="40" t="s">
        <v>2103</v>
      </c>
      <c r="C474" s="140" t="e">
        <f>VLOOKUP(Q474,Data!$B:$E,3,FALSE)</f>
        <v>#N/A</v>
      </c>
      <c r="D474" s="113"/>
      <c r="E474" s="113"/>
      <c r="F474" s="113"/>
      <c r="G474" s="113"/>
      <c r="H474" s="113"/>
      <c r="I474" s="113"/>
      <c r="O474" s="29" t="s">
        <v>2104</v>
      </c>
      <c r="P474" s="40" t="s">
        <v>2103</v>
      </c>
      <c r="Q474" s="80" t="s">
        <v>2105</v>
      </c>
      <c r="R474" s="84"/>
      <c r="S474" s="84"/>
      <c r="T474" s="84"/>
      <c r="U474" s="84"/>
      <c r="V474" s="84"/>
      <c r="W474" s="84"/>
    </row>
    <row r="475">
      <c r="A475" s="31" t="str">
        <f>Translation!A482</f>
        <v>TOTAL DO DIFERIDO</v>
      </c>
      <c r="B475" s="40" t="s">
        <v>2106</v>
      </c>
      <c r="C475" s="141" t="e">
        <f>VLOOKUP(Q475,Data!$B:$E,3,FALSE)</f>
        <v>#N/A</v>
      </c>
      <c r="D475" s="118"/>
      <c r="E475" s="118"/>
      <c r="F475" s="117"/>
      <c r="G475" s="117"/>
      <c r="H475" s="113"/>
      <c r="I475" s="113"/>
      <c r="O475" s="48" t="s">
        <v>2107</v>
      </c>
      <c r="P475" s="40" t="s">
        <v>2106</v>
      </c>
      <c r="Q475" s="57" t="s">
        <v>2108</v>
      </c>
      <c r="R475" s="88"/>
      <c r="S475" s="88"/>
      <c r="T475" s="87"/>
      <c r="U475" s="87"/>
      <c r="V475" s="84"/>
      <c r="W475" s="84"/>
    </row>
    <row r="476">
      <c r="A476" s="26" t="str">
        <f>Translation!A483</f>
        <v>INTANGÍVEL</v>
      </c>
      <c r="B476" s="40" t="s">
        <v>2109</v>
      </c>
      <c r="C476" s="140" t="e">
        <f>VLOOKUP(Q476,Data!$B:$E,3,FALSE)</f>
        <v>#N/A</v>
      </c>
      <c r="D476" s="114"/>
      <c r="E476" s="114"/>
      <c r="F476" s="114"/>
      <c r="G476" s="114"/>
      <c r="H476" s="113"/>
      <c r="I476" s="113"/>
      <c r="O476" s="29" t="s">
        <v>2110</v>
      </c>
      <c r="P476" s="40" t="s">
        <v>2109</v>
      </c>
      <c r="Q476" s="80" t="s">
        <v>2111</v>
      </c>
      <c r="R476" s="83"/>
      <c r="S476" s="83"/>
      <c r="T476" s="83"/>
      <c r="U476" s="83"/>
      <c r="V476" s="84"/>
      <c r="W476" s="84"/>
    </row>
    <row r="477">
      <c r="A477" s="31" t="str">
        <f>Translation!A484</f>
        <v>TOTAL DO ATIVO PERMANENTE</v>
      </c>
      <c r="B477" s="40" t="s">
        <v>2112</v>
      </c>
      <c r="C477" s="141" t="e">
        <f>VLOOKUP(Q477,Data!$B:$E,3,FALSE)</f>
        <v>#N/A</v>
      </c>
      <c r="D477" s="114"/>
      <c r="E477" s="114"/>
      <c r="F477" s="114"/>
      <c r="G477" s="114"/>
      <c r="H477" s="113"/>
      <c r="I477" s="113"/>
      <c r="O477" s="48" t="s">
        <v>2113</v>
      </c>
      <c r="P477" s="40" t="s">
        <v>2112</v>
      </c>
      <c r="Q477" s="57" t="s">
        <v>2114</v>
      </c>
      <c r="R477" s="83"/>
      <c r="S477" s="83"/>
      <c r="T477" s="83"/>
      <c r="U477" s="83"/>
      <c r="V477" s="84"/>
      <c r="W477" s="84"/>
    </row>
    <row r="478">
      <c r="A478" s="31" t="str">
        <f>Translation!A485</f>
        <v>ATIVO TOTAL</v>
      </c>
      <c r="B478" s="40" t="s">
        <v>2115</v>
      </c>
      <c r="C478" s="141" t="e">
        <f>VLOOKUP(Q478,Data!$B:$E,3,FALSE)</f>
        <v>#N/A</v>
      </c>
      <c r="D478" s="109"/>
      <c r="E478" s="109"/>
      <c r="F478" s="109"/>
      <c r="G478" s="109"/>
      <c r="H478" s="109"/>
      <c r="I478" s="109"/>
      <c r="O478" s="48" t="s">
        <v>2116</v>
      </c>
      <c r="P478" s="40" t="s">
        <v>2115</v>
      </c>
      <c r="Q478" s="57" t="s">
        <v>2117</v>
      </c>
      <c r="R478" s="92"/>
      <c r="S478" s="92"/>
      <c r="T478" s="92"/>
      <c r="U478" s="92"/>
      <c r="V478" s="92"/>
      <c r="W478" s="92"/>
    </row>
    <row r="479">
      <c r="A479" s="27" t="str">
        <f>Translation!A486</f>
        <v>PASSIVO</v>
      </c>
      <c r="B479" s="40" t="str">
        <f>Translation!$G$32</f>
        <v>CONTA</v>
      </c>
      <c r="C479" s="74" t="str">
        <f>Translation!$G$1</f>
        <v>VALOR</v>
      </c>
      <c r="D479" s="118"/>
      <c r="E479" s="118"/>
      <c r="F479" s="117"/>
      <c r="G479" s="117"/>
      <c r="H479" s="113"/>
      <c r="I479" s="113"/>
      <c r="O479" s="27" t="s">
        <v>2118</v>
      </c>
      <c r="P479" s="40" t="str">
        <f>Translation!$G$32</f>
        <v>CONTA</v>
      </c>
      <c r="Q479" s="79" t="str">
        <f>Translation!$G$1</f>
        <v>VALOR</v>
      </c>
      <c r="R479" s="88"/>
      <c r="S479" s="88"/>
      <c r="T479" s="87"/>
      <c r="U479" s="87"/>
      <c r="V479" s="84"/>
      <c r="W479" s="84"/>
    </row>
    <row r="480">
      <c r="A480" s="26" t="str">
        <f>Translation!A487</f>
        <v>CONTAS A PAGAR</v>
      </c>
      <c r="B480" s="40" t="s">
        <v>2119</v>
      </c>
      <c r="C480" s="140" t="e">
        <f>VLOOKUP(Q480,Data!$B:$E,3,FALSE)</f>
        <v>#N/A</v>
      </c>
      <c r="D480" s="118"/>
      <c r="E480" s="118"/>
      <c r="F480" s="117"/>
      <c r="G480" s="117"/>
      <c r="H480" s="113"/>
      <c r="I480" s="113"/>
      <c r="O480" s="29" t="s">
        <v>2120</v>
      </c>
      <c r="P480" s="40" t="s">
        <v>2119</v>
      </c>
      <c r="Q480" s="80" t="s">
        <v>2121</v>
      </c>
      <c r="R480" s="88"/>
      <c r="S480" s="88"/>
      <c r="T480" s="87"/>
      <c r="U480" s="87"/>
      <c r="V480" s="84"/>
      <c r="W480" s="84"/>
    </row>
    <row r="481">
      <c r="A481" s="26" t="str">
        <f>Translation!A488</f>
        <v>INSTITUIÇÕES FINANCEIRAS</v>
      </c>
      <c r="B481" s="40" t="s">
        <v>2122</v>
      </c>
      <c r="C481" s="140" t="e">
        <f>VLOOKUP(Q481,Data!$B:$E,3,FALSE)</f>
        <v>#N/A</v>
      </c>
      <c r="D481" s="113"/>
      <c r="E481" s="113"/>
      <c r="F481" s="113"/>
      <c r="G481" s="113"/>
      <c r="H481" s="113"/>
      <c r="I481" s="113"/>
      <c r="O481" s="29" t="s">
        <v>2123</v>
      </c>
      <c r="P481" s="40" t="s">
        <v>2122</v>
      </c>
      <c r="Q481" s="80" t="s">
        <v>2124</v>
      </c>
      <c r="R481" s="84"/>
      <c r="S481" s="84"/>
      <c r="T481" s="84"/>
      <c r="U481" s="84"/>
      <c r="V481" s="84"/>
      <c r="W481" s="84"/>
    </row>
    <row r="482">
      <c r="A482" s="26" t="str">
        <f>Translation!A489</f>
        <v>FLOOR PLAN</v>
      </c>
      <c r="B482" s="40" t="s">
        <v>2125</v>
      </c>
      <c r="C482" s="140" t="e">
        <f>VLOOKUP(Q482,Data!$B:$E,3,FALSE)</f>
        <v>#N/A</v>
      </c>
      <c r="D482" s="118"/>
      <c r="E482" s="118"/>
      <c r="F482" s="118"/>
      <c r="G482" s="118"/>
      <c r="H482" s="113"/>
      <c r="I482" s="113"/>
      <c r="O482" s="29" t="s">
        <v>735</v>
      </c>
      <c r="P482" s="40" t="s">
        <v>2125</v>
      </c>
      <c r="Q482" s="80" t="s">
        <v>2126</v>
      </c>
      <c r="R482" s="88"/>
      <c r="S482" s="88"/>
      <c r="T482" s="88"/>
      <c r="U482" s="88"/>
      <c r="V482" s="84"/>
      <c r="W482" s="84"/>
    </row>
    <row r="483">
      <c r="A483" s="31" t="str">
        <f>Translation!A490</f>
        <v>TOTAL DO CONTAS A PAGAR</v>
      </c>
      <c r="B483" s="40" t="s">
        <v>2127</v>
      </c>
      <c r="C483" s="141" t="e">
        <f>VLOOKUP(Q483,Data!$B:$E,3,FALSE)</f>
        <v>#N/A</v>
      </c>
      <c r="D483" s="115"/>
      <c r="E483" s="115"/>
      <c r="F483" s="115"/>
      <c r="G483" s="116"/>
      <c r="H483" s="115"/>
      <c r="I483" s="115"/>
      <c r="O483" s="48" t="s">
        <v>2128</v>
      </c>
      <c r="P483" s="40" t="s">
        <v>2127</v>
      </c>
      <c r="Q483" s="57" t="s">
        <v>2129</v>
      </c>
      <c r="R483" s="85"/>
      <c r="S483" s="85"/>
      <c r="T483" s="85"/>
      <c r="U483" s="86"/>
      <c r="V483" s="85"/>
      <c r="W483" s="85"/>
    </row>
    <row r="484">
      <c r="A484" s="26" t="str">
        <f>Translation!A491</f>
        <v>VEÍCULOS</v>
      </c>
      <c r="B484" s="40" t="s">
        <v>2130</v>
      </c>
      <c r="C484" s="140" t="e">
        <f>VLOOKUP(Q484,Data!$B:$E,3,FALSE)</f>
        <v>#N/A</v>
      </c>
      <c r="D484" s="114"/>
      <c r="E484" s="114"/>
      <c r="F484" s="114"/>
      <c r="G484" s="114"/>
      <c r="H484" s="113"/>
      <c r="I484" s="113"/>
      <c r="O484" s="29" t="s">
        <v>2131</v>
      </c>
      <c r="P484" s="40" t="s">
        <v>2130</v>
      </c>
      <c r="Q484" s="80" t="s">
        <v>2132</v>
      </c>
      <c r="R484" s="83"/>
      <c r="S484" s="83"/>
      <c r="T484" s="83"/>
      <c r="U484" s="83"/>
      <c r="V484" s="84"/>
      <c r="W484" s="84"/>
    </row>
    <row r="485">
      <c r="A485" s="26" t="str">
        <f>Translation!A492</f>
        <v>PEÇAS E ACESSÓRIOS</v>
      </c>
      <c r="B485" s="40" t="s">
        <v>2133</v>
      </c>
      <c r="C485" s="140" t="e">
        <f>VLOOKUP(Q485,Data!$B:$E,3,FALSE)</f>
        <v>#N/A</v>
      </c>
      <c r="D485" s="114"/>
      <c r="E485" s="114"/>
      <c r="F485" s="114"/>
      <c r="G485" s="114"/>
      <c r="H485" s="113"/>
      <c r="I485" s="113"/>
      <c r="O485" s="29" t="s">
        <v>2036</v>
      </c>
      <c r="P485" s="40" t="s">
        <v>2133</v>
      </c>
      <c r="Q485" s="80" t="s">
        <v>2134</v>
      </c>
      <c r="R485" s="83"/>
      <c r="S485" s="83"/>
      <c r="T485" s="83"/>
      <c r="U485" s="83"/>
      <c r="V485" s="84"/>
      <c r="W485" s="84"/>
    </row>
    <row r="486">
      <c r="A486" s="26" t="str">
        <f>Translation!A493</f>
        <v>OUTROS</v>
      </c>
      <c r="B486" s="40" t="s">
        <v>2135</v>
      </c>
      <c r="C486" s="140" t="e">
        <f>VLOOKUP(Q486,Data!$B:$E,3,FALSE)</f>
        <v>#N/A</v>
      </c>
      <c r="D486" s="114"/>
      <c r="E486" s="114"/>
      <c r="F486" s="114"/>
      <c r="G486" s="114"/>
      <c r="H486" s="113"/>
      <c r="I486" s="113"/>
      <c r="O486" s="29" t="s">
        <v>2095</v>
      </c>
      <c r="P486" s="40" t="s">
        <v>2135</v>
      </c>
      <c r="Q486" s="80" t="s">
        <v>2136</v>
      </c>
      <c r="R486" s="83"/>
      <c r="S486" s="83"/>
      <c r="T486" s="83"/>
      <c r="U486" s="83"/>
      <c r="V486" s="84"/>
      <c r="W486" s="84"/>
    </row>
    <row r="487">
      <c r="A487" s="31" t="str">
        <f>Translation!A494</f>
        <v>TOTAL DE FORNECEDORES</v>
      </c>
      <c r="B487" s="40" t="s">
        <v>2137</v>
      </c>
      <c r="C487" s="141" t="e">
        <f>VLOOKUP(Q487,Data!$B:$E,3,FALSE)</f>
        <v>#N/A</v>
      </c>
      <c r="D487" s="118"/>
      <c r="E487" s="118"/>
      <c r="F487" s="117"/>
      <c r="G487" s="117"/>
      <c r="H487" s="113"/>
      <c r="I487" s="113"/>
      <c r="O487" s="48" t="s">
        <v>2138</v>
      </c>
      <c r="P487" s="40" t="s">
        <v>2137</v>
      </c>
      <c r="Q487" s="57" t="s">
        <v>2139</v>
      </c>
      <c r="R487" s="88"/>
      <c r="S487" s="88"/>
      <c r="T487" s="87"/>
      <c r="U487" s="87"/>
      <c r="V487" s="84"/>
      <c r="W487" s="84"/>
    </row>
    <row r="488">
      <c r="A488" s="26" t="str">
        <f>Translation!A495</f>
        <v>SALÁRIOS E ENCARGOS</v>
      </c>
      <c r="B488" s="40" t="s">
        <v>2140</v>
      </c>
      <c r="C488" s="140" t="e">
        <f>VLOOKUP(Q488,Data!$B:$E,3,FALSE)</f>
        <v>#N/A</v>
      </c>
      <c r="D488" s="118"/>
      <c r="E488" s="118"/>
      <c r="F488" s="117"/>
      <c r="G488" s="117"/>
      <c r="H488" s="113"/>
      <c r="I488" s="113"/>
      <c r="O488" s="29" t="s">
        <v>2141</v>
      </c>
      <c r="P488" s="40" t="s">
        <v>2140</v>
      </c>
      <c r="Q488" s="80" t="s">
        <v>2142</v>
      </c>
      <c r="R488" s="88"/>
      <c r="S488" s="88"/>
      <c r="T488" s="87"/>
      <c r="U488" s="87"/>
      <c r="V488" s="84"/>
      <c r="W488" s="84"/>
    </row>
    <row r="489">
      <c r="A489" s="26" t="str">
        <f>Translation!A496</f>
        <v>PROVISÕES DE FÉRIAS</v>
      </c>
      <c r="B489" s="40" t="s">
        <v>2143</v>
      </c>
      <c r="C489" s="140" t="e">
        <f>VLOOKUP(Q489,Data!$B:$E,3,FALSE)</f>
        <v>#N/A</v>
      </c>
      <c r="D489" s="118"/>
      <c r="E489" s="118"/>
      <c r="F489" s="117"/>
      <c r="G489" s="117"/>
      <c r="H489" s="113"/>
      <c r="I489" s="113"/>
      <c r="O489" s="29" t="s">
        <v>2144</v>
      </c>
      <c r="P489" s="40" t="s">
        <v>2143</v>
      </c>
      <c r="Q489" s="80" t="s">
        <v>2145</v>
      </c>
      <c r="R489" s="88"/>
      <c r="S489" s="88"/>
      <c r="T489" s="87"/>
      <c r="U489" s="87"/>
      <c r="V489" s="84"/>
      <c r="W489" s="84"/>
    </row>
    <row r="490">
      <c r="A490" s="26" t="str">
        <f>Translation!A497</f>
        <v>PROVISÕES DE 13º SALÁRIO</v>
      </c>
      <c r="B490" s="40" t="s">
        <v>2146</v>
      </c>
      <c r="C490" s="140" t="e">
        <f>VLOOKUP(Q490,Data!$B:$E,3,FALSE)</f>
        <v>#N/A</v>
      </c>
      <c r="D490" s="113"/>
      <c r="E490" s="113"/>
      <c r="F490" s="113"/>
      <c r="G490" s="113"/>
      <c r="H490" s="113"/>
      <c r="I490" s="113"/>
      <c r="O490" s="29" t="s">
        <v>2147</v>
      </c>
      <c r="P490" s="40" t="s">
        <v>2146</v>
      </c>
      <c r="Q490" s="80" t="s">
        <v>2148</v>
      </c>
      <c r="R490" s="84"/>
      <c r="S490" s="84"/>
      <c r="T490" s="84"/>
      <c r="U490" s="84"/>
      <c r="V490" s="84"/>
      <c r="W490" s="84"/>
    </row>
    <row r="491">
      <c r="A491" s="31" t="str">
        <f>Translation!A498</f>
        <v>TOTAL DE OBRIGAÇÕES TRABALHISTAS</v>
      </c>
      <c r="B491" s="40" t="s">
        <v>2149</v>
      </c>
      <c r="C491" s="141" t="e">
        <f>VLOOKUP(Q491,Data!$B:$E,3,FALSE)</f>
        <v>#N/A</v>
      </c>
      <c r="D491" s="118"/>
      <c r="E491" s="118"/>
      <c r="F491" s="117"/>
      <c r="G491" s="117"/>
      <c r="H491" s="113"/>
      <c r="I491" s="113"/>
      <c r="O491" s="48" t="s">
        <v>2150</v>
      </c>
      <c r="P491" s="40" t="s">
        <v>2149</v>
      </c>
      <c r="Q491" s="57" t="s">
        <v>2151</v>
      </c>
      <c r="R491" s="88"/>
      <c r="S491" s="88"/>
      <c r="T491" s="87"/>
      <c r="U491" s="87"/>
      <c r="V491" s="84"/>
      <c r="W491" s="84"/>
    </row>
    <row r="492">
      <c r="A492" s="26" t="str">
        <f>Translation!A499</f>
        <v>ICMS</v>
      </c>
      <c r="B492" s="40" t="s">
        <v>2152</v>
      </c>
      <c r="C492" s="140" t="e">
        <f>VLOOKUP(Q492,Data!$B:$E,3,FALSE)</f>
        <v>#N/A</v>
      </c>
      <c r="D492" s="118"/>
      <c r="E492" s="118"/>
      <c r="F492" s="117"/>
      <c r="G492" s="117"/>
      <c r="H492" s="113"/>
      <c r="I492" s="113"/>
      <c r="O492" s="29" t="s">
        <v>2153</v>
      </c>
      <c r="P492" s="40" t="s">
        <v>2152</v>
      </c>
      <c r="Q492" s="80" t="s">
        <v>2154</v>
      </c>
      <c r="R492" s="88"/>
      <c r="S492" s="88"/>
      <c r="T492" s="87"/>
      <c r="U492" s="87"/>
      <c r="V492" s="84"/>
      <c r="W492" s="84"/>
    </row>
    <row r="493">
      <c r="A493" s="26" t="str">
        <f>Translation!A500</f>
        <v>ISS</v>
      </c>
      <c r="B493" s="40" t="s">
        <v>2155</v>
      </c>
      <c r="C493" s="140" t="e">
        <f>VLOOKUP(Q493,Data!$B:$E,3,FALSE)</f>
        <v>#N/A</v>
      </c>
      <c r="D493" s="115"/>
      <c r="E493" s="115"/>
      <c r="F493" s="115"/>
      <c r="G493" s="116"/>
      <c r="H493" s="115"/>
      <c r="I493" s="115"/>
      <c r="O493" s="29" t="s">
        <v>2156</v>
      </c>
      <c r="P493" s="40" t="s">
        <v>2155</v>
      </c>
      <c r="Q493" s="80" t="s">
        <v>2157</v>
      </c>
      <c r="R493" s="85"/>
      <c r="S493" s="85"/>
      <c r="T493" s="85"/>
      <c r="U493" s="86"/>
      <c r="V493" s="85"/>
      <c r="W493" s="85"/>
    </row>
    <row r="494">
      <c r="A494" s="26" t="str">
        <f>Translation!A501</f>
        <v>PIS</v>
      </c>
      <c r="B494" s="40" t="s">
        <v>2158</v>
      </c>
      <c r="C494" s="140" t="e">
        <f>VLOOKUP(Q494,Data!$B:$E,3,FALSE)</f>
        <v>#N/A</v>
      </c>
      <c r="D494" s="114"/>
      <c r="E494" s="114"/>
      <c r="F494" s="114"/>
      <c r="G494" s="114"/>
      <c r="H494" s="114"/>
      <c r="I494" s="114"/>
      <c r="O494" s="29" t="s">
        <v>2159</v>
      </c>
      <c r="P494" s="40" t="s">
        <v>2158</v>
      </c>
      <c r="Q494" s="80" t="s">
        <v>2160</v>
      </c>
      <c r="R494" s="83"/>
      <c r="S494" s="83"/>
      <c r="T494" s="83"/>
      <c r="U494" s="83"/>
      <c r="V494" s="83"/>
      <c r="W494" s="83"/>
    </row>
    <row r="495">
      <c r="A495" s="26" t="str">
        <f>Translation!A502</f>
        <v>COFINS</v>
      </c>
      <c r="B495" s="40" t="s">
        <v>2161</v>
      </c>
      <c r="C495" s="140" t="e">
        <f>VLOOKUP(Q495,Data!$B:$E,3,FALSE)</f>
        <v>#N/A</v>
      </c>
      <c r="D495" s="114"/>
      <c r="E495" s="114"/>
      <c r="F495" s="114"/>
      <c r="G495" s="114"/>
      <c r="H495" s="114"/>
      <c r="I495" s="114"/>
      <c r="O495" s="29" t="s">
        <v>2162</v>
      </c>
      <c r="P495" s="40" t="s">
        <v>2161</v>
      </c>
      <c r="Q495" s="80" t="s">
        <v>2163</v>
      </c>
      <c r="R495" s="83"/>
      <c r="S495" s="83"/>
      <c r="T495" s="83"/>
      <c r="U495" s="83"/>
      <c r="V495" s="83"/>
      <c r="W495" s="83"/>
    </row>
    <row r="496">
      <c r="A496" s="26" t="str">
        <f>Translation!A503</f>
        <v>CSLL</v>
      </c>
      <c r="B496" s="40" t="s">
        <v>2164</v>
      </c>
      <c r="C496" s="140" t="e">
        <f>VLOOKUP(Q496,Data!$B:$E,3,FALSE)</f>
        <v>#N/A</v>
      </c>
      <c r="D496" s="118"/>
      <c r="E496" s="118"/>
      <c r="F496" s="118"/>
      <c r="G496" s="117"/>
      <c r="H496" s="118"/>
      <c r="I496" s="118"/>
      <c r="O496" s="29" t="s">
        <v>2165</v>
      </c>
      <c r="P496" s="40" t="s">
        <v>2164</v>
      </c>
      <c r="Q496" s="80" t="s">
        <v>2166</v>
      </c>
      <c r="R496" s="88"/>
      <c r="S496" s="88"/>
      <c r="T496" s="88"/>
      <c r="U496" s="87"/>
      <c r="V496" s="88"/>
      <c r="W496" s="88"/>
    </row>
    <row r="497">
      <c r="A497" s="26" t="str">
        <f>Translation!A504</f>
        <v>IRPJ</v>
      </c>
      <c r="B497" s="40" t="s">
        <v>2167</v>
      </c>
      <c r="C497" s="140" t="e">
        <f>VLOOKUP(Q497,Data!$B:$E,3,FALSE)</f>
        <v>#N/A</v>
      </c>
      <c r="D497" s="118"/>
      <c r="E497" s="118"/>
      <c r="F497" s="118"/>
      <c r="G497" s="117"/>
      <c r="H497" s="118"/>
      <c r="I497" s="118"/>
      <c r="O497" s="29" t="s">
        <v>2168</v>
      </c>
      <c r="P497" s="40" t="s">
        <v>2167</v>
      </c>
      <c r="Q497" s="80" t="s">
        <v>2169</v>
      </c>
      <c r="R497" s="88"/>
      <c r="S497" s="88"/>
      <c r="T497" s="88"/>
      <c r="U497" s="87"/>
      <c r="V497" s="88"/>
      <c r="W497" s="88"/>
    </row>
    <row r="498">
      <c r="A498" s="26" t="str">
        <f>Translation!A505</f>
        <v>PARCELAMENTO DE IMPOSTOS</v>
      </c>
      <c r="B498" s="40" t="s">
        <v>2170</v>
      </c>
      <c r="C498" s="140" t="e">
        <f>VLOOKUP(Q498,Data!$B:$E,3,FALSE)</f>
        <v>#N/A</v>
      </c>
      <c r="D498" s="113"/>
      <c r="E498" s="113"/>
      <c r="F498" s="113"/>
      <c r="G498" s="113"/>
      <c r="H498" s="113"/>
      <c r="I498" s="113"/>
      <c r="O498" s="29" t="s">
        <v>2171</v>
      </c>
      <c r="P498" s="40" t="s">
        <v>2170</v>
      </c>
      <c r="Q498" s="80" t="s">
        <v>2172</v>
      </c>
      <c r="R498" s="84"/>
      <c r="S498" s="84"/>
      <c r="T498" s="84"/>
      <c r="U498" s="84"/>
      <c r="V498" s="84"/>
      <c r="W498" s="84"/>
    </row>
    <row r="499">
      <c r="A499" s="26" t="str">
        <f>Translation!A506</f>
        <v>ADIANTAMENTO DE CLIENTES</v>
      </c>
      <c r="B499" s="40" t="s">
        <v>2173</v>
      </c>
      <c r="C499" s="140" t="e">
        <f>VLOOKUP(Q499,Data!$B:$E,3,FALSE)</f>
        <v>#N/A</v>
      </c>
      <c r="D499" s="118"/>
      <c r="E499" s="118"/>
      <c r="F499" s="118"/>
      <c r="G499" s="118"/>
      <c r="H499" s="118"/>
      <c r="I499" s="118"/>
      <c r="O499" s="29" t="s">
        <v>2174</v>
      </c>
      <c r="P499" s="40" t="s">
        <v>2173</v>
      </c>
      <c r="Q499" s="80" t="s">
        <v>2175</v>
      </c>
      <c r="R499" s="88"/>
      <c r="S499" s="88"/>
      <c r="T499" s="88"/>
      <c r="U499" s="88"/>
      <c r="V499" s="88"/>
      <c r="W499" s="88"/>
    </row>
    <row r="500">
      <c r="A500" s="33" t="str">
        <f>Translation!A507</f>
        <v>EMPRÉSTIMOS COM SÓCIOS E COLIGADAS</v>
      </c>
      <c r="B500" s="40" t="s">
        <v>2176</v>
      </c>
      <c r="C500" s="140" t="e">
        <f>VLOOKUP(Q500,Data!$B:$E,3,FALSE)</f>
        <v>#N/A</v>
      </c>
      <c r="D500" s="109"/>
      <c r="E500" s="109"/>
      <c r="F500" s="109"/>
      <c r="G500" s="109"/>
      <c r="H500" s="109"/>
      <c r="I500" s="109"/>
      <c r="O500" s="52" t="s">
        <v>2177</v>
      </c>
      <c r="P500" s="40" t="s">
        <v>2176</v>
      </c>
      <c r="Q500" s="80" t="s">
        <v>2178</v>
      </c>
      <c r="R500" s="92"/>
      <c r="S500" s="92"/>
      <c r="T500" s="92"/>
      <c r="U500" s="92"/>
      <c r="V500" s="92"/>
      <c r="W500" s="92"/>
    </row>
    <row r="501">
      <c r="A501" s="26" t="str">
        <f>Translation!A508</f>
        <v>MULTAS</v>
      </c>
      <c r="B501" s="40" t="s">
        <v>2179</v>
      </c>
      <c r="C501" s="140" t="e">
        <f>VLOOKUP(Q501,Data!$B:$E,3,FALSE)</f>
        <v>#N/A</v>
      </c>
      <c r="D501" s="109"/>
      <c r="E501" s="109"/>
      <c r="F501" s="109"/>
      <c r="G501" s="109"/>
      <c r="H501" s="109"/>
      <c r="I501" s="109"/>
      <c r="O501" s="29" t="s">
        <v>1527</v>
      </c>
      <c r="P501" s="40" t="s">
        <v>2179</v>
      </c>
      <c r="Q501" s="80" t="s">
        <v>2180</v>
      </c>
      <c r="R501" s="92"/>
      <c r="S501" s="92"/>
      <c r="T501" s="92"/>
      <c r="U501" s="92"/>
      <c r="V501" s="92"/>
      <c r="W501" s="92"/>
    </row>
    <row r="502">
      <c r="A502" s="26" t="str">
        <f>Translation!A509</f>
        <v>OUTROS</v>
      </c>
      <c r="B502" s="40" t="s">
        <v>2181</v>
      </c>
      <c r="C502" s="140" t="e">
        <f>VLOOKUP(Q502,Data!$B:$E,3,FALSE)</f>
        <v>#N/A</v>
      </c>
      <c r="D502" s="109"/>
      <c r="E502" s="109"/>
      <c r="F502" s="109"/>
      <c r="G502" s="109"/>
      <c r="H502" s="109"/>
      <c r="I502" s="109"/>
      <c r="O502" s="29" t="s">
        <v>2095</v>
      </c>
      <c r="P502" s="40" t="s">
        <v>2181</v>
      </c>
      <c r="Q502" s="80" t="s">
        <v>2182</v>
      </c>
      <c r="R502" s="92"/>
      <c r="S502" s="92"/>
      <c r="T502" s="92"/>
      <c r="U502" s="92"/>
      <c r="V502" s="92"/>
      <c r="W502" s="92"/>
    </row>
    <row r="503">
      <c r="A503" s="31" t="str">
        <f>Translation!A510</f>
        <v>TOTAL DE OBRIGAÇÕES FISCAIS E TRIBUTÁRIAS</v>
      </c>
      <c r="B503" s="40" t="s">
        <v>2183</v>
      </c>
      <c r="C503" s="141" t="e">
        <f>VLOOKUP(Q503,Data!$B:$E,3,FALSE)</f>
        <v>#N/A</v>
      </c>
      <c r="D503" s="109"/>
      <c r="E503" s="109"/>
      <c r="F503" s="109"/>
      <c r="G503" s="109"/>
      <c r="H503" s="109"/>
      <c r="I503" s="109"/>
      <c r="O503" s="48" t="s">
        <v>2184</v>
      </c>
      <c r="P503" s="40" t="s">
        <v>2183</v>
      </c>
      <c r="Q503" s="57" t="s">
        <v>2185</v>
      </c>
      <c r="R503" s="92"/>
      <c r="S503" s="92"/>
      <c r="T503" s="92"/>
      <c r="U503" s="92"/>
      <c r="V503" s="92"/>
      <c r="W503" s="92"/>
    </row>
    <row r="504">
      <c r="A504" s="31" t="str">
        <f>Translation!A511</f>
        <v>TOTAL DO PASSIVO CIRCULANTE</v>
      </c>
      <c r="B504" s="40" t="s">
        <v>2186</v>
      </c>
      <c r="C504" s="141" t="e">
        <f>VLOOKUP(Q504,Data!$B:$E,3,FALSE)</f>
        <v>#N/A</v>
      </c>
      <c r="D504" s="109"/>
      <c r="E504" s="109"/>
      <c r="F504" s="109"/>
      <c r="G504" s="109"/>
      <c r="H504" s="109"/>
      <c r="I504" s="109"/>
      <c r="O504" s="48" t="s">
        <v>2187</v>
      </c>
      <c r="P504" s="40" t="s">
        <v>2186</v>
      </c>
      <c r="Q504" s="57" t="s">
        <v>2188</v>
      </c>
      <c r="R504" s="92"/>
      <c r="S504" s="92"/>
      <c r="T504" s="92"/>
      <c r="U504" s="92"/>
      <c r="V504" s="92"/>
      <c r="W504" s="92"/>
    </row>
    <row r="505">
      <c r="A505" s="27" t="str">
        <f>Translation!A512</f>
        <v>PASSIVO NÃO-CIRCULANTE</v>
      </c>
      <c r="B505" s="40" t="str">
        <f>Translation!$G$32</f>
        <v>CONTA</v>
      </c>
      <c r="C505" s="74" t="str">
        <f>Translation!$G$1</f>
        <v>VALOR</v>
      </c>
      <c r="D505" s="109"/>
      <c r="E505" s="109"/>
      <c r="F505" s="109"/>
      <c r="G505" s="109"/>
      <c r="H505" s="109"/>
      <c r="I505" s="109"/>
      <c r="O505" s="27" t="s">
        <v>2189</v>
      </c>
      <c r="P505" s="40" t="str">
        <f>Translation!$G$32</f>
        <v>CONTA</v>
      </c>
      <c r="Q505" s="79" t="str">
        <f>Translation!$G$1</f>
        <v>VALOR</v>
      </c>
      <c r="R505" s="92"/>
      <c r="S505" s="92"/>
      <c r="T505" s="92"/>
      <c r="U505" s="92"/>
      <c r="V505" s="92"/>
      <c r="W505" s="92"/>
    </row>
    <row r="506">
      <c r="A506" s="33" t="str">
        <f>Translation!A513</f>
        <v>EMPRÉSTIMOS COM SÓCIOS E COLIGADAS</v>
      </c>
      <c r="B506" s="40" t="s">
        <v>2190</v>
      </c>
      <c r="C506" s="140" t="e">
        <f>VLOOKUP(Q506,Data!$B:$E,3,FALSE)</f>
        <v>#N/A</v>
      </c>
      <c r="D506" s="109"/>
      <c r="E506" s="109"/>
      <c r="F506" s="109"/>
      <c r="G506" s="109"/>
      <c r="H506" s="109"/>
      <c r="I506" s="109"/>
      <c r="O506" s="52" t="s">
        <v>2177</v>
      </c>
      <c r="P506" s="40" t="s">
        <v>2190</v>
      </c>
      <c r="Q506" s="80" t="s">
        <v>2191</v>
      </c>
      <c r="R506" s="92"/>
      <c r="S506" s="92"/>
      <c r="T506" s="92"/>
      <c r="U506" s="92"/>
      <c r="V506" s="92"/>
      <c r="W506" s="92"/>
    </row>
    <row r="507">
      <c r="A507" s="26" t="str">
        <f>Translation!A514</f>
        <v>INTITUIÇÕES FINANCEIRAS</v>
      </c>
      <c r="B507" s="40" t="s">
        <v>2192</v>
      </c>
      <c r="C507" s="140" t="e">
        <f>VLOOKUP(Q507,Data!$B:$E,3,FALSE)</f>
        <v>#N/A</v>
      </c>
      <c r="D507" s="109"/>
      <c r="E507" s="109"/>
      <c r="F507" s="109"/>
      <c r="G507" s="109"/>
      <c r="H507" s="109"/>
      <c r="I507" s="109"/>
      <c r="O507" s="29" t="s">
        <v>2193</v>
      </c>
      <c r="P507" s="40" t="s">
        <v>2192</v>
      </c>
      <c r="Q507" s="80" t="s">
        <v>2194</v>
      </c>
      <c r="R507" s="92"/>
      <c r="S507" s="92"/>
      <c r="T507" s="92"/>
      <c r="U507" s="92"/>
      <c r="V507" s="92"/>
      <c r="W507" s="92"/>
    </row>
    <row r="508">
      <c r="A508" s="26" t="str">
        <f>Translation!A515</f>
        <v>IMPOSTO DE RENDA DIFERIDO</v>
      </c>
      <c r="B508" s="40" t="s">
        <v>2195</v>
      </c>
      <c r="C508" s="140" t="e">
        <f>VLOOKUP(Q508,Data!$B:$E,3,FALSE)</f>
        <v>#N/A</v>
      </c>
      <c r="D508" s="109"/>
      <c r="E508" s="109"/>
      <c r="F508" s="109"/>
      <c r="G508" s="109"/>
      <c r="H508" s="109"/>
      <c r="I508" s="109"/>
      <c r="O508" s="29" t="s">
        <v>2196</v>
      </c>
      <c r="P508" s="40" t="s">
        <v>2195</v>
      </c>
      <c r="Q508" s="80" t="s">
        <v>2197</v>
      </c>
      <c r="R508" s="92"/>
      <c r="S508" s="92"/>
      <c r="T508" s="92"/>
      <c r="U508" s="92"/>
      <c r="V508" s="92"/>
      <c r="W508" s="92"/>
    </row>
    <row r="509">
      <c r="A509" s="33" t="str">
        <f>Translation!A516</f>
        <v>PROVISÃO PARA IMPOSTOS DIRETOS E INDIRETOS</v>
      </c>
      <c r="B509" s="40" t="s">
        <v>2198</v>
      </c>
      <c r="C509" s="140" t="e">
        <f>VLOOKUP(Q509,Data!$B:$E,3,FALSE)</f>
        <v>#N/A</v>
      </c>
      <c r="D509" s="109"/>
      <c r="E509" s="109"/>
      <c r="F509" s="109"/>
      <c r="G509" s="109"/>
      <c r="H509" s="109"/>
      <c r="I509" s="109"/>
      <c r="O509" s="52" t="s">
        <v>2199</v>
      </c>
      <c r="P509" s="40" t="s">
        <v>2198</v>
      </c>
      <c r="Q509" s="80" t="s">
        <v>2200</v>
      </c>
      <c r="R509" s="92"/>
      <c r="S509" s="92"/>
      <c r="T509" s="92"/>
      <c r="U509" s="92"/>
      <c r="V509" s="92"/>
      <c r="W509" s="92"/>
    </row>
    <row r="510">
      <c r="A510" s="26" t="str">
        <f>Translation!A517</f>
        <v>PARCELAMENTO DE IMPOSTOS</v>
      </c>
      <c r="B510" s="40" t="s">
        <v>2201</v>
      </c>
      <c r="C510" s="140" t="e">
        <f>VLOOKUP(Q510,Data!$B:$E,3,FALSE)</f>
        <v>#N/A</v>
      </c>
      <c r="D510" s="109"/>
      <c r="E510" s="109"/>
      <c r="F510" s="109"/>
      <c r="G510" s="109"/>
      <c r="H510" s="109"/>
      <c r="I510" s="109"/>
      <c r="O510" s="29" t="s">
        <v>2171</v>
      </c>
      <c r="P510" s="40" t="s">
        <v>2201</v>
      </c>
      <c r="Q510" s="80" t="s">
        <v>2202</v>
      </c>
      <c r="R510" s="92"/>
      <c r="S510" s="92"/>
      <c r="T510" s="92"/>
      <c r="U510" s="92"/>
      <c r="V510" s="92"/>
      <c r="W510" s="92"/>
    </row>
    <row r="511">
      <c r="A511" s="26" t="str">
        <f>Translation!A518</f>
        <v>OUTROS</v>
      </c>
      <c r="B511" s="40" t="s">
        <v>2203</v>
      </c>
      <c r="C511" s="140" t="e">
        <f>VLOOKUP(Q511,Data!$B:$E,3,FALSE)</f>
        <v>#N/A</v>
      </c>
      <c r="D511" s="109"/>
      <c r="E511" s="109"/>
      <c r="F511" s="109"/>
      <c r="G511" s="109"/>
      <c r="H511" s="109"/>
      <c r="I511" s="109"/>
      <c r="O511" s="29" t="s">
        <v>2095</v>
      </c>
      <c r="P511" s="40" t="s">
        <v>2203</v>
      </c>
      <c r="Q511" s="80" t="s">
        <v>2204</v>
      </c>
      <c r="R511" s="92"/>
      <c r="S511" s="92"/>
      <c r="T511" s="92"/>
      <c r="U511" s="92"/>
      <c r="V511" s="92"/>
      <c r="W511" s="92"/>
    </row>
    <row r="512">
      <c r="A512" s="31" t="str">
        <f>Translation!A519</f>
        <v>TOTAL DO EXIGÍVEL A LONGO PRAZO</v>
      </c>
      <c r="B512" s="40" t="s">
        <v>2205</v>
      </c>
      <c r="C512" s="141" t="e">
        <f>VLOOKUP(Q512,Data!$B:$E,3,FALSE)</f>
        <v>#N/A</v>
      </c>
      <c r="D512" s="109"/>
      <c r="E512" s="109"/>
      <c r="F512" s="109"/>
      <c r="G512" s="109"/>
      <c r="H512" s="109"/>
      <c r="I512" s="109"/>
      <c r="O512" s="48" t="s">
        <v>2206</v>
      </c>
      <c r="P512" s="40" t="s">
        <v>2205</v>
      </c>
      <c r="Q512" s="57" t="s">
        <v>2207</v>
      </c>
      <c r="R512" s="92"/>
      <c r="S512" s="92"/>
      <c r="T512" s="92"/>
      <c r="U512" s="92"/>
      <c r="V512" s="92"/>
      <c r="W512" s="92"/>
    </row>
    <row r="513">
      <c r="A513" s="26" t="str">
        <f>Translation!A520</f>
        <v>RESULTADO DE EXERCÍCIOS FUTUROS</v>
      </c>
      <c r="B513" s="40" t="s">
        <v>2208</v>
      </c>
      <c r="C513" s="140" t="e">
        <f>VLOOKUP(Q513,Data!$B:$E,3,FALSE)</f>
        <v>#N/A</v>
      </c>
      <c r="D513" s="109"/>
      <c r="E513" s="109"/>
      <c r="F513" s="109"/>
      <c r="G513" s="109"/>
      <c r="H513" s="109"/>
      <c r="I513" s="109"/>
      <c r="O513" s="29" t="s">
        <v>2209</v>
      </c>
      <c r="P513" s="40" t="s">
        <v>2208</v>
      </c>
      <c r="Q513" s="80" t="s">
        <v>2210</v>
      </c>
      <c r="R513" s="92"/>
      <c r="S513" s="92"/>
      <c r="T513" s="92"/>
      <c r="U513" s="92"/>
      <c r="V513" s="92"/>
      <c r="W513" s="92"/>
    </row>
    <row r="514">
      <c r="A514" s="31" t="str">
        <f>Translation!A521</f>
        <v>TOTAL DO PASSIVO NÃO-CIRCULANTE</v>
      </c>
      <c r="B514" s="40" t="s">
        <v>2211</v>
      </c>
      <c r="C514" s="141" t="e">
        <f>VLOOKUP(Q514,Data!$B:$E,3,FALSE)</f>
        <v>#N/A</v>
      </c>
      <c r="D514" s="109"/>
      <c r="E514" s="109"/>
      <c r="F514" s="109"/>
      <c r="G514" s="109"/>
      <c r="H514" s="109"/>
      <c r="I514" s="109"/>
      <c r="O514" s="48" t="s">
        <v>2212</v>
      </c>
      <c r="P514" s="40" t="s">
        <v>2211</v>
      </c>
      <c r="Q514" s="57" t="s">
        <v>2213</v>
      </c>
      <c r="R514" s="92"/>
      <c r="S514" s="92"/>
      <c r="T514" s="92"/>
      <c r="U514" s="92"/>
      <c r="V514" s="92"/>
      <c r="W514" s="92"/>
    </row>
    <row r="515">
      <c r="A515" s="27" t="str">
        <f>Translation!A522</f>
        <v>PATRIMÔNIO LÍQUIDO</v>
      </c>
      <c r="B515" s="40" t="str">
        <f>Translation!$G$32</f>
        <v>CONTA</v>
      </c>
      <c r="C515" s="74" t="str">
        <f>Translation!$G$1</f>
        <v>VALOR</v>
      </c>
      <c r="D515" s="109"/>
      <c r="E515" s="109"/>
      <c r="F515" s="109"/>
      <c r="G515" s="109"/>
      <c r="H515" s="109"/>
      <c r="I515" s="109"/>
      <c r="O515" s="27" t="s">
        <v>2214</v>
      </c>
      <c r="P515" s="40" t="str">
        <f>Translation!$G$32</f>
        <v>CONTA</v>
      </c>
      <c r="Q515" s="79" t="str">
        <f>Translation!$G$1</f>
        <v>VALOR</v>
      </c>
      <c r="R515" s="92"/>
      <c r="S515" s="92"/>
      <c r="T515" s="92"/>
      <c r="U515" s="92"/>
      <c r="V515" s="92"/>
      <c r="W515" s="92"/>
    </row>
    <row r="516">
      <c r="A516" s="26" t="str">
        <f>Translation!A523</f>
        <v>CAPITAL SOCIAL</v>
      </c>
      <c r="B516" s="40" t="s">
        <v>2215</v>
      </c>
      <c r="C516" s="140" t="e">
        <f>VLOOKUP(Q516,Data!$B:$E,3,FALSE)</f>
        <v>#N/A</v>
      </c>
      <c r="D516" s="109"/>
      <c r="E516" s="109"/>
      <c r="F516" s="109"/>
      <c r="G516" s="109"/>
      <c r="H516" s="109"/>
      <c r="I516" s="109"/>
      <c r="O516" s="29" t="s">
        <v>2216</v>
      </c>
      <c r="P516" s="40" t="s">
        <v>2215</v>
      </c>
      <c r="Q516" s="80" t="s">
        <v>2217</v>
      </c>
      <c r="R516" s="92"/>
      <c r="S516" s="92"/>
      <c r="T516" s="92"/>
      <c r="U516" s="92"/>
      <c r="V516" s="92"/>
      <c r="W516" s="92"/>
    </row>
    <row r="517">
      <c r="A517" s="26" t="str">
        <f>Translation!A524</f>
        <v>CAPITAL A INTEGRALIZAR (-)</v>
      </c>
      <c r="B517" s="40" t="s">
        <v>2218</v>
      </c>
      <c r="C517" s="140" t="e">
        <f>VLOOKUP(Q517,Data!$B:$E,3,FALSE)</f>
        <v>#N/A</v>
      </c>
      <c r="D517" s="109"/>
      <c r="E517" s="109"/>
      <c r="F517" s="109"/>
      <c r="G517" s="109"/>
      <c r="H517" s="109"/>
      <c r="I517" s="109"/>
      <c r="O517" s="29" t="s">
        <v>2219</v>
      </c>
      <c r="P517" s="40" t="s">
        <v>2218</v>
      </c>
      <c r="Q517" s="80" t="s">
        <v>2220</v>
      </c>
      <c r="R517" s="92"/>
      <c r="S517" s="92"/>
      <c r="T517" s="92"/>
      <c r="U517" s="92"/>
      <c r="V517" s="92"/>
      <c r="W517" s="92"/>
    </row>
    <row r="518">
      <c r="A518" s="26" t="str">
        <f>Translation!A525</f>
        <v>RESERVA DE CAPITAL</v>
      </c>
      <c r="B518" s="40" t="s">
        <v>2221</v>
      </c>
      <c r="C518" s="140" t="e">
        <f>VLOOKUP(Q518,Data!$B:$E,3,FALSE)</f>
        <v>#N/A</v>
      </c>
      <c r="D518" s="109"/>
      <c r="E518" s="109"/>
      <c r="F518" s="109"/>
      <c r="G518" s="109"/>
      <c r="H518" s="109"/>
      <c r="I518" s="109"/>
      <c r="O518" s="29" t="s">
        <v>2222</v>
      </c>
      <c r="P518" s="40" t="s">
        <v>2221</v>
      </c>
      <c r="Q518" s="80" t="s">
        <v>2223</v>
      </c>
      <c r="R518" s="92"/>
      <c r="S518" s="92"/>
      <c r="T518" s="92"/>
      <c r="U518" s="92"/>
      <c r="V518" s="92"/>
      <c r="W518" s="92"/>
    </row>
    <row r="519">
      <c r="A519" s="26" t="str">
        <f>Translation!A526</f>
        <v>RESERVA DE AVALIAÇÃO</v>
      </c>
      <c r="B519" s="40" t="s">
        <v>2224</v>
      </c>
      <c r="C519" s="140" t="e">
        <f>VLOOKUP(Q519,Data!$B:$E,3,FALSE)</f>
        <v>#N/A</v>
      </c>
      <c r="D519" s="109"/>
      <c r="E519" s="109"/>
      <c r="F519" s="109"/>
      <c r="G519" s="109"/>
      <c r="H519" s="109"/>
      <c r="I519" s="109"/>
      <c r="O519" s="29" t="s">
        <v>2225</v>
      </c>
      <c r="P519" s="40" t="s">
        <v>2224</v>
      </c>
      <c r="Q519" s="80" t="s">
        <v>2226</v>
      </c>
      <c r="R519" s="92"/>
      <c r="S519" s="92"/>
      <c r="T519" s="92"/>
      <c r="U519" s="92"/>
      <c r="V519" s="92"/>
      <c r="W519" s="92"/>
    </row>
    <row r="520">
      <c r="A520" s="26" t="str">
        <f>Translation!A527</f>
        <v>OUTRAS RESERVAS</v>
      </c>
      <c r="B520" s="40" t="s">
        <v>2227</v>
      </c>
      <c r="C520" s="140" t="e">
        <f>VLOOKUP(Q520,Data!$B:$E,3,FALSE)</f>
        <v>#N/A</v>
      </c>
      <c r="D520" s="109"/>
      <c r="E520" s="109"/>
      <c r="F520" s="109"/>
      <c r="G520" s="109"/>
      <c r="H520" s="109"/>
      <c r="I520" s="109"/>
      <c r="O520" s="29" t="s">
        <v>2228</v>
      </c>
      <c r="P520" s="40" t="s">
        <v>2227</v>
      </c>
      <c r="Q520" s="80" t="s">
        <v>2229</v>
      </c>
      <c r="R520" s="92"/>
      <c r="S520" s="92"/>
      <c r="T520" s="92"/>
      <c r="U520" s="92"/>
      <c r="V520" s="92"/>
      <c r="W520" s="92"/>
    </row>
    <row r="521">
      <c r="A521" s="33" t="str">
        <f>Translation!A528</f>
        <v>RESULTADO ACUMULADO DE EXERCÍCIOS ANTERIORES</v>
      </c>
      <c r="B521" s="40" t="s">
        <v>2230</v>
      </c>
      <c r="C521" s="140" t="e">
        <f>VLOOKUP(Q521,Data!$B:$E,3,FALSE)</f>
        <v>#N/A</v>
      </c>
      <c r="D521" s="109"/>
      <c r="E521" s="109"/>
      <c r="F521" s="109"/>
      <c r="G521" s="109"/>
      <c r="H521" s="109"/>
      <c r="I521" s="109"/>
      <c r="O521" s="52" t="s">
        <v>2231</v>
      </c>
      <c r="P521" s="40" t="s">
        <v>2230</v>
      </c>
      <c r="Q521" s="80" t="s">
        <v>2232</v>
      </c>
      <c r="R521" s="92"/>
      <c r="S521" s="92"/>
      <c r="T521" s="92"/>
      <c r="U521" s="92"/>
      <c r="V521" s="92"/>
      <c r="W521" s="92"/>
    </row>
    <row r="522">
      <c r="A522" s="26" t="str">
        <f>Translation!A529</f>
        <v>RESULTADO DO EXERCÍCIO</v>
      </c>
      <c r="B522" s="40" t="s">
        <v>2233</v>
      </c>
      <c r="C522" s="140" t="e">
        <f>VLOOKUP(Q522,Data!$B:$E,3,FALSE)</f>
        <v>#N/A</v>
      </c>
      <c r="D522" s="109"/>
      <c r="E522" s="109"/>
      <c r="F522" s="109"/>
      <c r="G522" s="109"/>
      <c r="H522" s="109"/>
      <c r="I522" s="109"/>
      <c r="O522" s="29" t="s">
        <v>2234</v>
      </c>
      <c r="P522" s="40" t="s">
        <v>2233</v>
      </c>
      <c r="Q522" s="80" t="s">
        <v>2235</v>
      </c>
      <c r="R522" s="92"/>
      <c r="S522" s="92"/>
      <c r="T522" s="92"/>
      <c r="U522" s="92"/>
      <c r="V522" s="92"/>
      <c r="W522" s="92"/>
    </row>
    <row r="523">
      <c r="A523" s="26" t="str">
        <f>Translation!A530</f>
        <v>DISTRIBUIÇÃO DE LUCROS</v>
      </c>
      <c r="B523" s="40" t="s">
        <v>2236</v>
      </c>
      <c r="C523" s="140" t="e">
        <f>VLOOKUP(Q523,Data!$B:$E,3,FALSE)</f>
        <v>#N/A</v>
      </c>
      <c r="D523" s="109"/>
      <c r="E523" s="109"/>
      <c r="F523" s="109"/>
      <c r="G523" s="109"/>
      <c r="H523" s="109"/>
      <c r="I523" s="109"/>
      <c r="O523" s="29" t="s">
        <v>2237</v>
      </c>
      <c r="P523" s="40" t="s">
        <v>2236</v>
      </c>
      <c r="Q523" s="80" t="s">
        <v>2238</v>
      </c>
      <c r="R523" s="92"/>
      <c r="S523" s="92"/>
      <c r="T523" s="92"/>
      <c r="U523" s="92"/>
      <c r="V523" s="92"/>
      <c r="W523" s="92"/>
    </row>
    <row r="524">
      <c r="A524" s="31" t="str">
        <f>Translation!A531</f>
        <v>TOTAL DO PATRIMÔNIO LÍQUIDO</v>
      </c>
      <c r="B524" s="40" t="s">
        <v>2239</v>
      </c>
      <c r="C524" s="141" t="e">
        <f>VLOOKUP(Q524,Data!$B:$E,3,FALSE)</f>
        <v>#N/A</v>
      </c>
      <c r="D524" s="109"/>
      <c r="E524" s="109"/>
      <c r="F524" s="109"/>
      <c r="G524" s="109"/>
      <c r="H524" s="109"/>
      <c r="I524" s="109"/>
      <c r="O524" s="48" t="s">
        <v>2240</v>
      </c>
      <c r="P524" s="40" t="s">
        <v>2239</v>
      </c>
      <c r="Q524" s="57" t="s">
        <v>2241</v>
      </c>
      <c r="R524" s="92"/>
      <c r="S524" s="92"/>
      <c r="T524" s="92"/>
      <c r="U524" s="92"/>
      <c r="V524" s="92"/>
      <c r="W524" s="92"/>
    </row>
    <row r="525">
      <c r="A525" s="31" t="str">
        <f>Translation!A532</f>
        <v>PASSIVO TOTAL</v>
      </c>
      <c r="B525" s="40" t="s">
        <v>2242</v>
      </c>
      <c r="C525" s="141" t="e">
        <f>VLOOKUP(Q525,Data!$B:$E,3,FALSE)</f>
        <v>#N/A</v>
      </c>
      <c r="D525" s="109"/>
      <c r="E525" s="109"/>
      <c r="F525" s="109"/>
      <c r="G525" s="109"/>
      <c r="H525" s="109"/>
      <c r="I525" s="109"/>
      <c r="O525" s="48" t="s">
        <v>2243</v>
      </c>
      <c r="P525" s="40" t="s">
        <v>2242</v>
      </c>
      <c r="Q525" s="57" t="s">
        <v>2244</v>
      </c>
      <c r="R525" s="92"/>
      <c r="S525" s="92"/>
      <c r="T525" s="92"/>
      <c r="U525" s="92"/>
      <c r="V525" s="92"/>
      <c r="W525" s="92"/>
    </row>
    <row r="526">
      <c r="Q526" s="92"/>
      <c r="R526" s="92"/>
      <c r="S526" s="92"/>
      <c r="T526" s="92"/>
      <c r="U526" s="92"/>
      <c r="V526" s="92"/>
      <c r="W526" s="92"/>
    </row>
  </sheetData>
  <sheetProtection formatCells="0" formatColumns="0" formatRows="0" insertColumns="0" insertRows="0" sort="0" autoFilter="0" pivotTables="0"/>
  <mergeCells>
    <mergeCell ref="A1:I1"/>
    <mergeCell ref="C2:E2"/>
  </mergeCells>
  <pageMargins left="0.2" right="0.2" top="0.25" bottom="0.25" header="0.3" footer="0.3"/>
  <pageSetup paperSize="9" scale="47" fitToHeight="0" orientation="portrait"/>
  <headerFooter/>
  <rowBreaks count="7" manualBreakCount="7">
    <brk id="70" max="1048575" man="1"/>
    <brk id="120" max="1048575" man="1"/>
    <brk id="182" max="1048575" man="1"/>
    <brk id="229" max="1048575" man="1"/>
    <brk id="276" max="1048575" man="1"/>
    <brk id="341" max="1048575" man="1"/>
    <brk id="426" max="1048575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R6224"/>
  <sheetViews>
    <sheetView workbookViewId="0">
      <selection sqref="A1:I1"/>
    </sheetView>
  </sheetViews>
  <sheetFormatPr defaultColWidth="9.140625" defaultRowHeight="11.25" x14ac:dyDescent="0.2"/>
  <cols>
    <col min="1" max="5" bestFit="1" width="19" customWidth="1" style="9"/>
    <col min="6" max="6" width="9.140625" customWidth="1" style="9"/>
    <col min="7" max="7" bestFit="1" width="20.42578125" customWidth="1" style="9"/>
    <col min="8" max="8" bestFit="1" width="20.85546875" customWidth="1" style="9"/>
    <col min="9" max="9" bestFit="1" width="21.140625" customWidth="1" style="9"/>
    <col min="10" max="11" width="11.5703125" customWidth="1" style="9"/>
    <col min="12" max="14" width="9.140625" customWidth="1" style="9"/>
    <col min="15" max="15" width="21.140625" customWidth="1" style="9"/>
    <col min="16" max="16384" width="9.140625" customWidth="1" style="9"/>
  </cols>
  <sheetData>
    <row r="1" ht="15">
      <c r="C1" s="10" t="s">
        <v>2245</v>
      </c>
      <c r="D1" s="12" t="s">
        <v>2246</v>
      </c>
      <c r="E1" s="11" t="s">
        <v>2246</v>
      </c>
      <c r="G1" s="9" t="s">
        <v>2247</v>
      </c>
      <c r="H1" s="9">
        <v>1</v>
      </c>
      <c r="I1" s="9" t="str">
        <f>IF(G2=1,J1,K1)</f>
        <v>Jan</v>
      </c>
      <c r="J1" s="9" t="s">
        <v>2248</v>
      </c>
      <c r="K1" s="9" t="s">
        <v>2248</v>
      </c>
      <c r="N1" s="9">
        <v>1</v>
      </c>
      <c r="O1" s="9" t="s">
        <v>2249</v>
      </c>
      <c r="P1" s="9">
        <v>8</v>
      </c>
      <c r="Q1" s="9" t="s">
        <v>2250</v>
      </c>
    </row>
    <row r="2" ht="15">
      <c r="C2" s="10" t="s">
        <v>2251</v>
      </c>
      <c r="D2" s="12" t="s">
        <v>2252</v>
      </c>
      <c r="E2" s="13"/>
      <c r="G2" s="62" t="s">
        <v>2252</v>
      </c>
      <c r="H2" s="9">
        <v>2</v>
      </c>
      <c r="I2" s="9" t="str">
        <f ref="I2:I12" t="shared" si="0">IF(G3=1,J2,K2)</f>
        <v>Fev</v>
      </c>
      <c r="J2" s="9" t="s">
        <v>2253</v>
      </c>
      <c r="K2" s="9" t="s">
        <v>2254</v>
      </c>
      <c r="N2" s="9">
        <v>2</v>
      </c>
      <c r="O2" s="9" t="s">
        <v>2255</v>
      </c>
      <c r="P2" s="9">
        <v>9</v>
      </c>
      <c r="Q2" s="9" t="s">
        <v>2256</v>
      </c>
    </row>
    <row r="3" ht="15">
      <c r="C3" s="10" t="s">
        <v>2257</v>
      </c>
      <c r="D3" s="12" t="s">
        <v>2258</v>
      </c>
      <c r="E3" s="13"/>
      <c r="H3" s="9">
        <v>3</v>
      </c>
      <c r="I3" s="9" t="str">
        <f t="shared" si="0"/>
        <v>Mar</v>
      </c>
      <c r="J3" s="9" t="s">
        <v>2259</v>
      </c>
      <c r="K3" s="9" t="s">
        <v>2259</v>
      </c>
      <c r="N3" s="9">
        <v>3</v>
      </c>
      <c r="O3" s="9" t="s">
        <v>2260</v>
      </c>
      <c r="P3" s="9">
        <v>10</v>
      </c>
      <c r="Q3" s="9" t="s">
        <v>2261</v>
      </c>
    </row>
    <row r="4" ht="15">
      <c r="C4" s="10" t="s">
        <v>2249</v>
      </c>
      <c r="D4" s="12" t="s">
        <v>2262</v>
      </c>
      <c r="E4" s="12" t="s">
        <v>2262</v>
      </c>
      <c r="H4" s="9">
        <v>4</v>
      </c>
      <c r="I4" s="9" t="str">
        <f t="shared" si="0"/>
        <v>Abr</v>
      </c>
      <c r="J4" s="9" t="s">
        <v>2263</v>
      </c>
      <c r="K4" s="9" t="s">
        <v>2264</v>
      </c>
      <c r="L4" s="14"/>
      <c r="M4" s="14"/>
      <c r="N4" s="9">
        <v>4</v>
      </c>
      <c r="O4" s="9" t="s">
        <v>2245</v>
      </c>
      <c r="P4" s="9">
        <v>11</v>
      </c>
      <c r="Q4" s="9" t="s">
        <v>2265</v>
      </c>
      <c r="R4" s="14"/>
    </row>
    <row r="5" ht="15">
      <c r="C5" s="10" t="s">
        <v>2266</v>
      </c>
      <c r="D5" s="13"/>
      <c r="E5" s="13"/>
      <c r="H5" s="9">
        <v>5</v>
      </c>
      <c r="I5" s="9" t="str">
        <f t="shared" si="0"/>
        <v>Mai</v>
      </c>
      <c r="J5" s="9" t="s">
        <v>2267</v>
      </c>
      <c r="K5" s="9" t="s">
        <v>2268</v>
      </c>
      <c r="N5" s="9">
        <v>5</v>
      </c>
      <c r="O5" s="9" t="s">
        <v>2269</v>
      </c>
      <c r="P5" s="9">
        <v>15</v>
      </c>
      <c r="Q5" s="68" t="s">
        <v>2270</v>
      </c>
      <c r="R5" s="15"/>
    </row>
    <row r="6" ht="15">
      <c r="C6" s="10" t="s">
        <v>2271</v>
      </c>
      <c r="D6" s="12">
        <v>4</v>
      </c>
      <c r="E6" s="12">
        <v>2026</v>
      </c>
      <c r="H6" s="9">
        <v>6</v>
      </c>
      <c r="I6" s="9" t="str">
        <f t="shared" si="0"/>
        <v>Jun</v>
      </c>
      <c r="J6" s="9" t="s">
        <v>2272</v>
      </c>
      <c r="K6" s="9" t="s">
        <v>2272</v>
      </c>
      <c r="N6" s="9">
        <v>6</v>
      </c>
      <c r="O6" s="9" t="s">
        <v>2273</v>
      </c>
      <c r="P6" s="9">
        <v>16</v>
      </c>
      <c r="Q6" s="9" t="s">
        <v>2274</v>
      </c>
      <c r="R6" s="15"/>
    </row>
    <row r="7" ht="15">
      <c r="C7" s="10" t="s">
        <v>2275</v>
      </c>
      <c r="D7" s="11" t="s">
        <v>2276</v>
      </c>
      <c r="E7" s="13"/>
      <c r="H7" s="9">
        <v>7</v>
      </c>
      <c r="I7" s="9" t="str">
        <f t="shared" si="0"/>
        <v>Jul</v>
      </c>
      <c r="J7" s="9" t="s">
        <v>2277</v>
      </c>
      <c r="K7" s="9" t="s">
        <v>2277</v>
      </c>
      <c r="P7" s="9">
        <v>17</v>
      </c>
      <c r="Q7" s="9" t="s">
        <v>2251</v>
      </c>
      <c r="R7" s="15"/>
    </row>
    <row r="8" ht="15">
      <c r="C8" s="10" t="s">
        <v>2278</v>
      </c>
      <c r="D8" s="12" t="s">
        <v>2252</v>
      </c>
      <c r="E8" s="13"/>
      <c r="H8" s="9">
        <v>8</v>
      </c>
      <c r="I8" s="9" t="str">
        <f t="shared" si="0"/>
        <v>Ago</v>
      </c>
      <c r="J8" s="9" t="s">
        <v>2279</v>
      </c>
      <c r="K8" s="9" t="s">
        <v>2280</v>
      </c>
      <c r="P8" s="9">
        <v>18</v>
      </c>
      <c r="Q8" s="68" t="s">
        <v>2281</v>
      </c>
      <c r="R8" s="15"/>
    </row>
    <row r="9" ht="15">
      <c r="C9" s="10" t="s">
        <v>2282</v>
      </c>
      <c r="D9" s="12" t="s">
        <v>2252</v>
      </c>
      <c r="E9" s="16"/>
      <c r="H9" s="9">
        <v>9</v>
      </c>
      <c r="I9" s="9" t="str">
        <f t="shared" si="0"/>
        <v>Set</v>
      </c>
      <c r="J9" s="9" t="s">
        <v>2283</v>
      </c>
      <c r="K9" s="9" t="s">
        <v>2284</v>
      </c>
    </row>
    <row r="10" ht="15">
      <c r="C10" s="10" t="s">
        <v>2285</v>
      </c>
      <c r="D10" s="16"/>
      <c r="E10" s="16"/>
      <c r="H10" s="9">
        <v>10</v>
      </c>
      <c r="I10" s="9" t="str">
        <f t="shared" si="0"/>
        <v>Out</v>
      </c>
      <c r="J10" s="9" t="s">
        <v>2286</v>
      </c>
      <c r="K10" s="9" t="s">
        <v>2287</v>
      </c>
    </row>
    <row r="11" ht="15">
      <c r="G11" s="24"/>
      <c r="H11" s="9">
        <v>11</v>
      </c>
      <c r="I11" s="9" t="str">
        <f t="shared" si="0"/>
        <v>Nov</v>
      </c>
      <c r="J11" s="9" t="s">
        <v>2288</v>
      </c>
      <c r="K11" s="9" t="s">
        <v>2288</v>
      </c>
    </row>
    <row r="12" ht="15">
      <c r="F12" s="17"/>
      <c r="G12" s="25"/>
      <c r="H12" s="9">
        <v>12</v>
      </c>
      <c r="I12" s="9" t="str">
        <f t="shared" si="0"/>
        <v>Dez</v>
      </c>
      <c r="J12" s="9" t="s">
        <v>2289</v>
      </c>
      <c r="K12" s="9" t="s">
        <v>2290</v>
      </c>
    </row>
    <row r="13" ht="15">
      <c r="A13" s="14" t="s">
        <v>2291</v>
      </c>
      <c r="B13" s="14" t="s">
        <v>2292</v>
      </c>
      <c r="C13" s="14" t="s">
        <v>2293</v>
      </c>
      <c r="D13" s="14" t="s">
        <v>2294</v>
      </c>
      <c r="E13" s="14" t="s">
        <v>2295</v>
      </c>
      <c r="F13" s="17"/>
      <c r="G13" s="25"/>
    </row>
    <row r="14" ht="15">
      <c r="A14" s="25">
        <v>1</v>
      </c>
      <c r="B14" s="25" t="s">
        <v>12</v>
      </c>
      <c r="C14" s="25" t="s">
        <v>2296</v>
      </c>
      <c r="D14" s="25">
        <v>0</v>
      </c>
      <c r="E14" s="25">
        <v>0</v>
      </c>
      <c r="F14" s="17"/>
      <c r="G14" s="25"/>
    </row>
    <row r="15">
      <c r="A15" s="25">
        <v>2</v>
      </c>
      <c r="B15" s="25" t="s">
        <v>13</v>
      </c>
      <c r="C15" s="25" t="s">
        <v>2297</v>
      </c>
      <c r="D15" s="25">
        <v>0</v>
      </c>
      <c r="E15" s="25">
        <v>0</v>
      </c>
      <c r="F15" s="17"/>
      <c r="G15" s="25"/>
    </row>
    <row r="16">
      <c r="A16" s="25">
        <v>3</v>
      </c>
      <c r="B16" s="25" t="s">
        <v>15</v>
      </c>
      <c r="C16" s="25" t="s">
        <v>2298</v>
      </c>
      <c r="D16" s="25">
        <v>0</v>
      </c>
      <c r="E16" s="25">
        <v>0</v>
      </c>
      <c r="F16" s="17"/>
      <c r="G16" s="25"/>
    </row>
    <row r="17">
      <c r="A17" s="25">
        <v>4</v>
      </c>
      <c r="B17" s="25" t="s">
        <v>16</v>
      </c>
      <c r="C17" s="25" t="s">
        <v>2299</v>
      </c>
      <c r="D17" s="25">
        <v>0</v>
      </c>
      <c r="E17" s="25">
        <v>0</v>
      </c>
      <c r="F17" s="17"/>
      <c r="G17" s="25"/>
    </row>
    <row r="18">
      <c r="A18" s="25">
        <v>5</v>
      </c>
      <c r="B18" s="25" t="s">
        <v>17</v>
      </c>
      <c r="C18" s="25" t="s">
        <v>2300</v>
      </c>
      <c r="D18" s="25">
        <v>0</v>
      </c>
      <c r="E18" s="25">
        <v>0</v>
      </c>
      <c r="F18" s="17"/>
      <c r="G18" s="25"/>
    </row>
    <row r="19">
      <c r="A19" s="25">
        <v>6</v>
      </c>
      <c r="B19" s="25" t="s">
        <v>18</v>
      </c>
      <c r="C19" s="25" t="s">
        <v>2301</v>
      </c>
      <c r="D19" s="25">
        <v>0</v>
      </c>
      <c r="E19" s="25">
        <v>0</v>
      </c>
      <c r="F19" s="17"/>
      <c r="G19" s="25"/>
    </row>
    <row r="20">
      <c r="A20" s="25">
        <v>7</v>
      </c>
      <c r="B20" s="25" t="s">
        <v>19</v>
      </c>
      <c r="C20" s="25" t="s">
        <v>2302</v>
      </c>
      <c r="D20" s="25">
        <v>0</v>
      </c>
      <c r="E20" s="25">
        <v>0</v>
      </c>
      <c r="F20" s="17"/>
      <c r="G20" s="25"/>
    </row>
    <row r="21">
      <c r="A21" s="25">
        <v>8</v>
      </c>
      <c r="B21" s="25" t="s">
        <v>22</v>
      </c>
      <c r="C21" s="25" t="s">
        <v>2303</v>
      </c>
      <c r="D21" s="25">
        <v>0</v>
      </c>
      <c r="E21" s="25">
        <v>0</v>
      </c>
      <c r="F21" s="17"/>
      <c r="G21" s="25"/>
    </row>
    <row r="22">
      <c r="A22" s="25">
        <v>9</v>
      </c>
      <c r="B22" s="25" t="s">
        <v>23</v>
      </c>
      <c r="C22" s="25" t="s">
        <v>2304</v>
      </c>
      <c r="D22" s="25">
        <v>0</v>
      </c>
      <c r="E22" s="25">
        <v>0</v>
      </c>
      <c r="F22" s="17"/>
      <c r="G22" s="25"/>
    </row>
    <row r="23">
      <c r="A23" s="25">
        <v>10</v>
      </c>
      <c r="B23" s="25" t="s">
        <v>25</v>
      </c>
      <c r="C23" s="25" t="s">
        <v>2305</v>
      </c>
      <c r="D23" s="25">
        <v>0</v>
      </c>
      <c r="E23" s="25">
        <v>0</v>
      </c>
      <c r="F23" s="17"/>
      <c r="G23" s="25"/>
    </row>
    <row r="24">
      <c r="A24" s="25">
        <v>11</v>
      </c>
      <c r="B24" s="25" t="s">
        <v>26</v>
      </c>
      <c r="C24" s="25" t="s">
        <v>2306</v>
      </c>
      <c r="D24" s="25">
        <v>0</v>
      </c>
      <c r="E24" s="25">
        <v>0</v>
      </c>
      <c r="F24" s="17"/>
      <c r="G24" s="25"/>
    </row>
    <row r="25">
      <c r="A25" s="25">
        <v>12</v>
      </c>
      <c r="B25" s="25" t="s">
        <v>27</v>
      </c>
      <c r="C25" s="25" t="s">
        <v>2307</v>
      </c>
      <c r="D25" s="25">
        <v>0</v>
      </c>
      <c r="E25" s="25">
        <v>0</v>
      </c>
      <c r="F25" s="17"/>
      <c r="G25" s="25"/>
    </row>
    <row r="26">
      <c r="A26" s="25">
        <v>13</v>
      </c>
      <c r="B26" s="25" t="s">
        <v>28</v>
      </c>
      <c r="C26" s="25" t="s">
        <v>2308</v>
      </c>
      <c r="D26" s="25">
        <v>0</v>
      </c>
      <c r="E26" s="25">
        <v>0</v>
      </c>
      <c r="F26" s="17"/>
      <c r="G26" s="25"/>
    </row>
    <row r="27">
      <c r="A27" s="25">
        <v>14</v>
      </c>
      <c r="B27" s="25" t="s">
        <v>29</v>
      </c>
      <c r="C27" s="25" t="s">
        <v>2309</v>
      </c>
      <c r="D27" s="25">
        <v>0</v>
      </c>
      <c r="E27" s="25">
        <v>0</v>
      </c>
      <c r="F27" s="17"/>
      <c r="G27" s="25"/>
    </row>
    <row r="28">
      <c r="A28" s="25">
        <v>15</v>
      </c>
      <c r="B28" s="25" t="s">
        <v>33</v>
      </c>
      <c r="C28" s="25" t="s">
        <v>2310</v>
      </c>
      <c r="D28" s="25">
        <v>0</v>
      </c>
      <c r="E28" s="25">
        <v>0</v>
      </c>
      <c r="F28" s="17"/>
      <c r="G28" s="25"/>
    </row>
    <row r="29">
      <c r="A29" s="25">
        <v>16</v>
      </c>
      <c r="B29" s="25" t="s">
        <v>34</v>
      </c>
      <c r="C29" s="25" t="s">
        <v>2311</v>
      </c>
      <c r="D29" s="25">
        <v>0</v>
      </c>
      <c r="E29" s="25">
        <v>0</v>
      </c>
      <c r="F29" s="17"/>
      <c r="G29" s="25"/>
    </row>
    <row r="30">
      <c r="A30" s="25">
        <v>17</v>
      </c>
      <c r="B30" s="25" t="s">
        <v>36</v>
      </c>
      <c r="C30" s="25" t="s">
        <v>2312</v>
      </c>
      <c r="D30" s="25">
        <v>0</v>
      </c>
      <c r="E30" s="25">
        <v>0</v>
      </c>
      <c r="F30" s="17"/>
      <c r="G30" s="25"/>
    </row>
    <row r="31">
      <c r="A31" s="25">
        <v>18</v>
      </c>
      <c r="B31" s="25" t="s">
        <v>37</v>
      </c>
      <c r="C31" s="25" t="s">
        <v>2313</v>
      </c>
      <c r="D31" s="25">
        <v>0</v>
      </c>
      <c r="E31" s="25">
        <v>0</v>
      </c>
      <c r="F31" s="17"/>
      <c r="G31" s="25"/>
    </row>
    <row r="32">
      <c r="A32" s="25">
        <v>19</v>
      </c>
      <c r="B32" s="25" t="s">
        <v>38</v>
      </c>
      <c r="C32" s="25" t="s">
        <v>2314</v>
      </c>
      <c r="D32" s="25">
        <v>0</v>
      </c>
      <c r="E32" s="25">
        <v>0</v>
      </c>
      <c r="F32" s="17"/>
      <c r="G32" s="25"/>
    </row>
    <row r="33">
      <c r="A33" s="25">
        <v>20</v>
      </c>
      <c r="B33" s="25" t="s">
        <v>39</v>
      </c>
      <c r="C33" s="25" t="s">
        <v>2315</v>
      </c>
      <c r="D33" s="25">
        <v>0</v>
      </c>
      <c r="E33" s="25">
        <v>0</v>
      </c>
      <c r="F33" s="17"/>
      <c r="G33" s="25"/>
    </row>
    <row r="34">
      <c r="A34" s="25">
        <v>21</v>
      </c>
      <c r="B34" s="25" t="s">
        <v>40</v>
      </c>
      <c r="C34" s="25" t="s">
        <v>2316</v>
      </c>
      <c r="D34" s="25">
        <v>0</v>
      </c>
      <c r="E34" s="25">
        <v>0</v>
      </c>
      <c r="F34" s="17"/>
      <c r="G34" s="25"/>
    </row>
    <row r="35">
      <c r="A35" s="25">
        <v>22</v>
      </c>
      <c r="B35" s="25" t="s">
        <v>63</v>
      </c>
      <c r="C35" s="25" t="s">
        <v>2317</v>
      </c>
      <c r="D35" s="25">
        <v>0</v>
      </c>
      <c r="E35" s="25">
        <v>0</v>
      </c>
      <c r="F35" s="17"/>
      <c r="G35" s="25"/>
    </row>
    <row r="36">
      <c r="A36" s="25">
        <v>23</v>
      </c>
      <c r="B36" s="25" t="s">
        <v>64</v>
      </c>
      <c r="C36" s="25" t="s">
        <v>2318</v>
      </c>
      <c r="D36" s="25">
        <v>0</v>
      </c>
      <c r="E36" s="25">
        <v>0</v>
      </c>
      <c r="F36" s="17"/>
      <c r="G36" s="25"/>
    </row>
    <row r="37">
      <c r="A37" s="25">
        <v>24</v>
      </c>
      <c r="B37" s="25" t="s">
        <v>66</v>
      </c>
      <c r="C37" s="25" t="s">
        <v>2319</v>
      </c>
      <c r="D37" s="25">
        <v>0</v>
      </c>
      <c r="E37" s="25">
        <v>0</v>
      </c>
      <c r="F37" s="17"/>
      <c r="G37" s="25"/>
    </row>
    <row r="38">
      <c r="A38" s="25">
        <v>25</v>
      </c>
      <c r="B38" s="25" t="s">
        <v>67</v>
      </c>
      <c r="C38" s="25" t="s">
        <v>2320</v>
      </c>
      <c r="D38" s="25">
        <v>0</v>
      </c>
      <c r="E38" s="25">
        <v>0</v>
      </c>
      <c r="F38" s="17"/>
      <c r="G38" s="25"/>
    </row>
    <row r="39">
      <c r="A39" s="25">
        <v>26</v>
      </c>
      <c r="B39" s="25" t="s">
        <v>68</v>
      </c>
      <c r="C39" s="25" t="s">
        <v>2321</v>
      </c>
      <c r="D39" s="25">
        <v>0</v>
      </c>
      <c r="E39" s="25">
        <v>0</v>
      </c>
      <c r="F39" s="17"/>
      <c r="G39" s="25"/>
    </row>
    <row r="40">
      <c r="A40" s="25">
        <v>27</v>
      </c>
      <c r="B40" s="25" t="s">
        <v>69</v>
      </c>
      <c r="C40" s="25" t="s">
        <v>2322</v>
      </c>
      <c r="D40" s="25">
        <v>0</v>
      </c>
      <c r="E40" s="25">
        <v>0</v>
      </c>
      <c r="F40" s="17"/>
      <c r="G40" s="25"/>
    </row>
    <row r="41">
      <c r="A41" s="25">
        <v>28</v>
      </c>
      <c r="B41" s="25" t="s">
        <v>70</v>
      </c>
      <c r="C41" s="25" t="s">
        <v>2323</v>
      </c>
      <c r="D41" s="25">
        <v>0</v>
      </c>
      <c r="E41" s="25">
        <v>0</v>
      </c>
      <c r="F41" s="17"/>
      <c r="G41" s="25"/>
    </row>
    <row r="42">
      <c r="A42" s="25">
        <v>29</v>
      </c>
      <c r="B42" s="25" t="s">
        <v>74</v>
      </c>
      <c r="C42" s="25" t="s">
        <v>2324</v>
      </c>
      <c r="D42" s="25">
        <v>0</v>
      </c>
      <c r="E42" s="25">
        <v>2</v>
      </c>
      <c r="F42" s="17"/>
      <c r="G42" s="25"/>
    </row>
    <row r="43">
      <c r="A43" s="25">
        <v>30</v>
      </c>
      <c r="B43" s="25" t="s">
        <v>75</v>
      </c>
      <c r="C43" s="25" t="s">
        <v>2325</v>
      </c>
      <c r="D43" s="25">
        <v>0</v>
      </c>
      <c r="E43" s="25">
        <v>42250</v>
      </c>
      <c r="F43" s="17"/>
      <c r="G43" s="25"/>
    </row>
    <row r="44">
      <c r="A44" s="25">
        <v>31</v>
      </c>
      <c r="B44" s="25" t="s">
        <v>77</v>
      </c>
      <c r="C44" s="25" t="s">
        <v>2326</v>
      </c>
      <c r="D44" s="25">
        <v>0</v>
      </c>
      <c r="E44" s="25">
        <v>0</v>
      </c>
      <c r="F44" s="17"/>
      <c r="G44" s="25"/>
    </row>
    <row r="45">
      <c r="A45" s="25">
        <v>32</v>
      </c>
      <c r="B45" s="25" t="s">
        <v>78</v>
      </c>
      <c r="C45" s="25" t="s">
        <v>2327</v>
      </c>
      <c r="D45" s="25">
        <v>0</v>
      </c>
      <c r="E45" s="25">
        <v>0</v>
      </c>
      <c r="F45" s="17"/>
      <c r="G45" s="25"/>
    </row>
    <row r="46">
      <c r="A46" s="25">
        <v>33</v>
      </c>
      <c r="B46" s="25" t="s">
        <v>79</v>
      </c>
      <c r="C46" s="25" t="s">
        <v>2328</v>
      </c>
      <c r="D46" s="25">
        <v>0</v>
      </c>
      <c r="E46" s="25">
        <v>42250</v>
      </c>
      <c r="F46" s="17"/>
      <c r="G46" s="25"/>
    </row>
    <row r="47">
      <c r="A47" s="25">
        <v>34</v>
      </c>
      <c r="B47" s="25" t="s">
        <v>80</v>
      </c>
      <c r="C47" s="25" t="s">
        <v>2329</v>
      </c>
      <c r="D47" s="25">
        <v>0</v>
      </c>
      <c r="E47" s="25">
        <v>38004.26</v>
      </c>
      <c r="F47" s="17"/>
      <c r="G47" s="25"/>
    </row>
    <row r="48">
      <c r="A48" s="25">
        <v>35</v>
      </c>
      <c r="B48" s="25" t="s">
        <v>81</v>
      </c>
      <c r="C48" s="25" t="s">
        <v>2330</v>
      </c>
      <c r="D48" s="25">
        <v>0</v>
      </c>
      <c r="E48" s="25">
        <v>4245.74</v>
      </c>
      <c r="F48" s="17"/>
      <c r="G48" s="25"/>
    </row>
    <row r="49">
      <c r="A49" s="25">
        <v>36</v>
      </c>
      <c r="B49" s="25" t="s">
        <v>94</v>
      </c>
      <c r="C49" s="25" t="s">
        <v>2331</v>
      </c>
      <c r="D49" s="25">
        <v>0</v>
      </c>
      <c r="E49" s="25">
        <v>0</v>
      </c>
      <c r="F49" s="17"/>
      <c r="G49" s="25"/>
    </row>
    <row r="50">
      <c r="A50" s="25">
        <v>37</v>
      </c>
      <c r="B50" s="25" t="s">
        <v>95</v>
      </c>
      <c r="C50" s="25" t="s">
        <v>2332</v>
      </c>
      <c r="D50" s="25">
        <v>0</v>
      </c>
      <c r="E50" s="25">
        <v>0</v>
      </c>
      <c r="F50" s="17"/>
      <c r="G50" s="25"/>
    </row>
    <row r="51">
      <c r="A51" s="25">
        <v>38</v>
      </c>
      <c r="B51" s="25" t="s">
        <v>97</v>
      </c>
      <c r="C51" s="25" t="s">
        <v>2333</v>
      </c>
      <c r="D51" s="25">
        <v>0</v>
      </c>
      <c r="E51" s="25">
        <v>0</v>
      </c>
      <c r="F51" s="17"/>
      <c r="G51" s="25"/>
    </row>
    <row r="52">
      <c r="A52" s="25">
        <v>39</v>
      </c>
      <c r="B52" s="25" t="s">
        <v>98</v>
      </c>
      <c r="C52" s="25" t="s">
        <v>2334</v>
      </c>
      <c r="D52" s="25">
        <v>0</v>
      </c>
      <c r="E52" s="25">
        <v>0</v>
      </c>
      <c r="F52" s="17"/>
      <c r="G52" s="25"/>
    </row>
    <row r="53">
      <c r="A53" s="25">
        <v>40</v>
      </c>
      <c r="B53" s="25" t="s">
        <v>99</v>
      </c>
      <c r="C53" s="25" t="s">
        <v>2335</v>
      </c>
      <c r="D53" s="25">
        <v>0</v>
      </c>
      <c r="E53" s="25">
        <v>0</v>
      </c>
      <c r="F53" s="17"/>
      <c r="G53" s="25"/>
    </row>
    <row r="54">
      <c r="A54" s="25">
        <v>41</v>
      </c>
      <c r="B54" s="25" t="s">
        <v>100</v>
      </c>
      <c r="C54" s="25" t="s">
        <v>2336</v>
      </c>
      <c r="D54" s="25">
        <v>0</v>
      </c>
      <c r="E54" s="25">
        <v>0</v>
      </c>
      <c r="F54" s="17"/>
      <c r="G54" s="25"/>
    </row>
    <row r="55">
      <c r="A55" s="25">
        <v>42</v>
      </c>
      <c r="B55" s="25" t="s">
        <v>101</v>
      </c>
      <c r="C55" s="25" t="s">
        <v>2337</v>
      </c>
      <c r="D55" s="25">
        <v>0</v>
      </c>
      <c r="E55" s="25">
        <v>0</v>
      </c>
      <c r="F55" s="17"/>
      <c r="G55" s="25"/>
    </row>
    <row r="56">
      <c r="A56" s="25">
        <v>43</v>
      </c>
      <c r="B56" s="25" t="s">
        <v>104</v>
      </c>
      <c r="C56" s="25" t="s">
        <v>2338</v>
      </c>
      <c r="D56" s="25">
        <v>0</v>
      </c>
      <c r="E56" s="25">
        <v>0</v>
      </c>
      <c r="F56" s="17"/>
      <c r="G56" s="25"/>
    </row>
    <row r="57">
      <c r="A57" s="25">
        <v>44</v>
      </c>
      <c r="B57" s="25" t="s">
        <v>105</v>
      </c>
      <c r="C57" s="25" t="s">
        <v>2339</v>
      </c>
      <c r="D57" s="25">
        <v>0</v>
      </c>
      <c r="E57" s="25">
        <v>0</v>
      </c>
      <c r="F57" s="17"/>
      <c r="G57" s="25"/>
    </row>
    <row r="58">
      <c r="A58" s="25">
        <v>45</v>
      </c>
      <c r="B58" s="25" t="s">
        <v>107</v>
      </c>
      <c r="C58" s="25" t="s">
        <v>2340</v>
      </c>
      <c r="D58" s="25">
        <v>0</v>
      </c>
      <c r="E58" s="25">
        <v>0</v>
      </c>
      <c r="F58" s="17"/>
      <c r="G58" s="25"/>
    </row>
    <row r="59">
      <c r="A59" s="25">
        <v>46</v>
      </c>
      <c r="B59" s="25" t="s">
        <v>108</v>
      </c>
      <c r="C59" s="25" t="s">
        <v>2341</v>
      </c>
      <c r="D59" s="25">
        <v>0</v>
      </c>
      <c r="E59" s="25">
        <v>0</v>
      </c>
      <c r="F59" s="17"/>
      <c r="G59" s="25"/>
    </row>
    <row r="60">
      <c r="A60" s="25">
        <v>47</v>
      </c>
      <c r="B60" s="25" t="s">
        <v>109</v>
      </c>
      <c r="C60" s="25" t="s">
        <v>2342</v>
      </c>
      <c r="D60" s="25">
        <v>0</v>
      </c>
      <c r="E60" s="25">
        <v>0</v>
      </c>
      <c r="F60" s="17"/>
      <c r="G60" s="25"/>
    </row>
    <row r="61">
      <c r="A61" s="25">
        <v>48</v>
      </c>
      <c r="B61" s="25" t="s">
        <v>110</v>
      </c>
      <c r="C61" s="25" t="s">
        <v>2343</v>
      </c>
      <c r="D61" s="25">
        <v>0</v>
      </c>
      <c r="E61" s="25">
        <v>0</v>
      </c>
      <c r="F61" s="17"/>
      <c r="G61" s="25"/>
    </row>
    <row r="62">
      <c r="A62" s="25">
        <v>49</v>
      </c>
      <c r="B62" s="25" t="s">
        <v>111</v>
      </c>
      <c r="C62" s="25" t="s">
        <v>2344</v>
      </c>
      <c r="D62" s="25">
        <v>0</v>
      </c>
      <c r="E62" s="25">
        <v>0</v>
      </c>
      <c r="F62" s="17"/>
      <c r="G62" s="25"/>
    </row>
    <row r="63">
      <c r="A63" s="25">
        <v>50</v>
      </c>
      <c r="B63" s="25" t="s">
        <v>114</v>
      </c>
      <c r="C63" s="25" t="s">
        <v>2345</v>
      </c>
      <c r="D63" s="25">
        <v>0</v>
      </c>
      <c r="E63" s="25">
        <v>0</v>
      </c>
      <c r="F63" s="17"/>
      <c r="G63" s="25"/>
    </row>
    <row r="64">
      <c r="A64" s="25">
        <v>51</v>
      </c>
      <c r="B64" s="25" t="s">
        <v>115</v>
      </c>
      <c r="C64" s="25" t="s">
        <v>2346</v>
      </c>
      <c r="D64" s="25">
        <v>0</v>
      </c>
      <c r="E64" s="25">
        <v>0</v>
      </c>
      <c r="F64" s="17"/>
      <c r="G64" s="25"/>
    </row>
    <row r="65">
      <c r="A65" s="25">
        <v>52</v>
      </c>
      <c r="B65" s="25" t="s">
        <v>117</v>
      </c>
      <c r="C65" s="25" t="s">
        <v>2347</v>
      </c>
      <c r="D65" s="25">
        <v>0</v>
      </c>
      <c r="E65" s="25">
        <v>0</v>
      </c>
      <c r="F65" s="17"/>
      <c r="G65" s="25"/>
    </row>
    <row r="66">
      <c r="A66" s="25">
        <v>53</v>
      </c>
      <c r="B66" s="25" t="s">
        <v>118</v>
      </c>
      <c r="C66" s="25" t="s">
        <v>2348</v>
      </c>
      <c r="D66" s="25">
        <v>0</v>
      </c>
      <c r="E66" s="25">
        <v>0</v>
      </c>
      <c r="F66" s="17"/>
      <c r="G66" s="25"/>
    </row>
    <row r="67">
      <c r="A67" s="25">
        <v>54</v>
      </c>
      <c r="B67" s="25" t="s">
        <v>119</v>
      </c>
      <c r="C67" s="25" t="s">
        <v>2349</v>
      </c>
      <c r="D67" s="25">
        <v>0</v>
      </c>
      <c r="E67" s="25">
        <v>0</v>
      </c>
      <c r="F67" s="17"/>
      <c r="G67" s="25"/>
    </row>
    <row r="68">
      <c r="A68" s="25">
        <v>55</v>
      </c>
      <c r="B68" s="25" t="s">
        <v>120</v>
      </c>
      <c r="C68" s="25" t="s">
        <v>2350</v>
      </c>
      <c r="D68" s="25">
        <v>0</v>
      </c>
      <c r="E68" s="25">
        <v>0</v>
      </c>
      <c r="F68" s="17"/>
      <c r="G68" s="25"/>
    </row>
    <row r="69">
      <c r="A69" s="25">
        <v>56</v>
      </c>
      <c r="B69" s="25" t="s">
        <v>121</v>
      </c>
      <c r="C69" s="25" t="s">
        <v>2351</v>
      </c>
      <c r="D69" s="25">
        <v>0</v>
      </c>
      <c r="E69" s="25">
        <v>0</v>
      </c>
      <c r="F69" s="17"/>
      <c r="G69" s="25"/>
    </row>
    <row r="70">
      <c r="A70" s="25">
        <v>57</v>
      </c>
      <c r="B70" s="25" t="s">
        <v>134</v>
      </c>
      <c r="C70" s="25" t="s">
        <v>2352</v>
      </c>
      <c r="D70" s="25">
        <v>0</v>
      </c>
      <c r="E70" s="25">
        <v>0</v>
      </c>
      <c r="F70" s="17"/>
      <c r="G70" s="25"/>
    </row>
    <row r="71">
      <c r="A71" s="25">
        <v>58</v>
      </c>
      <c r="B71" s="25" t="s">
        <v>135</v>
      </c>
      <c r="C71" s="25" t="s">
        <v>2353</v>
      </c>
      <c r="D71" s="25">
        <v>0</v>
      </c>
      <c r="E71" s="25">
        <v>0</v>
      </c>
      <c r="F71" s="17"/>
      <c r="G71" s="25"/>
    </row>
    <row r="72">
      <c r="A72" s="25">
        <v>59</v>
      </c>
      <c r="B72" s="25" t="s">
        <v>137</v>
      </c>
      <c r="C72" s="25" t="s">
        <v>2354</v>
      </c>
      <c r="D72" s="25">
        <v>0</v>
      </c>
      <c r="E72" s="25">
        <v>0</v>
      </c>
      <c r="F72" s="17"/>
      <c r="G72" s="25"/>
    </row>
    <row r="73">
      <c r="A73" s="25">
        <v>60</v>
      </c>
      <c r="B73" s="25" t="s">
        <v>138</v>
      </c>
      <c r="C73" s="25" t="s">
        <v>2355</v>
      </c>
      <c r="D73" s="25">
        <v>0</v>
      </c>
      <c r="E73" s="25">
        <v>0</v>
      </c>
      <c r="F73" s="17"/>
      <c r="G73" s="25"/>
    </row>
    <row r="74">
      <c r="A74" s="25">
        <v>61</v>
      </c>
      <c r="B74" s="25" t="s">
        <v>139</v>
      </c>
      <c r="C74" s="25" t="s">
        <v>2356</v>
      </c>
      <c r="D74" s="25">
        <v>0</v>
      </c>
      <c r="E74" s="25">
        <v>0</v>
      </c>
      <c r="F74" s="17"/>
      <c r="G74" s="25"/>
    </row>
    <row r="75">
      <c r="A75" s="25">
        <v>62</v>
      </c>
      <c r="B75" s="25" t="s">
        <v>140</v>
      </c>
      <c r="C75" s="25" t="s">
        <v>2357</v>
      </c>
      <c r="D75" s="25">
        <v>0</v>
      </c>
      <c r="E75" s="25">
        <v>0</v>
      </c>
      <c r="F75" s="17"/>
      <c r="G75" s="25"/>
    </row>
    <row r="76">
      <c r="A76" s="25">
        <v>63</v>
      </c>
      <c r="B76" s="25" t="s">
        <v>141</v>
      </c>
      <c r="C76" s="25" t="s">
        <v>2358</v>
      </c>
      <c r="D76" s="25">
        <v>0</v>
      </c>
      <c r="E76" s="25">
        <v>0</v>
      </c>
      <c r="F76" s="17"/>
      <c r="G76" s="25"/>
    </row>
    <row r="77">
      <c r="A77" s="25">
        <v>64</v>
      </c>
      <c r="B77" s="25" t="s">
        <v>154</v>
      </c>
      <c r="C77" s="25" t="s">
        <v>2359</v>
      </c>
      <c r="D77" s="25">
        <v>0</v>
      </c>
      <c r="E77" s="25">
        <v>0</v>
      </c>
      <c r="F77" s="17"/>
      <c r="G77" s="25"/>
    </row>
    <row r="78">
      <c r="A78" s="25">
        <v>65</v>
      </c>
      <c r="B78" s="25" t="s">
        <v>155</v>
      </c>
      <c r="C78" s="25" t="s">
        <v>2360</v>
      </c>
      <c r="D78" s="25">
        <v>0</v>
      </c>
      <c r="E78" s="25">
        <v>0</v>
      </c>
      <c r="F78" s="17"/>
      <c r="G78" s="25"/>
    </row>
    <row r="79">
      <c r="A79" s="25">
        <v>66</v>
      </c>
      <c r="B79" s="25" t="s">
        <v>157</v>
      </c>
      <c r="C79" s="25" t="s">
        <v>2361</v>
      </c>
      <c r="D79" s="25">
        <v>0</v>
      </c>
      <c r="E79" s="25">
        <v>0</v>
      </c>
      <c r="F79" s="17"/>
      <c r="G79" s="25"/>
    </row>
    <row r="80">
      <c r="A80" s="25">
        <v>67</v>
      </c>
      <c r="B80" s="25" t="s">
        <v>158</v>
      </c>
      <c r="C80" s="25" t="s">
        <v>2362</v>
      </c>
      <c r="D80" s="25">
        <v>0</v>
      </c>
      <c r="E80" s="25">
        <v>0</v>
      </c>
      <c r="F80" s="17"/>
      <c r="G80" s="25"/>
    </row>
    <row r="81">
      <c r="A81" s="25">
        <v>68</v>
      </c>
      <c r="B81" s="25" t="s">
        <v>159</v>
      </c>
      <c r="C81" s="25" t="s">
        <v>2363</v>
      </c>
      <c r="D81" s="25">
        <v>0</v>
      </c>
      <c r="E81" s="25">
        <v>0</v>
      </c>
      <c r="F81" s="17"/>
      <c r="G81" s="25"/>
    </row>
    <row r="82">
      <c r="A82" s="25">
        <v>69</v>
      </c>
      <c r="B82" s="25" t="s">
        <v>160</v>
      </c>
      <c r="C82" s="25" t="s">
        <v>2364</v>
      </c>
      <c r="D82" s="25">
        <v>0</v>
      </c>
      <c r="E82" s="25">
        <v>0</v>
      </c>
      <c r="F82" s="17"/>
      <c r="G82" s="25"/>
    </row>
    <row r="83">
      <c r="A83" s="25">
        <v>70</v>
      </c>
      <c r="B83" s="25" t="s">
        <v>161</v>
      </c>
      <c r="C83" s="25" t="s">
        <v>2365</v>
      </c>
      <c r="D83" s="25">
        <v>0</v>
      </c>
      <c r="E83" s="25">
        <v>0</v>
      </c>
      <c r="F83" s="17"/>
      <c r="G83" s="25"/>
    </row>
    <row r="84">
      <c r="A84" s="25">
        <v>71</v>
      </c>
      <c r="B84" s="25" t="s">
        <v>174</v>
      </c>
      <c r="C84" s="25" t="s">
        <v>2366</v>
      </c>
      <c r="D84" s="25">
        <v>0</v>
      </c>
      <c r="E84" s="25">
        <v>2</v>
      </c>
      <c r="F84" s="17"/>
      <c r="G84" s="25"/>
    </row>
    <row r="85">
      <c r="A85" s="25">
        <v>72</v>
      </c>
      <c r="B85" s="25" t="s">
        <v>175</v>
      </c>
      <c r="C85" s="25" t="s">
        <v>2367</v>
      </c>
      <c r="D85" s="25">
        <v>0</v>
      </c>
      <c r="E85" s="25">
        <v>42250</v>
      </c>
      <c r="F85" s="17"/>
      <c r="G85" s="25"/>
    </row>
    <row r="86">
      <c r="A86" s="25">
        <v>73</v>
      </c>
      <c r="B86" s="25" t="s">
        <v>177</v>
      </c>
      <c r="C86" s="25" t="s">
        <v>2368</v>
      </c>
      <c r="D86" s="25">
        <v>0</v>
      </c>
      <c r="E86" s="25">
        <v>0</v>
      </c>
      <c r="F86" s="17"/>
      <c r="G86" s="25"/>
    </row>
    <row r="87">
      <c r="A87" s="25">
        <v>74</v>
      </c>
      <c r="B87" s="25" t="s">
        <v>178</v>
      </c>
      <c r="C87" s="25" t="s">
        <v>2369</v>
      </c>
      <c r="D87" s="25">
        <v>0</v>
      </c>
      <c r="E87" s="25">
        <v>0</v>
      </c>
      <c r="F87" s="17"/>
      <c r="G87" s="25"/>
    </row>
    <row r="88">
      <c r="A88" s="25">
        <v>75</v>
      </c>
      <c r="B88" s="25" t="s">
        <v>179</v>
      </c>
      <c r="C88" s="25" t="s">
        <v>2370</v>
      </c>
      <c r="D88" s="25">
        <v>0</v>
      </c>
      <c r="E88" s="25">
        <v>42250</v>
      </c>
      <c r="F88" s="17"/>
      <c r="G88" s="25"/>
    </row>
    <row r="89">
      <c r="A89" s="25">
        <v>76</v>
      </c>
      <c r="B89" s="25" t="s">
        <v>180</v>
      </c>
      <c r="C89" s="25" t="s">
        <v>2371</v>
      </c>
      <c r="D89" s="25">
        <v>0</v>
      </c>
      <c r="E89" s="25">
        <v>38004.26</v>
      </c>
      <c r="F89" s="17"/>
      <c r="G89" s="25"/>
    </row>
    <row r="90">
      <c r="A90" s="25">
        <v>77</v>
      </c>
      <c r="B90" s="25" t="s">
        <v>181</v>
      </c>
      <c r="C90" s="25" t="s">
        <v>2372</v>
      </c>
      <c r="D90" s="25">
        <v>0</v>
      </c>
      <c r="E90" s="25">
        <v>4245.74</v>
      </c>
      <c r="F90" s="17"/>
      <c r="G90" s="25"/>
    </row>
    <row r="91">
      <c r="A91" s="25">
        <v>78</v>
      </c>
      <c r="B91" s="25" t="s">
        <v>185</v>
      </c>
      <c r="C91" s="25" t="s">
        <v>2373</v>
      </c>
      <c r="D91" s="25">
        <v>0</v>
      </c>
      <c r="E91" s="25">
        <v>0</v>
      </c>
      <c r="F91" s="17"/>
      <c r="G91" s="25"/>
    </row>
    <row r="92">
      <c r="A92" s="25">
        <v>79</v>
      </c>
      <c r="B92" s="25" t="s">
        <v>186</v>
      </c>
      <c r="C92" s="25" t="s">
        <v>2374</v>
      </c>
      <c r="D92" s="25">
        <v>0</v>
      </c>
      <c r="E92" s="25">
        <v>0</v>
      </c>
      <c r="F92" s="17"/>
      <c r="G92" s="25"/>
    </row>
    <row r="93">
      <c r="A93" s="25">
        <v>80</v>
      </c>
      <c r="B93" s="25" t="s">
        <v>188</v>
      </c>
      <c r="C93" s="25" t="s">
        <v>2375</v>
      </c>
      <c r="D93" s="25">
        <v>0</v>
      </c>
      <c r="E93" s="25">
        <v>0</v>
      </c>
      <c r="F93" s="17"/>
      <c r="G93" s="25"/>
    </row>
    <row r="94">
      <c r="A94" s="25">
        <v>81</v>
      </c>
      <c r="B94" s="25" t="s">
        <v>189</v>
      </c>
      <c r="C94" s="25" t="s">
        <v>2376</v>
      </c>
      <c r="D94" s="25">
        <v>0</v>
      </c>
      <c r="E94" s="25">
        <v>0</v>
      </c>
      <c r="F94" s="17"/>
      <c r="G94" s="25"/>
    </row>
    <row r="95">
      <c r="A95" s="25">
        <v>82</v>
      </c>
      <c r="B95" s="25" t="s">
        <v>190</v>
      </c>
      <c r="C95" s="25" t="s">
        <v>2377</v>
      </c>
      <c r="D95" s="25">
        <v>0</v>
      </c>
      <c r="E95" s="25">
        <v>0</v>
      </c>
      <c r="F95" s="17"/>
      <c r="G95" s="25"/>
    </row>
    <row r="96">
      <c r="A96" s="25">
        <v>83</v>
      </c>
      <c r="B96" s="25" t="s">
        <v>191</v>
      </c>
      <c r="C96" s="25" t="s">
        <v>2378</v>
      </c>
      <c r="D96" s="25">
        <v>0</v>
      </c>
      <c r="E96" s="25">
        <v>0</v>
      </c>
      <c r="F96" s="17"/>
      <c r="G96" s="25"/>
    </row>
    <row r="97">
      <c r="A97" s="25">
        <v>84</v>
      </c>
      <c r="B97" s="25" t="s">
        <v>192</v>
      </c>
      <c r="C97" s="25" t="s">
        <v>2379</v>
      </c>
      <c r="D97" s="25">
        <v>0</v>
      </c>
      <c r="E97" s="25">
        <v>0</v>
      </c>
      <c r="F97" s="17"/>
      <c r="G97" s="25"/>
    </row>
    <row r="98">
      <c r="A98" s="25">
        <v>85</v>
      </c>
      <c r="B98" s="25" t="s">
        <v>205</v>
      </c>
      <c r="C98" s="25" t="s">
        <v>2380</v>
      </c>
      <c r="D98" s="25">
        <v>0</v>
      </c>
      <c r="E98" s="25">
        <v>0</v>
      </c>
      <c r="F98" s="17"/>
      <c r="G98" s="25"/>
    </row>
    <row r="99">
      <c r="A99" s="25">
        <v>86</v>
      </c>
      <c r="B99" s="25" t="s">
        <v>206</v>
      </c>
      <c r="C99" s="25" t="s">
        <v>2381</v>
      </c>
      <c r="D99" s="25">
        <v>0</v>
      </c>
      <c r="E99" s="25">
        <v>0</v>
      </c>
      <c r="F99" s="17"/>
      <c r="G99" s="25"/>
    </row>
    <row r="100">
      <c r="A100" s="25">
        <v>87</v>
      </c>
      <c r="B100" s="25" t="s">
        <v>208</v>
      </c>
      <c r="C100" s="25" t="s">
        <v>2382</v>
      </c>
      <c r="D100" s="25">
        <v>0</v>
      </c>
      <c r="E100" s="25">
        <v>0</v>
      </c>
      <c r="F100" s="17"/>
      <c r="G100" s="25"/>
    </row>
    <row r="101">
      <c r="A101" s="25">
        <v>88</v>
      </c>
      <c r="B101" s="25" t="s">
        <v>209</v>
      </c>
      <c r="C101" s="25" t="s">
        <v>2383</v>
      </c>
      <c r="D101" s="25">
        <v>0</v>
      </c>
      <c r="E101" s="25">
        <v>0</v>
      </c>
      <c r="F101" s="17"/>
      <c r="G101" s="25"/>
    </row>
    <row r="102">
      <c r="A102" s="25">
        <v>89</v>
      </c>
      <c r="B102" s="25" t="s">
        <v>210</v>
      </c>
      <c r="C102" s="25" t="s">
        <v>2384</v>
      </c>
      <c r="D102" s="25">
        <v>0</v>
      </c>
      <c r="E102" s="25">
        <v>0</v>
      </c>
      <c r="F102" s="17"/>
      <c r="G102" s="25"/>
    </row>
    <row r="103">
      <c r="A103" s="25">
        <v>90</v>
      </c>
      <c r="B103" s="25" t="s">
        <v>211</v>
      </c>
      <c r="C103" s="25" t="s">
        <v>2385</v>
      </c>
      <c r="D103" s="25">
        <v>0</v>
      </c>
      <c r="E103" s="25">
        <v>0</v>
      </c>
      <c r="F103" s="17"/>
      <c r="G103" s="25"/>
    </row>
    <row r="104">
      <c r="A104" s="25">
        <v>91</v>
      </c>
      <c r="B104" s="25" t="s">
        <v>212</v>
      </c>
      <c r="C104" s="25" t="s">
        <v>2386</v>
      </c>
      <c r="D104" s="25">
        <v>0</v>
      </c>
      <c r="E104" s="25">
        <v>0</v>
      </c>
      <c r="F104" s="17"/>
      <c r="G104" s="25"/>
    </row>
    <row r="105">
      <c r="A105" s="25">
        <v>92</v>
      </c>
      <c r="B105" s="25" t="s">
        <v>216</v>
      </c>
      <c r="C105" s="25" t="s">
        <v>2387</v>
      </c>
      <c r="D105" s="25">
        <v>0</v>
      </c>
      <c r="E105" s="25">
        <v>0</v>
      </c>
      <c r="F105" s="17"/>
      <c r="G105" s="25"/>
    </row>
    <row r="106">
      <c r="A106" s="25">
        <v>93</v>
      </c>
      <c r="B106" s="25" t="s">
        <v>217</v>
      </c>
      <c r="C106" s="25" t="s">
        <v>2388</v>
      </c>
      <c r="D106" s="25">
        <v>0</v>
      </c>
      <c r="E106" s="25">
        <v>0</v>
      </c>
      <c r="F106" s="17"/>
      <c r="G106" s="25"/>
    </row>
    <row r="107">
      <c r="A107" s="25">
        <v>94</v>
      </c>
      <c r="B107" s="25" t="s">
        <v>219</v>
      </c>
      <c r="C107" s="25" t="s">
        <v>2389</v>
      </c>
      <c r="D107" s="25">
        <v>0</v>
      </c>
      <c r="E107" s="25">
        <v>0</v>
      </c>
      <c r="F107" s="17"/>
      <c r="G107" s="25"/>
    </row>
    <row r="108">
      <c r="A108" s="25">
        <v>95</v>
      </c>
      <c r="B108" s="25" t="s">
        <v>220</v>
      </c>
      <c r="C108" s="25" t="s">
        <v>2390</v>
      </c>
      <c r="D108" s="25">
        <v>0</v>
      </c>
      <c r="E108" s="25">
        <v>0</v>
      </c>
      <c r="F108" s="17"/>
      <c r="G108" s="25"/>
    </row>
    <row r="109">
      <c r="A109" s="25">
        <v>96</v>
      </c>
      <c r="B109" s="25" t="s">
        <v>221</v>
      </c>
      <c r="C109" s="25" t="s">
        <v>2391</v>
      </c>
      <c r="D109" s="25">
        <v>0</v>
      </c>
      <c r="E109" s="25">
        <v>0</v>
      </c>
      <c r="F109" s="17"/>
      <c r="G109" s="25"/>
    </row>
    <row r="110">
      <c r="A110" s="25">
        <v>97</v>
      </c>
      <c r="B110" s="25" t="s">
        <v>222</v>
      </c>
      <c r="C110" s="25" t="s">
        <v>2392</v>
      </c>
      <c r="D110" s="25">
        <v>0</v>
      </c>
      <c r="E110" s="25">
        <v>0</v>
      </c>
      <c r="F110" s="17"/>
      <c r="G110" s="25"/>
    </row>
    <row r="111">
      <c r="A111" s="25">
        <v>98</v>
      </c>
      <c r="B111" s="25" t="s">
        <v>223</v>
      </c>
      <c r="C111" s="25" t="s">
        <v>2393</v>
      </c>
      <c r="D111" s="25">
        <v>0</v>
      </c>
      <c r="E111" s="25">
        <v>0</v>
      </c>
      <c r="F111" s="17"/>
      <c r="G111" s="25"/>
    </row>
    <row r="112">
      <c r="A112" s="25">
        <v>99</v>
      </c>
      <c r="B112" s="25" t="s">
        <v>226</v>
      </c>
      <c r="C112" s="25" t="s">
        <v>2394</v>
      </c>
      <c r="D112" s="25">
        <v>0</v>
      </c>
      <c r="E112" s="25">
        <v>0</v>
      </c>
      <c r="F112" s="17"/>
      <c r="G112" s="25"/>
    </row>
    <row r="113">
      <c r="A113" s="25">
        <v>100</v>
      </c>
      <c r="B113" s="25" t="s">
        <v>227</v>
      </c>
      <c r="C113" s="25" t="s">
        <v>2395</v>
      </c>
      <c r="D113" s="25">
        <v>0</v>
      </c>
      <c r="E113" s="25">
        <v>0</v>
      </c>
      <c r="F113" s="17"/>
      <c r="G113" s="25"/>
    </row>
    <row r="114">
      <c r="A114" s="25">
        <v>101</v>
      </c>
      <c r="B114" s="25" t="s">
        <v>229</v>
      </c>
      <c r="C114" s="25" t="s">
        <v>2396</v>
      </c>
      <c r="D114" s="25">
        <v>0</v>
      </c>
      <c r="E114" s="25">
        <v>0</v>
      </c>
      <c r="F114" s="17"/>
      <c r="G114" s="25"/>
    </row>
    <row r="115">
      <c r="A115" s="25">
        <v>102</v>
      </c>
      <c r="B115" s="25" t="s">
        <v>230</v>
      </c>
      <c r="C115" s="25" t="s">
        <v>2397</v>
      </c>
      <c r="D115" s="25">
        <v>0</v>
      </c>
      <c r="E115" s="25">
        <v>0</v>
      </c>
      <c r="F115" s="17"/>
      <c r="G115" s="25"/>
    </row>
    <row r="116">
      <c r="A116" s="25">
        <v>103</v>
      </c>
      <c r="B116" s="25" t="s">
        <v>231</v>
      </c>
      <c r="C116" s="25" t="s">
        <v>2398</v>
      </c>
      <c r="D116" s="25">
        <v>0</v>
      </c>
      <c r="E116" s="25">
        <v>0</v>
      </c>
      <c r="F116" s="17"/>
      <c r="G116" s="25"/>
    </row>
    <row r="117">
      <c r="A117" s="25">
        <v>104</v>
      </c>
      <c r="B117" s="25" t="s">
        <v>232</v>
      </c>
      <c r="C117" s="25" t="s">
        <v>2399</v>
      </c>
      <c r="D117" s="25">
        <v>0</v>
      </c>
      <c r="E117" s="25">
        <v>0</v>
      </c>
      <c r="F117" s="17"/>
      <c r="G117" s="25"/>
    </row>
    <row r="118">
      <c r="A118" s="25">
        <v>105</v>
      </c>
      <c r="B118" s="25" t="s">
        <v>233</v>
      </c>
      <c r="C118" s="25" t="s">
        <v>2400</v>
      </c>
      <c r="D118" s="25">
        <v>0</v>
      </c>
      <c r="E118" s="25">
        <v>0</v>
      </c>
      <c r="F118" s="17"/>
      <c r="G118" s="25"/>
    </row>
    <row r="119">
      <c r="A119" s="25">
        <v>106</v>
      </c>
      <c r="B119" s="25" t="s">
        <v>236</v>
      </c>
      <c r="C119" s="25" t="s">
        <v>2401</v>
      </c>
      <c r="D119" s="25">
        <v>0</v>
      </c>
      <c r="E119" s="25">
        <v>0</v>
      </c>
      <c r="F119" s="17"/>
      <c r="G119" s="25"/>
    </row>
    <row r="120">
      <c r="A120" s="25">
        <v>107</v>
      </c>
      <c r="B120" s="25" t="s">
        <v>237</v>
      </c>
      <c r="C120" s="25" t="s">
        <v>2402</v>
      </c>
      <c r="D120" s="25">
        <v>0</v>
      </c>
      <c r="E120" s="25">
        <v>0</v>
      </c>
      <c r="F120" s="17"/>
      <c r="G120" s="25"/>
    </row>
    <row r="121">
      <c r="A121" s="25">
        <v>108</v>
      </c>
      <c r="B121" s="25" t="s">
        <v>239</v>
      </c>
      <c r="C121" s="25" t="s">
        <v>2403</v>
      </c>
      <c r="D121" s="25">
        <v>0</v>
      </c>
      <c r="E121" s="25">
        <v>0</v>
      </c>
      <c r="F121" s="17"/>
      <c r="G121" s="25"/>
    </row>
    <row r="122">
      <c r="A122" s="25">
        <v>109</v>
      </c>
      <c r="B122" s="25" t="s">
        <v>240</v>
      </c>
      <c r="C122" s="25" t="s">
        <v>2404</v>
      </c>
      <c r="D122" s="25">
        <v>0</v>
      </c>
      <c r="E122" s="25">
        <v>0</v>
      </c>
      <c r="F122" s="17"/>
      <c r="G122" s="25"/>
    </row>
    <row r="123">
      <c r="A123" s="25">
        <v>110</v>
      </c>
      <c r="B123" s="25" t="s">
        <v>241</v>
      </c>
      <c r="C123" s="25" t="s">
        <v>2405</v>
      </c>
      <c r="D123" s="25">
        <v>0</v>
      </c>
      <c r="E123" s="25">
        <v>0</v>
      </c>
      <c r="F123" s="17"/>
      <c r="G123" s="25"/>
    </row>
    <row r="124">
      <c r="A124" s="25">
        <v>111</v>
      </c>
      <c r="B124" s="25" t="s">
        <v>242</v>
      </c>
      <c r="C124" s="25" t="s">
        <v>2406</v>
      </c>
      <c r="D124" s="25">
        <v>0</v>
      </c>
      <c r="E124" s="25">
        <v>0</v>
      </c>
      <c r="F124" s="17"/>
      <c r="G124" s="25"/>
    </row>
    <row r="125">
      <c r="A125" s="25">
        <v>112</v>
      </c>
      <c r="B125" s="25" t="s">
        <v>243</v>
      </c>
      <c r="C125" s="25" t="s">
        <v>2407</v>
      </c>
      <c r="D125" s="25">
        <v>0</v>
      </c>
      <c r="E125" s="25">
        <v>0</v>
      </c>
      <c r="F125" s="17"/>
      <c r="G125" s="25"/>
    </row>
    <row r="126">
      <c r="A126" s="25">
        <v>113</v>
      </c>
      <c r="B126" s="25" t="s">
        <v>267</v>
      </c>
      <c r="C126" s="25" t="s">
        <v>2408</v>
      </c>
      <c r="D126" s="25">
        <v>0</v>
      </c>
      <c r="E126" s="25">
        <v>0</v>
      </c>
      <c r="F126" s="17"/>
      <c r="G126" s="25"/>
    </row>
    <row r="127">
      <c r="A127" s="25">
        <v>114</v>
      </c>
      <c r="B127" s="25" t="s">
        <v>268</v>
      </c>
      <c r="C127" s="25" t="s">
        <v>2409</v>
      </c>
      <c r="D127" s="25">
        <v>0</v>
      </c>
      <c r="E127" s="25">
        <v>0</v>
      </c>
      <c r="F127" s="17"/>
      <c r="G127" s="25"/>
    </row>
    <row r="128">
      <c r="A128" s="25">
        <v>115</v>
      </c>
      <c r="B128" s="25" t="s">
        <v>270</v>
      </c>
      <c r="C128" s="25" t="s">
        <v>2410</v>
      </c>
      <c r="D128" s="25">
        <v>0</v>
      </c>
      <c r="E128" s="25">
        <v>0</v>
      </c>
      <c r="F128" s="17"/>
      <c r="G128" s="25"/>
    </row>
    <row r="129">
      <c r="A129" s="25">
        <v>116</v>
      </c>
      <c r="B129" s="25" t="s">
        <v>271</v>
      </c>
      <c r="C129" s="25" t="s">
        <v>2411</v>
      </c>
      <c r="D129" s="25">
        <v>0</v>
      </c>
      <c r="E129" s="25">
        <v>0</v>
      </c>
      <c r="F129" s="17"/>
      <c r="G129" s="25"/>
    </row>
    <row r="130">
      <c r="A130" s="25">
        <v>117</v>
      </c>
      <c r="B130" s="25" t="s">
        <v>272</v>
      </c>
      <c r="C130" s="25" t="s">
        <v>2412</v>
      </c>
      <c r="D130" s="25">
        <v>0</v>
      </c>
      <c r="E130" s="25">
        <v>0</v>
      </c>
      <c r="F130" s="17"/>
      <c r="G130" s="25"/>
    </row>
    <row r="131">
      <c r="A131" s="25">
        <v>118</v>
      </c>
      <c r="B131" s="25" t="s">
        <v>273</v>
      </c>
      <c r="C131" s="25" t="s">
        <v>2413</v>
      </c>
      <c r="D131" s="25">
        <v>0</v>
      </c>
      <c r="E131" s="25">
        <v>0</v>
      </c>
      <c r="F131" s="17"/>
      <c r="G131" s="25"/>
    </row>
    <row r="132">
      <c r="A132" s="25">
        <v>119</v>
      </c>
      <c r="B132" s="25" t="s">
        <v>274</v>
      </c>
      <c r="C132" s="25" t="s">
        <v>2414</v>
      </c>
      <c r="D132" s="25">
        <v>0</v>
      </c>
      <c r="E132" s="25">
        <v>0</v>
      </c>
      <c r="F132" s="17"/>
      <c r="G132" s="25"/>
    </row>
    <row r="133">
      <c r="A133" s="25">
        <v>120</v>
      </c>
      <c r="B133" s="25" t="s">
        <v>277</v>
      </c>
      <c r="C133" s="25" t="s">
        <v>2415</v>
      </c>
      <c r="D133" s="25">
        <v>0</v>
      </c>
      <c r="E133" s="25">
        <v>0</v>
      </c>
      <c r="F133" s="17"/>
      <c r="G133" s="25"/>
    </row>
    <row r="134">
      <c r="A134" s="25">
        <v>121</v>
      </c>
      <c r="B134" s="25" t="s">
        <v>278</v>
      </c>
      <c r="C134" s="25" t="s">
        <v>2416</v>
      </c>
      <c r="D134" s="25">
        <v>0</v>
      </c>
      <c r="E134" s="25">
        <v>0</v>
      </c>
      <c r="F134" s="17"/>
      <c r="G134" s="25"/>
    </row>
    <row r="135">
      <c r="A135" s="25">
        <v>122</v>
      </c>
      <c r="B135" s="25" t="s">
        <v>280</v>
      </c>
      <c r="C135" s="25" t="s">
        <v>2417</v>
      </c>
      <c r="D135" s="25">
        <v>0</v>
      </c>
      <c r="E135" s="25">
        <v>0</v>
      </c>
      <c r="F135" s="17"/>
      <c r="G135" s="25"/>
    </row>
    <row r="136">
      <c r="A136" s="25">
        <v>123</v>
      </c>
      <c r="B136" s="25" t="s">
        <v>281</v>
      </c>
      <c r="C136" s="25" t="s">
        <v>2418</v>
      </c>
      <c r="D136" s="25">
        <v>0</v>
      </c>
      <c r="E136" s="25">
        <v>0</v>
      </c>
      <c r="F136" s="17"/>
      <c r="G136" s="25"/>
    </row>
    <row r="137">
      <c r="A137" s="25">
        <v>124</v>
      </c>
      <c r="B137" s="25" t="s">
        <v>282</v>
      </c>
      <c r="C137" s="25" t="s">
        <v>2419</v>
      </c>
      <c r="D137" s="25">
        <v>0</v>
      </c>
      <c r="E137" s="25">
        <v>0</v>
      </c>
      <c r="F137" s="17"/>
      <c r="G137" s="25"/>
    </row>
    <row r="138">
      <c r="A138" s="25">
        <v>125</v>
      </c>
      <c r="B138" s="25" t="s">
        <v>283</v>
      </c>
      <c r="C138" s="25" t="s">
        <v>2420</v>
      </c>
      <c r="D138" s="25">
        <v>0</v>
      </c>
      <c r="E138" s="25">
        <v>0</v>
      </c>
      <c r="F138" s="17"/>
      <c r="G138" s="25"/>
    </row>
    <row r="139">
      <c r="A139" s="25">
        <v>126</v>
      </c>
      <c r="B139" s="25" t="s">
        <v>284</v>
      </c>
      <c r="C139" s="25" t="s">
        <v>2421</v>
      </c>
      <c r="D139" s="25">
        <v>0</v>
      </c>
      <c r="E139" s="25">
        <v>0</v>
      </c>
      <c r="F139" s="17"/>
      <c r="G139" s="25"/>
    </row>
    <row r="140">
      <c r="A140" s="25">
        <v>127</v>
      </c>
      <c r="B140" s="25" t="s">
        <v>307</v>
      </c>
      <c r="C140" s="25" t="s">
        <v>2422</v>
      </c>
      <c r="D140" s="25">
        <v>12</v>
      </c>
      <c r="E140" s="25">
        <v>54</v>
      </c>
      <c r="F140" s="17"/>
      <c r="G140" s="25"/>
    </row>
    <row r="141">
      <c r="A141" s="25">
        <v>128</v>
      </c>
      <c r="B141" s="25" t="s">
        <v>308</v>
      </c>
      <c r="C141" s="25" t="s">
        <v>2423</v>
      </c>
      <c r="D141" s="25">
        <v>289690</v>
      </c>
      <c r="E141" s="25">
        <v>1315607.93</v>
      </c>
      <c r="F141" s="17"/>
      <c r="G141" s="25"/>
    </row>
    <row r="142">
      <c r="A142" s="25">
        <v>129</v>
      </c>
      <c r="B142" s="25" t="s">
        <v>310</v>
      </c>
      <c r="C142" s="25" t="s">
        <v>2424</v>
      </c>
      <c r="D142" s="25">
        <v>0</v>
      </c>
      <c r="E142" s="25">
        <v>0</v>
      </c>
      <c r="F142" s="17"/>
      <c r="G142" s="25"/>
    </row>
    <row r="143">
      <c r="A143" s="25">
        <v>130</v>
      </c>
      <c r="B143" s="25" t="s">
        <v>311</v>
      </c>
      <c r="C143" s="25" t="s">
        <v>2425</v>
      </c>
      <c r="D143" s="25">
        <v>0</v>
      </c>
      <c r="E143" s="25">
        <v>0</v>
      </c>
      <c r="F143" s="17"/>
      <c r="G143" s="25"/>
    </row>
    <row r="144">
      <c r="A144" s="25">
        <v>131</v>
      </c>
      <c r="B144" s="25" t="s">
        <v>312</v>
      </c>
      <c r="C144" s="25" t="s">
        <v>2426</v>
      </c>
      <c r="D144" s="25">
        <v>289690</v>
      </c>
      <c r="E144" s="25">
        <v>1315607.93</v>
      </c>
      <c r="F144" s="17"/>
      <c r="G144" s="25"/>
    </row>
    <row r="145">
      <c r="A145" s="25">
        <v>132</v>
      </c>
      <c r="B145" s="25" t="s">
        <v>313</v>
      </c>
      <c r="C145" s="25" t="s">
        <v>2427</v>
      </c>
      <c r="D145" s="25">
        <v>252639.48</v>
      </c>
      <c r="E145" s="25">
        <v>1137844.45</v>
      </c>
      <c r="F145" s="17"/>
      <c r="G145" s="25"/>
    </row>
    <row r="146">
      <c r="A146" s="25">
        <v>133</v>
      </c>
      <c r="B146" s="25" t="s">
        <v>314</v>
      </c>
      <c r="C146" s="25" t="s">
        <v>2428</v>
      </c>
      <c r="D146" s="25">
        <v>37050.52</v>
      </c>
      <c r="E146" s="25">
        <v>177763.48</v>
      </c>
      <c r="F146" s="17"/>
      <c r="G146" s="25"/>
    </row>
    <row r="147">
      <c r="A147" s="25">
        <v>134</v>
      </c>
      <c r="B147" s="25" t="s">
        <v>318</v>
      </c>
      <c r="C147" s="25" t="s">
        <v>2429</v>
      </c>
      <c r="D147" s="25">
        <v>0</v>
      </c>
      <c r="E147" s="25">
        <v>0</v>
      </c>
      <c r="F147" s="17"/>
      <c r="G147" s="25"/>
    </row>
    <row r="148">
      <c r="A148" s="25">
        <v>135</v>
      </c>
      <c r="B148" s="25" t="s">
        <v>319</v>
      </c>
      <c r="C148" s="25" t="s">
        <v>2430</v>
      </c>
      <c r="D148" s="25">
        <v>0</v>
      </c>
      <c r="E148" s="25">
        <v>0</v>
      </c>
      <c r="F148" s="17"/>
      <c r="G148" s="25"/>
    </row>
    <row r="149">
      <c r="A149" s="25">
        <v>136</v>
      </c>
      <c r="B149" s="25" t="s">
        <v>321</v>
      </c>
      <c r="C149" s="25" t="s">
        <v>2431</v>
      </c>
      <c r="D149" s="25">
        <v>0</v>
      </c>
      <c r="E149" s="25">
        <v>0</v>
      </c>
      <c r="F149" s="17"/>
      <c r="G149" s="25"/>
    </row>
    <row r="150">
      <c r="A150" s="25">
        <v>137</v>
      </c>
      <c r="B150" s="25" t="s">
        <v>322</v>
      </c>
      <c r="C150" s="25" t="s">
        <v>2432</v>
      </c>
      <c r="D150" s="25">
        <v>0</v>
      </c>
      <c r="E150" s="25">
        <v>0</v>
      </c>
      <c r="F150" s="17"/>
      <c r="G150" s="25"/>
    </row>
    <row r="151">
      <c r="A151" s="25">
        <v>138</v>
      </c>
      <c r="B151" s="25" t="s">
        <v>323</v>
      </c>
      <c r="C151" s="25" t="s">
        <v>2433</v>
      </c>
      <c r="D151" s="25">
        <v>0</v>
      </c>
      <c r="E151" s="25">
        <v>0</v>
      </c>
      <c r="F151" s="17"/>
      <c r="G151" s="25"/>
    </row>
    <row r="152">
      <c r="A152" s="25">
        <v>139</v>
      </c>
      <c r="B152" s="25" t="s">
        <v>324</v>
      </c>
      <c r="C152" s="25" t="s">
        <v>2434</v>
      </c>
      <c r="D152" s="25">
        <v>0</v>
      </c>
      <c r="E152" s="25">
        <v>0</v>
      </c>
      <c r="F152" s="17"/>
      <c r="G152" s="25"/>
    </row>
    <row r="153">
      <c r="A153" s="25">
        <v>140</v>
      </c>
      <c r="B153" s="25" t="s">
        <v>325</v>
      </c>
      <c r="C153" s="25" t="s">
        <v>2435</v>
      </c>
      <c r="D153" s="25">
        <v>0</v>
      </c>
      <c r="E153" s="25">
        <v>0</v>
      </c>
      <c r="F153" s="17"/>
      <c r="G153" s="25"/>
    </row>
    <row r="154">
      <c r="A154" s="25">
        <v>141</v>
      </c>
      <c r="B154" s="25" t="s">
        <v>339</v>
      </c>
      <c r="C154" s="25" t="s">
        <v>2436</v>
      </c>
      <c r="D154" s="25">
        <v>20</v>
      </c>
      <c r="E154" s="25">
        <v>91</v>
      </c>
      <c r="F154" s="17"/>
      <c r="G154" s="25"/>
    </row>
    <row r="155">
      <c r="A155" s="25">
        <v>142</v>
      </c>
      <c r="B155" s="25" t="s">
        <v>340</v>
      </c>
      <c r="C155" s="25" t="s">
        <v>2437</v>
      </c>
      <c r="D155" s="25">
        <v>610224</v>
      </c>
      <c r="E155" s="25">
        <v>2754900.35</v>
      </c>
      <c r="F155" s="17"/>
      <c r="G155" s="25"/>
    </row>
    <row r="156">
      <c r="A156" s="25">
        <v>143</v>
      </c>
      <c r="B156" s="25" t="s">
        <v>342</v>
      </c>
      <c r="C156" s="25" t="s">
        <v>2438</v>
      </c>
      <c r="D156" s="25">
        <v>0</v>
      </c>
      <c r="E156" s="25">
        <v>30800</v>
      </c>
      <c r="F156" s="17"/>
      <c r="G156" s="25"/>
    </row>
    <row r="157">
      <c r="A157" s="25">
        <v>144</v>
      </c>
      <c r="B157" s="25" t="s">
        <v>343</v>
      </c>
      <c r="C157" s="25" t="s">
        <v>2439</v>
      </c>
      <c r="D157" s="25">
        <v>0</v>
      </c>
      <c r="E157" s="25">
        <v>0</v>
      </c>
      <c r="F157" s="17"/>
      <c r="G157" s="25"/>
    </row>
    <row r="158">
      <c r="A158" s="25">
        <v>145</v>
      </c>
      <c r="B158" s="25" t="s">
        <v>344</v>
      </c>
      <c r="C158" s="25" t="s">
        <v>2440</v>
      </c>
      <c r="D158" s="25">
        <v>610224</v>
      </c>
      <c r="E158" s="25">
        <v>2724100.35</v>
      </c>
      <c r="F158" s="17"/>
      <c r="G158" s="25"/>
    </row>
    <row r="159">
      <c r="A159" s="25">
        <v>146</v>
      </c>
      <c r="B159" s="25" t="s">
        <v>345</v>
      </c>
      <c r="C159" s="25" t="s">
        <v>2441</v>
      </c>
      <c r="D159" s="25">
        <v>532734.8</v>
      </c>
      <c r="E159" s="25">
        <v>2392305.1</v>
      </c>
      <c r="F159" s="17"/>
      <c r="G159" s="25"/>
    </row>
    <row r="160">
      <c r="A160" s="25">
        <v>147</v>
      </c>
      <c r="B160" s="25" t="s">
        <v>346</v>
      </c>
      <c r="C160" s="25" t="s">
        <v>2442</v>
      </c>
      <c r="D160" s="25">
        <v>77489.2</v>
      </c>
      <c r="E160" s="25">
        <v>331795.25</v>
      </c>
      <c r="F160" s="17"/>
      <c r="G160" s="25"/>
    </row>
    <row r="161">
      <c r="A161" s="25">
        <v>148</v>
      </c>
      <c r="B161" s="25" t="s">
        <v>349</v>
      </c>
      <c r="C161" s="25" t="s">
        <v>2443</v>
      </c>
      <c r="D161" s="25">
        <v>0</v>
      </c>
      <c r="E161" s="25">
        <v>0</v>
      </c>
      <c r="F161" s="17"/>
      <c r="G161" s="25"/>
    </row>
    <row r="162">
      <c r="A162" s="25">
        <v>149</v>
      </c>
      <c r="B162" s="25" t="s">
        <v>350</v>
      </c>
      <c r="C162" s="25" t="s">
        <v>2444</v>
      </c>
      <c r="D162" s="25">
        <v>0</v>
      </c>
      <c r="E162" s="25">
        <v>0</v>
      </c>
      <c r="F162" s="17"/>
      <c r="G162" s="25"/>
    </row>
    <row r="163">
      <c r="A163" s="25">
        <v>150</v>
      </c>
      <c r="B163" s="25" t="s">
        <v>352</v>
      </c>
      <c r="C163" s="25" t="s">
        <v>2445</v>
      </c>
      <c r="D163" s="25">
        <v>0</v>
      </c>
      <c r="E163" s="25">
        <v>0</v>
      </c>
      <c r="F163" s="17"/>
      <c r="G163" s="25"/>
    </row>
    <row r="164">
      <c r="A164" s="25">
        <v>151</v>
      </c>
      <c r="B164" s="25" t="s">
        <v>353</v>
      </c>
      <c r="C164" s="25" t="s">
        <v>2446</v>
      </c>
      <c r="D164" s="25">
        <v>0</v>
      </c>
      <c r="E164" s="25">
        <v>0</v>
      </c>
      <c r="F164" s="17"/>
      <c r="G164" s="25"/>
    </row>
    <row r="165">
      <c r="A165" s="25">
        <v>152</v>
      </c>
      <c r="B165" s="25" t="s">
        <v>354</v>
      </c>
      <c r="C165" s="25" t="s">
        <v>2447</v>
      </c>
      <c r="D165" s="25">
        <v>0</v>
      </c>
      <c r="E165" s="25">
        <v>0</v>
      </c>
      <c r="F165" s="17"/>
      <c r="G165" s="25"/>
    </row>
    <row r="166">
      <c r="A166" s="25">
        <v>153</v>
      </c>
      <c r="B166" s="25" t="s">
        <v>355</v>
      </c>
      <c r="C166" s="25" t="s">
        <v>2448</v>
      </c>
      <c r="D166" s="25">
        <v>0</v>
      </c>
      <c r="E166" s="25">
        <v>0</v>
      </c>
      <c r="F166" s="17"/>
      <c r="G166" s="25"/>
    </row>
    <row r="167">
      <c r="A167" s="25">
        <v>154</v>
      </c>
      <c r="B167" s="25" t="s">
        <v>356</v>
      </c>
      <c r="C167" s="25" t="s">
        <v>2449</v>
      </c>
      <c r="D167" s="25">
        <v>0</v>
      </c>
      <c r="E167" s="25">
        <v>0</v>
      </c>
      <c r="F167" s="17"/>
      <c r="G167" s="25"/>
    </row>
    <row r="168">
      <c r="A168" s="25">
        <v>155</v>
      </c>
      <c r="B168" s="25" t="s">
        <v>359</v>
      </c>
      <c r="C168" s="25" t="s">
        <v>2450</v>
      </c>
      <c r="D168" s="25">
        <v>42</v>
      </c>
      <c r="E168" s="25">
        <v>168</v>
      </c>
      <c r="F168" s="17"/>
      <c r="G168" s="25"/>
    </row>
    <row r="169">
      <c r="A169" s="25">
        <v>156</v>
      </c>
      <c r="B169" s="25" t="s">
        <v>360</v>
      </c>
      <c r="C169" s="25" t="s">
        <v>2451</v>
      </c>
      <c r="D169" s="25">
        <v>1197124</v>
      </c>
      <c r="E169" s="25">
        <v>4827986.08</v>
      </c>
      <c r="F169" s="17"/>
      <c r="G169" s="25"/>
    </row>
    <row r="170">
      <c r="A170" s="25">
        <v>157</v>
      </c>
      <c r="B170" s="25" t="s">
        <v>362</v>
      </c>
      <c r="C170" s="25" t="s">
        <v>2452</v>
      </c>
      <c r="D170" s="25">
        <v>0</v>
      </c>
      <c r="E170" s="25">
        <v>85721</v>
      </c>
      <c r="F170" s="17"/>
      <c r="G170" s="25"/>
    </row>
    <row r="171">
      <c r="A171" s="25">
        <v>158</v>
      </c>
      <c r="B171" s="25" t="s">
        <v>363</v>
      </c>
      <c r="C171" s="25" t="s">
        <v>2453</v>
      </c>
      <c r="D171" s="25">
        <v>0</v>
      </c>
      <c r="E171" s="25">
        <v>0</v>
      </c>
      <c r="F171" s="17"/>
      <c r="G171" s="25"/>
    </row>
    <row r="172">
      <c r="A172" s="25">
        <v>159</v>
      </c>
      <c r="B172" s="25" t="s">
        <v>364</v>
      </c>
      <c r="C172" s="25" t="s">
        <v>2454</v>
      </c>
      <c r="D172" s="25">
        <v>1197124</v>
      </c>
      <c r="E172" s="25">
        <v>4742265.08</v>
      </c>
      <c r="F172" s="17"/>
      <c r="G172" s="25"/>
    </row>
    <row r="173">
      <c r="A173" s="25">
        <v>160</v>
      </c>
      <c r="B173" s="25" t="s">
        <v>365</v>
      </c>
      <c r="C173" s="25" t="s">
        <v>2455</v>
      </c>
      <c r="D173" s="25">
        <v>1037562.86</v>
      </c>
      <c r="E173" s="25">
        <v>4112563.33</v>
      </c>
      <c r="F173" s="17"/>
      <c r="G173" s="25"/>
    </row>
    <row r="174">
      <c r="A174" s="25">
        <v>161</v>
      </c>
      <c r="B174" s="25" t="s">
        <v>366</v>
      </c>
      <c r="C174" s="25" t="s">
        <v>2456</v>
      </c>
      <c r="D174" s="25">
        <v>159561.14</v>
      </c>
      <c r="E174" s="25">
        <v>629701.75</v>
      </c>
      <c r="F174" s="17"/>
      <c r="G174" s="25"/>
    </row>
    <row r="175">
      <c r="A175" s="25">
        <v>162</v>
      </c>
      <c r="B175" s="25" t="s">
        <v>370</v>
      </c>
      <c r="C175" s="25" t="s">
        <v>2457</v>
      </c>
      <c r="D175" s="25">
        <v>0</v>
      </c>
      <c r="E175" s="25">
        <v>0</v>
      </c>
      <c r="F175" s="17"/>
      <c r="G175" s="25"/>
    </row>
    <row r="176">
      <c r="A176" s="25">
        <v>163</v>
      </c>
      <c r="B176" s="25" t="s">
        <v>371</v>
      </c>
      <c r="C176" s="25" t="s">
        <v>2458</v>
      </c>
      <c r="D176" s="25">
        <v>0</v>
      </c>
      <c r="E176" s="25">
        <v>0</v>
      </c>
      <c r="F176" s="17"/>
      <c r="G176" s="25"/>
    </row>
    <row r="177">
      <c r="A177" s="25">
        <v>164</v>
      </c>
      <c r="B177" s="25" t="s">
        <v>373</v>
      </c>
      <c r="C177" s="25" t="s">
        <v>2459</v>
      </c>
      <c r="D177" s="25">
        <v>0</v>
      </c>
      <c r="E177" s="25">
        <v>0</v>
      </c>
      <c r="F177" s="17"/>
      <c r="G177" s="25"/>
    </row>
    <row r="178">
      <c r="A178" s="25">
        <v>165</v>
      </c>
      <c r="B178" s="25" t="s">
        <v>374</v>
      </c>
      <c r="C178" s="25" t="s">
        <v>2460</v>
      </c>
      <c r="D178" s="25">
        <v>0</v>
      </c>
      <c r="E178" s="25">
        <v>0</v>
      </c>
      <c r="F178" s="17"/>
      <c r="G178" s="25"/>
    </row>
    <row r="179">
      <c r="A179" s="25">
        <v>166</v>
      </c>
      <c r="B179" s="25" t="s">
        <v>375</v>
      </c>
      <c r="C179" s="25" t="s">
        <v>2461</v>
      </c>
      <c r="D179" s="25">
        <v>0</v>
      </c>
      <c r="E179" s="25">
        <v>0</v>
      </c>
      <c r="F179" s="17"/>
      <c r="G179" s="25"/>
    </row>
    <row r="180">
      <c r="A180" s="25">
        <v>167</v>
      </c>
      <c r="B180" s="25" t="s">
        <v>376</v>
      </c>
      <c r="C180" s="25" t="s">
        <v>2462</v>
      </c>
      <c r="D180" s="25">
        <v>0</v>
      </c>
      <c r="E180" s="25">
        <v>0</v>
      </c>
      <c r="F180" s="17"/>
      <c r="G180" s="25"/>
    </row>
    <row r="181">
      <c r="A181" s="25">
        <v>168</v>
      </c>
      <c r="B181" s="25" t="s">
        <v>377</v>
      </c>
      <c r="C181" s="25" t="s">
        <v>2463</v>
      </c>
      <c r="D181" s="25">
        <v>0</v>
      </c>
      <c r="E181" s="25">
        <v>0</v>
      </c>
      <c r="F181" s="17"/>
      <c r="G181" s="25"/>
    </row>
    <row r="182">
      <c r="A182" s="25">
        <v>169</v>
      </c>
      <c r="B182" s="25" t="s">
        <v>380</v>
      </c>
      <c r="C182" s="25" t="s">
        <v>2464</v>
      </c>
      <c r="D182" s="25">
        <v>0</v>
      </c>
      <c r="E182" s="25">
        <v>0</v>
      </c>
      <c r="F182" s="17"/>
      <c r="G182" s="25"/>
    </row>
    <row r="183">
      <c r="A183" s="25">
        <v>170</v>
      </c>
      <c r="B183" s="25" t="s">
        <v>381</v>
      </c>
      <c r="C183" s="25" t="s">
        <v>2465</v>
      </c>
      <c r="D183" s="25">
        <v>0</v>
      </c>
      <c r="E183" s="25">
        <v>0</v>
      </c>
      <c r="F183" s="17"/>
      <c r="G183" s="25"/>
    </row>
    <row r="184">
      <c r="A184" s="25">
        <v>171</v>
      </c>
      <c r="B184" s="25" t="s">
        <v>383</v>
      </c>
      <c r="C184" s="25" t="s">
        <v>2466</v>
      </c>
      <c r="D184" s="25">
        <v>0</v>
      </c>
      <c r="E184" s="25">
        <v>0</v>
      </c>
      <c r="F184" s="17"/>
      <c r="G184" s="25"/>
    </row>
    <row r="185">
      <c r="A185" s="25">
        <v>172</v>
      </c>
      <c r="B185" s="25" t="s">
        <v>384</v>
      </c>
      <c r="C185" s="25" t="s">
        <v>2467</v>
      </c>
      <c r="D185" s="25">
        <v>0</v>
      </c>
      <c r="E185" s="25">
        <v>0</v>
      </c>
      <c r="F185" s="17"/>
      <c r="G185" s="25"/>
    </row>
    <row r="186">
      <c r="A186" s="25">
        <v>173</v>
      </c>
      <c r="B186" s="25" t="s">
        <v>385</v>
      </c>
      <c r="C186" s="25" t="s">
        <v>2468</v>
      </c>
      <c r="D186" s="25">
        <v>0</v>
      </c>
      <c r="E186" s="25">
        <v>0</v>
      </c>
      <c r="F186" s="17"/>
      <c r="G186" s="25"/>
    </row>
    <row r="187">
      <c r="A187" s="25">
        <v>174</v>
      </c>
      <c r="B187" s="25" t="s">
        <v>386</v>
      </c>
      <c r="C187" s="25" t="s">
        <v>2469</v>
      </c>
      <c r="D187" s="25">
        <v>0</v>
      </c>
      <c r="E187" s="25">
        <v>0</v>
      </c>
      <c r="F187" s="17"/>
      <c r="G187" s="25"/>
    </row>
    <row r="188">
      <c r="A188" s="25">
        <v>175</v>
      </c>
      <c r="B188" s="25" t="s">
        <v>387</v>
      </c>
      <c r="C188" s="25" t="s">
        <v>2470</v>
      </c>
      <c r="D188" s="25">
        <v>0</v>
      </c>
      <c r="E188" s="25">
        <v>0</v>
      </c>
      <c r="F188" s="17"/>
      <c r="G188" s="25"/>
    </row>
    <row r="189">
      <c r="A189" s="25">
        <v>176</v>
      </c>
      <c r="B189" s="25" t="s">
        <v>390</v>
      </c>
      <c r="C189" s="25" t="s">
        <v>2471</v>
      </c>
      <c r="D189" s="25">
        <v>0</v>
      </c>
      <c r="E189" s="25">
        <v>0</v>
      </c>
      <c r="F189" s="17"/>
      <c r="G189" s="25"/>
    </row>
    <row r="190">
      <c r="A190" s="25">
        <v>177</v>
      </c>
      <c r="B190" s="25" t="s">
        <v>391</v>
      </c>
      <c r="C190" s="25" t="s">
        <v>2472</v>
      </c>
      <c r="D190" s="25">
        <v>0</v>
      </c>
      <c r="E190" s="25">
        <v>0</v>
      </c>
      <c r="F190" s="17"/>
      <c r="G190" s="25"/>
    </row>
    <row r="191">
      <c r="A191" s="25">
        <v>178</v>
      </c>
      <c r="B191" s="25" t="s">
        <v>393</v>
      </c>
      <c r="C191" s="25" t="s">
        <v>2473</v>
      </c>
      <c r="D191" s="25">
        <v>0</v>
      </c>
      <c r="E191" s="25">
        <v>0</v>
      </c>
      <c r="F191" s="17"/>
      <c r="G191" s="25"/>
    </row>
    <row r="192">
      <c r="A192" s="25">
        <v>179</v>
      </c>
      <c r="B192" s="25" t="s">
        <v>394</v>
      </c>
      <c r="C192" s="25" t="s">
        <v>2474</v>
      </c>
      <c r="D192" s="25">
        <v>0</v>
      </c>
      <c r="E192" s="25">
        <v>0</v>
      </c>
      <c r="F192" s="17"/>
      <c r="G192" s="25"/>
    </row>
    <row r="193">
      <c r="A193" s="25">
        <v>180</v>
      </c>
      <c r="B193" s="25" t="s">
        <v>395</v>
      </c>
      <c r="C193" s="25" t="s">
        <v>2475</v>
      </c>
      <c r="D193" s="25">
        <v>0</v>
      </c>
      <c r="E193" s="25">
        <v>0</v>
      </c>
      <c r="F193" s="17"/>
      <c r="G193" s="25"/>
    </row>
    <row r="194">
      <c r="A194" s="25">
        <v>181</v>
      </c>
      <c r="B194" s="25" t="s">
        <v>396</v>
      </c>
      <c r="C194" s="25" t="s">
        <v>2476</v>
      </c>
      <c r="D194" s="25">
        <v>0</v>
      </c>
      <c r="E194" s="25">
        <v>0</v>
      </c>
      <c r="F194" s="17"/>
      <c r="G194" s="25"/>
    </row>
    <row r="195">
      <c r="A195" s="25">
        <v>182</v>
      </c>
      <c r="B195" s="25" t="s">
        <v>397</v>
      </c>
      <c r="C195" s="25" t="s">
        <v>2477</v>
      </c>
      <c r="D195" s="25">
        <v>0</v>
      </c>
      <c r="E195" s="25">
        <v>0</v>
      </c>
      <c r="F195" s="17"/>
      <c r="G195" s="25"/>
    </row>
    <row r="196">
      <c r="A196" s="25">
        <v>183</v>
      </c>
      <c r="B196" s="25" t="s">
        <v>400</v>
      </c>
      <c r="C196" s="25" t="s">
        <v>2478</v>
      </c>
      <c r="D196" s="25">
        <v>0</v>
      </c>
      <c r="E196" s="25">
        <v>0</v>
      </c>
      <c r="F196" s="17"/>
      <c r="G196" s="25"/>
    </row>
    <row r="197">
      <c r="A197" s="25">
        <v>184</v>
      </c>
      <c r="B197" s="25" t="s">
        <v>401</v>
      </c>
      <c r="C197" s="25" t="s">
        <v>2479</v>
      </c>
      <c r="D197" s="25">
        <v>0</v>
      </c>
      <c r="E197" s="25">
        <v>0</v>
      </c>
      <c r="F197" s="17"/>
      <c r="G197" s="25"/>
    </row>
    <row r="198">
      <c r="A198" s="25">
        <v>185</v>
      </c>
      <c r="B198" s="25" t="s">
        <v>403</v>
      </c>
      <c r="C198" s="25" t="s">
        <v>2480</v>
      </c>
      <c r="D198" s="25">
        <v>0</v>
      </c>
      <c r="E198" s="25">
        <v>0</v>
      </c>
      <c r="F198" s="17"/>
      <c r="G198" s="25"/>
    </row>
    <row r="199">
      <c r="A199" s="25">
        <v>186</v>
      </c>
      <c r="B199" s="25" t="s">
        <v>404</v>
      </c>
      <c r="C199" s="25" t="s">
        <v>2481</v>
      </c>
      <c r="D199" s="25">
        <v>0</v>
      </c>
      <c r="E199" s="25">
        <v>0</v>
      </c>
      <c r="F199" s="17"/>
      <c r="G199" s="25"/>
    </row>
    <row r="200">
      <c r="A200" s="25">
        <v>187</v>
      </c>
      <c r="B200" s="25" t="s">
        <v>405</v>
      </c>
      <c r="C200" s="25" t="s">
        <v>2482</v>
      </c>
      <c r="D200" s="25">
        <v>0</v>
      </c>
      <c r="E200" s="25">
        <v>0</v>
      </c>
      <c r="F200" s="17"/>
      <c r="G200" s="25"/>
    </row>
    <row r="201">
      <c r="A201" s="25">
        <v>188</v>
      </c>
      <c r="B201" s="25" t="s">
        <v>406</v>
      </c>
      <c r="C201" s="25" t="s">
        <v>2483</v>
      </c>
      <c r="D201" s="25">
        <v>0</v>
      </c>
      <c r="E201" s="25">
        <v>0</v>
      </c>
      <c r="F201" s="17"/>
      <c r="G201" s="25"/>
    </row>
    <row r="202">
      <c r="A202" s="25">
        <v>189</v>
      </c>
      <c r="B202" s="25" t="s">
        <v>407</v>
      </c>
      <c r="C202" s="25" t="s">
        <v>2484</v>
      </c>
      <c r="D202" s="25">
        <v>0</v>
      </c>
      <c r="E202" s="25">
        <v>0</v>
      </c>
      <c r="F202" s="17"/>
      <c r="G202" s="25"/>
    </row>
    <row r="203">
      <c r="A203" s="25">
        <v>190</v>
      </c>
      <c r="B203" s="25" t="s">
        <v>410</v>
      </c>
      <c r="C203" s="25" t="s">
        <v>2485</v>
      </c>
      <c r="D203" s="25">
        <v>0</v>
      </c>
      <c r="E203" s="25">
        <v>0</v>
      </c>
      <c r="F203" s="17"/>
      <c r="G203" s="25"/>
    </row>
    <row r="204">
      <c r="A204" s="25">
        <v>191</v>
      </c>
      <c r="B204" s="25" t="s">
        <v>411</v>
      </c>
      <c r="C204" s="25" t="s">
        <v>2486</v>
      </c>
      <c r="D204" s="25">
        <v>0</v>
      </c>
      <c r="E204" s="25">
        <v>0</v>
      </c>
      <c r="F204" s="17"/>
      <c r="G204" s="25"/>
    </row>
    <row r="205">
      <c r="A205" s="25">
        <v>192</v>
      </c>
      <c r="B205" s="25" t="s">
        <v>413</v>
      </c>
      <c r="C205" s="25" t="s">
        <v>2487</v>
      </c>
      <c r="D205" s="25">
        <v>0</v>
      </c>
      <c r="E205" s="25">
        <v>0</v>
      </c>
      <c r="F205" s="17"/>
      <c r="G205" s="25"/>
    </row>
    <row r="206">
      <c r="A206" s="25">
        <v>193</v>
      </c>
      <c r="B206" s="25" t="s">
        <v>414</v>
      </c>
      <c r="C206" s="25" t="s">
        <v>2488</v>
      </c>
      <c r="D206" s="25">
        <v>0</v>
      </c>
      <c r="E206" s="25">
        <v>0</v>
      </c>
      <c r="F206" s="17"/>
      <c r="G206" s="25"/>
    </row>
    <row r="207">
      <c r="A207" s="25">
        <v>194</v>
      </c>
      <c r="B207" s="25" t="s">
        <v>415</v>
      </c>
      <c r="C207" s="25" t="s">
        <v>2489</v>
      </c>
      <c r="D207" s="25">
        <v>0</v>
      </c>
      <c r="E207" s="25">
        <v>0</v>
      </c>
      <c r="F207" s="17"/>
      <c r="G207" s="25"/>
    </row>
    <row r="208">
      <c r="A208" s="25">
        <v>195</v>
      </c>
      <c r="B208" s="25" t="s">
        <v>416</v>
      </c>
      <c r="C208" s="25" t="s">
        <v>2490</v>
      </c>
      <c r="D208" s="25">
        <v>0</v>
      </c>
      <c r="E208" s="25">
        <v>0</v>
      </c>
      <c r="F208" s="17"/>
      <c r="G208" s="25"/>
    </row>
    <row r="209">
      <c r="A209" s="25">
        <v>196</v>
      </c>
      <c r="B209" s="25" t="s">
        <v>417</v>
      </c>
      <c r="C209" s="25" t="s">
        <v>2491</v>
      </c>
      <c r="D209" s="25">
        <v>0</v>
      </c>
      <c r="E209" s="25">
        <v>0</v>
      </c>
      <c r="F209" s="17"/>
      <c r="G209" s="25"/>
    </row>
    <row r="210">
      <c r="A210" s="25">
        <v>197</v>
      </c>
      <c r="B210" s="25" t="s">
        <v>421</v>
      </c>
      <c r="C210" s="25" t="s">
        <v>2492</v>
      </c>
      <c r="D210" s="25">
        <v>0</v>
      </c>
      <c r="E210" s="25">
        <v>0</v>
      </c>
      <c r="F210" s="17"/>
      <c r="G210" s="25"/>
    </row>
    <row r="211">
      <c r="A211" s="25">
        <v>198</v>
      </c>
      <c r="B211" s="25" t="s">
        <v>422</v>
      </c>
      <c r="C211" s="25" t="s">
        <v>2493</v>
      </c>
      <c r="D211" s="25">
        <v>0</v>
      </c>
      <c r="E211" s="25">
        <v>0</v>
      </c>
      <c r="F211" s="17"/>
      <c r="G211" s="25"/>
    </row>
    <row r="212">
      <c r="A212" s="25">
        <v>199</v>
      </c>
      <c r="B212" s="25" t="s">
        <v>424</v>
      </c>
      <c r="C212" s="25" t="s">
        <v>2494</v>
      </c>
      <c r="D212" s="25">
        <v>0</v>
      </c>
      <c r="E212" s="25">
        <v>0</v>
      </c>
      <c r="F212" s="17"/>
      <c r="G212" s="25"/>
    </row>
    <row r="213">
      <c r="A213" s="25">
        <v>200</v>
      </c>
      <c r="B213" s="25" t="s">
        <v>425</v>
      </c>
      <c r="C213" s="25" t="s">
        <v>2495</v>
      </c>
      <c r="D213" s="25">
        <v>0</v>
      </c>
      <c r="E213" s="25">
        <v>0</v>
      </c>
      <c r="F213" s="17"/>
      <c r="G213" s="25"/>
    </row>
    <row r="214">
      <c r="A214" s="25">
        <v>201</v>
      </c>
      <c r="B214" s="25" t="s">
        <v>426</v>
      </c>
      <c r="C214" s="25" t="s">
        <v>2496</v>
      </c>
      <c r="D214" s="25">
        <v>0</v>
      </c>
      <c r="E214" s="25">
        <v>0</v>
      </c>
      <c r="F214" s="17"/>
      <c r="G214" s="25"/>
    </row>
    <row r="215">
      <c r="A215" s="25">
        <v>202</v>
      </c>
      <c r="B215" s="25" t="s">
        <v>427</v>
      </c>
      <c r="C215" s="25" t="s">
        <v>2497</v>
      </c>
      <c r="D215" s="25">
        <v>0</v>
      </c>
      <c r="E215" s="25">
        <v>0</v>
      </c>
      <c r="F215" s="17"/>
      <c r="G215" s="25"/>
    </row>
    <row r="216">
      <c r="A216" s="25">
        <v>203</v>
      </c>
      <c r="B216" s="25" t="s">
        <v>428</v>
      </c>
      <c r="C216" s="25" t="s">
        <v>2498</v>
      </c>
      <c r="D216" s="25">
        <v>0</v>
      </c>
      <c r="E216" s="25">
        <v>0</v>
      </c>
      <c r="F216" s="17"/>
      <c r="G216" s="25"/>
    </row>
    <row r="217">
      <c r="A217" s="25">
        <v>204</v>
      </c>
      <c r="B217" s="25" t="s">
        <v>431</v>
      </c>
      <c r="C217" s="25" t="s">
        <v>2499</v>
      </c>
      <c r="D217" s="25">
        <v>0</v>
      </c>
      <c r="E217" s="25">
        <v>0</v>
      </c>
      <c r="F217" s="17"/>
      <c r="G217" s="25"/>
    </row>
    <row r="218">
      <c r="A218" s="25">
        <v>205</v>
      </c>
      <c r="B218" s="25" t="s">
        <v>432</v>
      </c>
      <c r="C218" s="25" t="s">
        <v>2500</v>
      </c>
      <c r="D218" s="25">
        <v>0</v>
      </c>
      <c r="E218" s="25">
        <v>0</v>
      </c>
      <c r="F218" s="17"/>
      <c r="G218" s="25"/>
    </row>
    <row r="219">
      <c r="A219" s="25">
        <v>206</v>
      </c>
      <c r="B219" s="25" t="s">
        <v>434</v>
      </c>
      <c r="C219" s="25" t="s">
        <v>2501</v>
      </c>
      <c r="D219" s="25">
        <v>0</v>
      </c>
      <c r="E219" s="25">
        <v>0</v>
      </c>
      <c r="F219" s="17"/>
      <c r="G219" s="25"/>
    </row>
    <row r="220">
      <c r="A220" s="25">
        <v>207</v>
      </c>
      <c r="B220" s="25" t="s">
        <v>435</v>
      </c>
      <c r="C220" s="25" t="s">
        <v>2502</v>
      </c>
      <c r="D220" s="25">
        <v>0</v>
      </c>
      <c r="E220" s="25">
        <v>0</v>
      </c>
      <c r="F220" s="17"/>
      <c r="G220" s="25"/>
    </row>
    <row r="221">
      <c r="A221" s="25">
        <v>208</v>
      </c>
      <c r="B221" s="25" t="s">
        <v>436</v>
      </c>
      <c r="C221" s="25" t="s">
        <v>2503</v>
      </c>
      <c r="D221" s="25">
        <v>0</v>
      </c>
      <c r="E221" s="25">
        <v>0</v>
      </c>
      <c r="F221" s="17"/>
      <c r="G221" s="25"/>
    </row>
    <row r="222">
      <c r="A222" s="25">
        <v>209</v>
      </c>
      <c r="B222" s="25" t="s">
        <v>437</v>
      </c>
      <c r="C222" s="25" t="s">
        <v>2504</v>
      </c>
      <c r="D222" s="25">
        <v>0</v>
      </c>
      <c r="E222" s="25">
        <v>0</v>
      </c>
      <c r="F222" s="17"/>
      <c r="G222" s="25"/>
    </row>
    <row r="223">
      <c r="A223" s="25">
        <v>210</v>
      </c>
      <c r="B223" s="25" t="s">
        <v>438</v>
      </c>
      <c r="C223" s="25" t="s">
        <v>2505</v>
      </c>
      <c r="D223" s="25">
        <v>0</v>
      </c>
      <c r="E223" s="25">
        <v>0</v>
      </c>
      <c r="F223" s="17"/>
      <c r="G223" s="25"/>
    </row>
    <row r="224">
      <c r="A224" s="25">
        <v>211</v>
      </c>
      <c r="B224" s="25" t="s">
        <v>441</v>
      </c>
      <c r="C224" s="25" t="s">
        <v>2506</v>
      </c>
      <c r="D224" s="25">
        <v>0</v>
      </c>
      <c r="E224" s="25">
        <v>0</v>
      </c>
      <c r="F224" s="17"/>
      <c r="G224" s="25"/>
    </row>
    <row r="225">
      <c r="A225" s="25">
        <v>212</v>
      </c>
      <c r="B225" s="25" t="s">
        <v>442</v>
      </c>
      <c r="C225" s="25" t="s">
        <v>2507</v>
      </c>
      <c r="D225" s="25">
        <v>0</v>
      </c>
      <c r="E225" s="25">
        <v>0</v>
      </c>
      <c r="F225" s="17"/>
      <c r="G225" s="25"/>
    </row>
    <row r="226">
      <c r="A226" s="25">
        <v>213</v>
      </c>
      <c r="B226" s="25" t="s">
        <v>444</v>
      </c>
      <c r="C226" s="25" t="s">
        <v>2508</v>
      </c>
      <c r="D226" s="25">
        <v>0</v>
      </c>
      <c r="E226" s="25">
        <v>0</v>
      </c>
      <c r="F226" s="17"/>
      <c r="G226" s="25"/>
    </row>
    <row r="227">
      <c r="A227" s="25">
        <v>214</v>
      </c>
      <c r="B227" s="25" t="s">
        <v>445</v>
      </c>
      <c r="C227" s="25" t="s">
        <v>2509</v>
      </c>
      <c r="D227" s="25">
        <v>0</v>
      </c>
      <c r="E227" s="25">
        <v>0</v>
      </c>
      <c r="F227" s="17"/>
      <c r="G227" s="25"/>
    </row>
    <row r="228">
      <c r="A228" s="25">
        <v>215</v>
      </c>
      <c r="B228" s="25" t="s">
        <v>446</v>
      </c>
      <c r="C228" s="25" t="s">
        <v>2510</v>
      </c>
      <c r="D228" s="25">
        <v>0</v>
      </c>
      <c r="E228" s="25">
        <v>0</v>
      </c>
      <c r="F228" s="17"/>
      <c r="G228" s="25"/>
    </row>
    <row r="229">
      <c r="A229" s="25">
        <v>216</v>
      </c>
      <c r="B229" s="25" t="s">
        <v>447</v>
      </c>
      <c r="C229" s="25" t="s">
        <v>2511</v>
      </c>
      <c r="D229" s="25">
        <v>0</v>
      </c>
      <c r="E229" s="25">
        <v>0</v>
      </c>
      <c r="F229" s="17"/>
      <c r="G229" s="25"/>
    </row>
    <row r="230">
      <c r="A230" s="25">
        <v>217</v>
      </c>
      <c r="B230" s="25" t="s">
        <v>448</v>
      </c>
      <c r="C230" s="25" t="s">
        <v>2512</v>
      </c>
      <c r="D230" s="25">
        <v>0</v>
      </c>
      <c r="E230" s="25">
        <v>0</v>
      </c>
      <c r="F230" s="17"/>
      <c r="G230" s="25"/>
    </row>
    <row r="231">
      <c r="A231" s="25">
        <v>218</v>
      </c>
      <c r="B231" s="25" t="s">
        <v>451</v>
      </c>
      <c r="C231" s="25" t="s">
        <v>2513</v>
      </c>
      <c r="D231" s="25">
        <v>0</v>
      </c>
      <c r="E231" s="25">
        <v>0</v>
      </c>
      <c r="F231" s="17"/>
      <c r="G231" s="25"/>
    </row>
    <row r="232">
      <c r="A232" s="25">
        <v>219</v>
      </c>
      <c r="B232" s="25" t="s">
        <v>452</v>
      </c>
      <c r="C232" s="25" t="s">
        <v>2514</v>
      </c>
      <c r="D232" s="25">
        <v>0</v>
      </c>
      <c r="E232" s="25">
        <v>0</v>
      </c>
      <c r="F232" s="17"/>
      <c r="G232" s="25"/>
    </row>
    <row r="233">
      <c r="A233" s="25">
        <v>220</v>
      </c>
      <c r="B233" s="25" t="s">
        <v>454</v>
      </c>
      <c r="C233" s="25" t="s">
        <v>2515</v>
      </c>
      <c r="D233" s="25">
        <v>0</v>
      </c>
      <c r="E233" s="25">
        <v>0</v>
      </c>
      <c r="F233" s="17"/>
      <c r="G233" s="25"/>
    </row>
    <row r="234">
      <c r="A234" s="25">
        <v>221</v>
      </c>
      <c r="B234" s="25" t="s">
        <v>455</v>
      </c>
      <c r="C234" s="25" t="s">
        <v>2516</v>
      </c>
      <c r="D234" s="25">
        <v>0</v>
      </c>
      <c r="E234" s="25">
        <v>0</v>
      </c>
      <c r="F234" s="17"/>
      <c r="G234" s="25"/>
    </row>
    <row r="235">
      <c r="A235" s="25">
        <v>222</v>
      </c>
      <c r="B235" s="25" t="s">
        <v>456</v>
      </c>
      <c r="C235" s="25" t="s">
        <v>2517</v>
      </c>
      <c r="D235" s="25">
        <v>0</v>
      </c>
      <c r="E235" s="25">
        <v>0</v>
      </c>
      <c r="F235" s="17"/>
      <c r="G235" s="25"/>
    </row>
    <row r="236">
      <c r="A236" s="25">
        <v>223</v>
      </c>
      <c r="B236" s="25" t="s">
        <v>457</v>
      </c>
      <c r="C236" s="25" t="s">
        <v>2518</v>
      </c>
      <c r="D236" s="25">
        <v>0</v>
      </c>
      <c r="E236" s="25">
        <v>0</v>
      </c>
      <c r="F236" s="17"/>
      <c r="G236" s="25"/>
    </row>
    <row r="237">
      <c r="A237" s="25">
        <v>224</v>
      </c>
      <c r="B237" s="25" t="s">
        <v>458</v>
      </c>
      <c r="C237" s="25" t="s">
        <v>2519</v>
      </c>
      <c r="D237" s="25">
        <v>0</v>
      </c>
      <c r="E237" s="25">
        <v>0</v>
      </c>
      <c r="F237" s="17"/>
      <c r="G237" s="25"/>
    </row>
    <row r="238">
      <c r="A238" s="25">
        <v>225</v>
      </c>
      <c r="B238" s="25" t="s">
        <v>461</v>
      </c>
      <c r="C238" s="25" t="s">
        <v>2520</v>
      </c>
      <c r="D238" s="25">
        <v>0</v>
      </c>
      <c r="E238" s="25">
        <v>0</v>
      </c>
      <c r="F238" s="17"/>
      <c r="G238" s="25"/>
    </row>
    <row r="239">
      <c r="A239" s="25">
        <v>226</v>
      </c>
      <c r="B239" s="25" t="s">
        <v>462</v>
      </c>
      <c r="C239" s="25" t="s">
        <v>2521</v>
      </c>
      <c r="D239" s="25">
        <v>0</v>
      </c>
      <c r="E239" s="25">
        <v>0</v>
      </c>
      <c r="F239" s="17"/>
      <c r="G239" s="25"/>
    </row>
    <row r="240">
      <c r="A240" s="25">
        <v>227</v>
      </c>
      <c r="B240" s="25" t="s">
        <v>464</v>
      </c>
      <c r="C240" s="25" t="s">
        <v>2522</v>
      </c>
      <c r="D240" s="25">
        <v>0</v>
      </c>
      <c r="E240" s="25">
        <v>0</v>
      </c>
      <c r="F240" s="17"/>
      <c r="G240" s="25"/>
    </row>
    <row r="241">
      <c r="A241" s="25">
        <v>228</v>
      </c>
      <c r="B241" s="25" t="s">
        <v>465</v>
      </c>
      <c r="C241" s="25" t="s">
        <v>2523</v>
      </c>
      <c r="D241" s="25">
        <v>0</v>
      </c>
      <c r="E241" s="25">
        <v>0</v>
      </c>
      <c r="F241" s="17"/>
      <c r="G241" s="25"/>
    </row>
    <row r="242">
      <c r="A242" s="25">
        <v>229</v>
      </c>
      <c r="B242" s="25" t="s">
        <v>466</v>
      </c>
      <c r="C242" s="25" t="s">
        <v>2524</v>
      </c>
      <c r="D242" s="25">
        <v>0</v>
      </c>
      <c r="E242" s="25">
        <v>0</v>
      </c>
      <c r="F242" s="17"/>
      <c r="G242" s="25"/>
    </row>
    <row r="243">
      <c r="A243" s="25">
        <v>230</v>
      </c>
      <c r="B243" s="25" t="s">
        <v>467</v>
      </c>
      <c r="C243" s="25" t="s">
        <v>2525</v>
      </c>
      <c r="D243" s="25">
        <v>0</v>
      </c>
      <c r="E243" s="25">
        <v>0</v>
      </c>
      <c r="F243" s="17"/>
      <c r="G243" s="25"/>
    </row>
    <row r="244">
      <c r="A244" s="25">
        <v>231</v>
      </c>
      <c r="B244" s="25" t="s">
        <v>468</v>
      </c>
      <c r="C244" s="25" t="s">
        <v>2526</v>
      </c>
      <c r="D244" s="25">
        <v>0</v>
      </c>
      <c r="E244" s="25">
        <v>0</v>
      </c>
      <c r="F244" s="17"/>
      <c r="G244" s="25"/>
    </row>
    <row r="245">
      <c r="A245" s="25">
        <v>232</v>
      </c>
      <c r="B245" s="25" t="s">
        <v>471</v>
      </c>
      <c r="C245" s="25" t="s">
        <v>2527</v>
      </c>
      <c r="D245" s="25">
        <v>0</v>
      </c>
      <c r="E245" s="25">
        <v>0</v>
      </c>
      <c r="F245" s="17"/>
      <c r="G245" s="25"/>
    </row>
    <row r="246">
      <c r="A246" s="25">
        <v>233</v>
      </c>
      <c r="B246" s="25" t="s">
        <v>472</v>
      </c>
      <c r="C246" s="25" t="s">
        <v>2528</v>
      </c>
      <c r="D246" s="25">
        <v>0</v>
      </c>
      <c r="E246" s="25">
        <v>0</v>
      </c>
      <c r="F246" s="17"/>
      <c r="G246" s="25"/>
    </row>
    <row r="247">
      <c r="A247" s="25">
        <v>234</v>
      </c>
      <c r="B247" s="25" t="s">
        <v>474</v>
      </c>
      <c r="C247" s="25" t="s">
        <v>2529</v>
      </c>
      <c r="D247" s="25">
        <v>0</v>
      </c>
      <c r="E247" s="25">
        <v>0</v>
      </c>
      <c r="F247" s="17"/>
      <c r="G247" s="25"/>
    </row>
    <row r="248">
      <c r="A248" s="25">
        <v>235</v>
      </c>
      <c r="B248" s="25" t="s">
        <v>475</v>
      </c>
      <c r="C248" s="25" t="s">
        <v>2530</v>
      </c>
      <c r="D248" s="25">
        <v>0</v>
      </c>
      <c r="E248" s="25">
        <v>0</v>
      </c>
      <c r="F248" s="17"/>
      <c r="G248" s="25"/>
    </row>
    <row r="249">
      <c r="A249" s="25">
        <v>236</v>
      </c>
      <c r="B249" s="25" t="s">
        <v>476</v>
      </c>
      <c r="C249" s="25" t="s">
        <v>2531</v>
      </c>
      <c r="D249" s="25">
        <v>0</v>
      </c>
      <c r="E249" s="25">
        <v>0</v>
      </c>
      <c r="F249" s="17"/>
      <c r="G249" s="25"/>
    </row>
    <row r="250">
      <c r="A250" s="25">
        <v>237</v>
      </c>
      <c r="B250" s="25" t="s">
        <v>477</v>
      </c>
      <c r="C250" s="25" t="s">
        <v>2532</v>
      </c>
      <c r="D250" s="25">
        <v>0</v>
      </c>
      <c r="E250" s="25">
        <v>0</v>
      </c>
      <c r="F250" s="17"/>
      <c r="G250" s="25"/>
    </row>
    <row r="251">
      <c r="A251" s="25">
        <v>238</v>
      </c>
      <c r="B251" s="25" t="s">
        <v>478</v>
      </c>
      <c r="C251" s="25" t="s">
        <v>2533</v>
      </c>
      <c r="D251" s="25">
        <v>0</v>
      </c>
      <c r="E251" s="25">
        <v>0</v>
      </c>
      <c r="F251" s="17"/>
      <c r="G251" s="25"/>
    </row>
    <row r="252">
      <c r="A252" s="25">
        <v>239</v>
      </c>
      <c r="B252" s="25" t="s">
        <v>481</v>
      </c>
      <c r="C252" s="25" t="s">
        <v>2534</v>
      </c>
      <c r="D252" s="25">
        <v>0</v>
      </c>
      <c r="E252" s="25">
        <v>0</v>
      </c>
      <c r="F252" s="17"/>
      <c r="G252" s="25"/>
    </row>
    <row r="253">
      <c r="A253" s="25">
        <v>240</v>
      </c>
      <c r="B253" s="25" t="s">
        <v>482</v>
      </c>
      <c r="C253" s="25" t="s">
        <v>2535</v>
      </c>
      <c r="D253" s="25">
        <v>0</v>
      </c>
      <c r="E253" s="25">
        <v>0</v>
      </c>
      <c r="F253" s="17"/>
      <c r="G253" s="25"/>
    </row>
    <row r="254">
      <c r="A254" s="25">
        <v>241</v>
      </c>
      <c r="B254" s="25" t="s">
        <v>484</v>
      </c>
      <c r="C254" s="25" t="s">
        <v>2536</v>
      </c>
      <c r="D254" s="25">
        <v>0</v>
      </c>
      <c r="E254" s="25">
        <v>0</v>
      </c>
      <c r="F254" s="17"/>
      <c r="G254" s="25"/>
    </row>
    <row r="255">
      <c r="A255" s="25">
        <v>242</v>
      </c>
      <c r="B255" s="25" t="s">
        <v>485</v>
      </c>
      <c r="C255" s="25" t="s">
        <v>2537</v>
      </c>
      <c r="D255" s="25">
        <v>0</v>
      </c>
      <c r="E255" s="25">
        <v>0</v>
      </c>
      <c r="F255" s="17"/>
      <c r="G255" s="25"/>
    </row>
    <row r="256">
      <c r="A256" s="25">
        <v>243</v>
      </c>
      <c r="B256" s="25" t="s">
        <v>486</v>
      </c>
      <c r="C256" s="25" t="s">
        <v>2538</v>
      </c>
      <c r="D256" s="25">
        <v>0</v>
      </c>
      <c r="E256" s="25">
        <v>0</v>
      </c>
      <c r="F256" s="17"/>
      <c r="G256" s="25"/>
    </row>
    <row r="257">
      <c r="A257" s="25">
        <v>244</v>
      </c>
      <c r="B257" s="25" t="s">
        <v>487</v>
      </c>
      <c r="C257" s="25" t="s">
        <v>2539</v>
      </c>
      <c r="D257" s="25">
        <v>0</v>
      </c>
      <c r="E257" s="25">
        <v>0</v>
      </c>
      <c r="F257" s="17"/>
      <c r="G257" s="25"/>
    </row>
    <row r="258">
      <c r="A258" s="25">
        <v>245</v>
      </c>
      <c r="B258" s="25" t="s">
        <v>488</v>
      </c>
      <c r="C258" s="25" t="s">
        <v>2540</v>
      </c>
      <c r="D258" s="25">
        <v>0</v>
      </c>
      <c r="E258" s="25">
        <v>0</v>
      </c>
      <c r="F258" s="17"/>
      <c r="G258" s="25"/>
    </row>
    <row r="259">
      <c r="A259" s="25">
        <v>246</v>
      </c>
      <c r="B259" s="25" t="s">
        <v>491</v>
      </c>
      <c r="C259" s="25" t="s">
        <v>2541</v>
      </c>
      <c r="D259" s="25">
        <v>0</v>
      </c>
      <c r="E259" s="25">
        <v>0</v>
      </c>
      <c r="F259" s="17"/>
      <c r="G259" s="25"/>
    </row>
    <row r="260">
      <c r="A260" s="25">
        <v>247</v>
      </c>
      <c r="B260" s="25" t="s">
        <v>492</v>
      </c>
      <c r="C260" s="25" t="s">
        <v>2542</v>
      </c>
      <c r="D260" s="25">
        <v>0</v>
      </c>
      <c r="E260" s="25">
        <v>0</v>
      </c>
      <c r="F260" s="17"/>
      <c r="G260" s="25"/>
    </row>
    <row r="261">
      <c r="A261" s="25">
        <v>248</v>
      </c>
      <c r="B261" s="25" t="s">
        <v>494</v>
      </c>
      <c r="C261" s="25" t="s">
        <v>2543</v>
      </c>
      <c r="D261" s="25">
        <v>0</v>
      </c>
      <c r="E261" s="25">
        <v>0</v>
      </c>
      <c r="F261" s="17"/>
      <c r="G261" s="25"/>
    </row>
    <row r="262">
      <c r="A262" s="25">
        <v>249</v>
      </c>
      <c r="B262" s="25" t="s">
        <v>495</v>
      </c>
      <c r="C262" s="25" t="s">
        <v>2544</v>
      </c>
      <c r="D262" s="25">
        <v>0</v>
      </c>
      <c r="E262" s="25">
        <v>0</v>
      </c>
      <c r="F262" s="17"/>
      <c r="G262" s="25"/>
    </row>
    <row r="263">
      <c r="A263" s="25">
        <v>250</v>
      </c>
      <c r="B263" s="25" t="s">
        <v>496</v>
      </c>
      <c r="C263" s="25" t="s">
        <v>2545</v>
      </c>
      <c r="D263" s="25">
        <v>0</v>
      </c>
      <c r="E263" s="25">
        <v>0</v>
      </c>
      <c r="F263" s="17"/>
      <c r="G263" s="25"/>
    </row>
    <row r="264">
      <c r="A264" s="25">
        <v>251</v>
      </c>
      <c r="B264" s="25" t="s">
        <v>497</v>
      </c>
      <c r="C264" s="25" t="s">
        <v>2546</v>
      </c>
      <c r="D264" s="25">
        <v>0</v>
      </c>
      <c r="E264" s="25">
        <v>0</v>
      </c>
      <c r="F264" s="17"/>
      <c r="G264" s="25"/>
    </row>
    <row r="265">
      <c r="A265" s="25">
        <v>252</v>
      </c>
      <c r="B265" s="25" t="s">
        <v>498</v>
      </c>
      <c r="C265" s="25" t="s">
        <v>2547</v>
      </c>
      <c r="D265" s="25">
        <v>0</v>
      </c>
      <c r="E265" s="25">
        <v>0</v>
      </c>
      <c r="F265" s="17"/>
      <c r="G265" s="25"/>
    </row>
    <row r="266">
      <c r="A266" s="25">
        <v>253</v>
      </c>
      <c r="B266" s="25" t="s">
        <v>501</v>
      </c>
      <c r="C266" s="25" t="s">
        <v>2548</v>
      </c>
      <c r="D266" s="25">
        <v>0</v>
      </c>
      <c r="E266" s="25">
        <v>0</v>
      </c>
      <c r="F266" s="17"/>
      <c r="G266" s="25"/>
    </row>
    <row r="267">
      <c r="A267" s="25">
        <v>254</v>
      </c>
      <c r="B267" s="25" t="s">
        <v>502</v>
      </c>
      <c r="C267" s="25" t="s">
        <v>2549</v>
      </c>
      <c r="D267" s="25">
        <v>0</v>
      </c>
      <c r="E267" s="25">
        <v>0</v>
      </c>
      <c r="F267" s="17"/>
      <c r="G267" s="25"/>
    </row>
    <row r="268">
      <c r="A268" s="25">
        <v>255</v>
      </c>
      <c r="B268" s="25" t="s">
        <v>504</v>
      </c>
      <c r="C268" s="25" t="s">
        <v>2550</v>
      </c>
      <c r="D268" s="25">
        <v>0</v>
      </c>
      <c r="E268" s="25">
        <v>0</v>
      </c>
      <c r="F268" s="17"/>
      <c r="G268" s="25"/>
    </row>
    <row r="269">
      <c r="A269" s="25">
        <v>256</v>
      </c>
      <c r="B269" s="25" t="s">
        <v>505</v>
      </c>
      <c r="C269" s="25" t="s">
        <v>2551</v>
      </c>
      <c r="D269" s="25">
        <v>0</v>
      </c>
      <c r="E269" s="25">
        <v>0</v>
      </c>
      <c r="F269" s="17"/>
      <c r="G269" s="25"/>
    </row>
    <row r="270">
      <c r="A270" s="25">
        <v>257</v>
      </c>
      <c r="B270" s="25" t="s">
        <v>506</v>
      </c>
      <c r="C270" s="25" t="s">
        <v>2552</v>
      </c>
      <c r="D270" s="25">
        <v>0</v>
      </c>
      <c r="E270" s="25">
        <v>0</v>
      </c>
      <c r="F270" s="17"/>
      <c r="G270" s="25"/>
    </row>
    <row r="271">
      <c r="A271" s="25">
        <v>258</v>
      </c>
      <c r="B271" s="25" t="s">
        <v>507</v>
      </c>
      <c r="C271" s="25" t="s">
        <v>2553</v>
      </c>
      <c r="D271" s="25">
        <v>0</v>
      </c>
      <c r="E271" s="25">
        <v>0</v>
      </c>
      <c r="F271" s="17"/>
      <c r="G271" s="25"/>
    </row>
    <row r="272">
      <c r="A272" s="25">
        <v>259</v>
      </c>
      <c r="B272" s="25" t="s">
        <v>508</v>
      </c>
      <c r="C272" s="25" t="s">
        <v>2554</v>
      </c>
      <c r="D272" s="25">
        <v>0</v>
      </c>
      <c r="E272" s="25">
        <v>0</v>
      </c>
      <c r="F272" s="17"/>
      <c r="G272" s="25"/>
    </row>
    <row r="273">
      <c r="A273" s="25">
        <v>260</v>
      </c>
      <c r="B273" s="25" t="s">
        <v>511</v>
      </c>
      <c r="C273" s="25" t="s">
        <v>2555</v>
      </c>
      <c r="D273" s="25">
        <v>0</v>
      </c>
      <c r="E273" s="25">
        <v>0</v>
      </c>
      <c r="F273" s="17"/>
      <c r="G273" s="25"/>
    </row>
    <row r="274">
      <c r="A274" s="25">
        <v>261</v>
      </c>
      <c r="B274" s="25" t="s">
        <v>512</v>
      </c>
      <c r="C274" s="25" t="s">
        <v>2556</v>
      </c>
      <c r="D274" s="25">
        <v>0</v>
      </c>
      <c r="E274" s="25">
        <v>0</v>
      </c>
      <c r="F274" s="17"/>
      <c r="G274" s="25"/>
    </row>
    <row r="275">
      <c r="A275" s="25">
        <v>262</v>
      </c>
      <c r="B275" s="25" t="s">
        <v>514</v>
      </c>
      <c r="C275" s="25" t="s">
        <v>2557</v>
      </c>
      <c r="D275" s="25">
        <v>0</v>
      </c>
      <c r="E275" s="25">
        <v>0</v>
      </c>
      <c r="F275" s="17"/>
      <c r="G275" s="25"/>
    </row>
    <row r="276">
      <c r="A276" s="25">
        <v>263</v>
      </c>
      <c r="B276" s="25" t="s">
        <v>515</v>
      </c>
      <c r="C276" s="25" t="s">
        <v>2558</v>
      </c>
      <c r="D276" s="25">
        <v>0</v>
      </c>
      <c r="E276" s="25">
        <v>0</v>
      </c>
      <c r="F276" s="17"/>
      <c r="G276" s="25"/>
    </row>
    <row r="277">
      <c r="A277" s="25">
        <v>264</v>
      </c>
      <c r="B277" s="25" t="s">
        <v>516</v>
      </c>
      <c r="C277" s="25" t="s">
        <v>2559</v>
      </c>
      <c r="D277" s="25">
        <v>0</v>
      </c>
      <c r="E277" s="25">
        <v>0</v>
      </c>
      <c r="F277" s="17"/>
      <c r="G277" s="25"/>
    </row>
    <row r="278">
      <c r="A278" s="25">
        <v>265</v>
      </c>
      <c r="B278" s="25" t="s">
        <v>517</v>
      </c>
      <c r="C278" s="25" t="s">
        <v>2560</v>
      </c>
      <c r="D278" s="25">
        <v>0</v>
      </c>
      <c r="E278" s="25">
        <v>0</v>
      </c>
      <c r="F278" s="17"/>
      <c r="G278" s="25"/>
    </row>
    <row r="279">
      <c r="A279" s="25">
        <v>266</v>
      </c>
      <c r="B279" s="25" t="s">
        <v>518</v>
      </c>
      <c r="C279" s="25" t="s">
        <v>2561</v>
      </c>
      <c r="D279" s="25">
        <v>0</v>
      </c>
      <c r="E279" s="25">
        <v>0</v>
      </c>
      <c r="F279" s="17"/>
      <c r="G279" s="25"/>
    </row>
    <row r="280">
      <c r="A280" s="25">
        <v>267</v>
      </c>
      <c r="B280" s="25" t="s">
        <v>521</v>
      </c>
      <c r="C280" s="25" t="s">
        <v>2562</v>
      </c>
      <c r="D280" s="25">
        <v>0</v>
      </c>
      <c r="E280" s="25">
        <v>0</v>
      </c>
      <c r="F280" s="17"/>
      <c r="G280" s="25"/>
    </row>
    <row r="281">
      <c r="A281" s="25">
        <v>268</v>
      </c>
      <c r="B281" s="25" t="s">
        <v>522</v>
      </c>
      <c r="C281" s="25" t="s">
        <v>2563</v>
      </c>
      <c r="D281" s="25">
        <v>0</v>
      </c>
      <c r="E281" s="25">
        <v>0</v>
      </c>
      <c r="F281" s="17"/>
      <c r="G281" s="25"/>
    </row>
    <row r="282">
      <c r="A282" s="25">
        <v>269</v>
      </c>
      <c r="B282" s="25" t="s">
        <v>524</v>
      </c>
      <c r="C282" s="25" t="s">
        <v>2564</v>
      </c>
      <c r="D282" s="25">
        <v>0</v>
      </c>
      <c r="E282" s="25">
        <v>0</v>
      </c>
      <c r="F282" s="17"/>
      <c r="G282" s="25"/>
    </row>
    <row r="283">
      <c r="A283" s="25">
        <v>270</v>
      </c>
      <c r="B283" s="25" t="s">
        <v>525</v>
      </c>
      <c r="C283" s="25" t="s">
        <v>2565</v>
      </c>
      <c r="D283" s="25">
        <v>0</v>
      </c>
      <c r="E283" s="25">
        <v>0</v>
      </c>
      <c r="F283" s="17"/>
      <c r="G283" s="25"/>
    </row>
    <row r="284">
      <c r="A284" s="25">
        <v>271</v>
      </c>
      <c r="B284" s="25" t="s">
        <v>526</v>
      </c>
      <c r="C284" s="25" t="s">
        <v>2566</v>
      </c>
      <c r="D284" s="25">
        <v>0</v>
      </c>
      <c r="E284" s="25">
        <v>0</v>
      </c>
      <c r="F284" s="17"/>
      <c r="G284" s="25"/>
    </row>
    <row r="285">
      <c r="A285" s="25">
        <v>272</v>
      </c>
      <c r="B285" s="25" t="s">
        <v>527</v>
      </c>
      <c r="C285" s="25" t="s">
        <v>2567</v>
      </c>
      <c r="D285" s="25">
        <v>0</v>
      </c>
      <c r="E285" s="25">
        <v>0</v>
      </c>
      <c r="F285" s="17"/>
      <c r="G285" s="25"/>
    </row>
    <row r="286">
      <c r="A286" s="25">
        <v>273</v>
      </c>
      <c r="B286" s="25" t="s">
        <v>528</v>
      </c>
      <c r="C286" s="25" t="s">
        <v>2568</v>
      </c>
      <c r="D286" s="25">
        <v>0</v>
      </c>
      <c r="E286" s="25">
        <v>0</v>
      </c>
      <c r="F286" s="17"/>
      <c r="G286" s="25"/>
    </row>
    <row r="287">
      <c r="A287" s="25">
        <v>274</v>
      </c>
      <c r="B287" s="25" t="s">
        <v>561</v>
      </c>
      <c r="C287" s="25" t="s">
        <v>2569</v>
      </c>
      <c r="D287" s="25">
        <v>0</v>
      </c>
      <c r="E287" s="25">
        <v>0</v>
      </c>
      <c r="F287" s="17"/>
      <c r="G287" s="25"/>
    </row>
    <row r="288">
      <c r="A288" s="25">
        <v>275</v>
      </c>
      <c r="B288" s="25" t="s">
        <v>562</v>
      </c>
      <c r="C288" s="25" t="s">
        <v>2570</v>
      </c>
      <c r="D288" s="25">
        <v>0</v>
      </c>
      <c r="E288" s="25">
        <v>0</v>
      </c>
      <c r="F288" s="17"/>
      <c r="G288" s="25"/>
    </row>
    <row r="289">
      <c r="A289" s="25">
        <v>276</v>
      </c>
      <c r="B289" s="25" t="s">
        <v>564</v>
      </c>
      <c r="C289" s="25" t="s">
        <v>2571</v>
      </c>
      <c r="D289" s="25">
        <v>0</v>
      </c>
      <c r="E289" s="25">
        <v>0</v>
      </c>
      <c r="F289" s="17"/>
      <c r="G289" s="25"/>
    </row>
    <row r="290">
      <c r="A290" s="25">
        <v>277</v>
      </c>
      <c r="B290" s="25" t="s">
        <v>565</v>
      </c>
      <c r="C290" s="25" t="s">
        <v>2572</v>
      </c>
      <c r="D290" s="25">
        <v>0</v>
      </c>
      <c r="E290" s="25">
        <v>0</v>
      </c>
      <c r="F290" s="17"/>
      <c r="G290" s="25"/>
    </row>
    <row r="291">
      <c r="A291" s="25">
        <v>278</v>
      </c>
      <c r="B291" s="25" t="s">
        <v>566</v>
      </c>
      <c r="C291" s="25" t="s">
        <v>2573</v>
      </c>
      <c r="D291" s="25">
        <v>0</v>
      </c>
      <c r="E291" s="25">
        <v>0</v>
      </c>
      <c r="F291" s="17"/>
      <c r="G291" s="25"/>
    </row>
    <row r="292">
      <c r="A292" s="25">
        <v>279</v>
      </c>
      <c r="B292" s="25" t="s">
        <v>567</v>
      </c>
      <c r="C292" s="25" t="s">
        <v>2574</v>
      </c>
      <c r="D292" s="25">
        <v>0</v>
      </c>
      <c r="E292" s="25">
        <v>0</v>
      </c>
      <c r="F292" s="17"/>
      <c r="G292" s="25"/>
    </row>
    <row r="293">
      <c r="A293" s="25">
        <v>280</v>
      </c>
      <c r="B293" s="25" t="s">
        <v>568</v>
      </c>
      <c r="C293" s="25" t="s">
        <v>2575</v>
      </c>
      <c r="D293" s="25">
        <v>0</v>
      </c>
      <c r="E293" s="25">
        <v>0</v>
      </c>
      <c r="F293" s="17"/>
      <c r="G293" s="25"/>
    </row>
    <row r="294">
      <c r="A294" s="25">
        <v>281</v>
      </c>
      <c r="B294" s="25" t="s">
        <v>581</v>
      </c>
      <c r="C294" s="25" t="s">
        <v>2576</v>
      </c>
      <c r="D294" s="25">
        <v>157</v>
      </c>
      <c r="E294" s="25">
        <v>584</v>
      </c>
      <c r="F294" s="17"/>
      <c r="G294" s="25"/>
    </row>
    <row r="295">
      <c r="A295" s="25">
        <v>282</v>
      </c>
      <c r="B295" s="25" t="s">
        <v>582</v>
      </c>
      <c r="C295" s="25" t="s">
        <v>2577</v>
      </c>
      <c r="D295" s="25">
        <v>4170342</v>
      </c>
      <c r="E295" s="25">
        <v>15393990.96</v>
      </c>
      <c r="F295" s="17"/>
      <c r="G295" s="25"/>
    </row>
    <row r="296">
      <c r="A296" s="25">
        <v>283</v>
      </c>
      <c r="B296" s="25" t="s">
        <v>584</v>
      </c>
      <c r="C296" s="25" t="s">
        <v>2578</v>
      </c>
      <c r="D296" s="25">
        <v>0</v>
      </c>
      <c r="E296" s="25">
        <v>237618</v>
      </c>
      <c r="F296" s="17"/>
      <c r="G296" s="25"/>
    </row>
    <row r="297">
      <c r="A297" s="25">
        <v>284</v>
      </c>
      <c r="B297" s="25" t="s">
        <v>585</v>
      </c>
      <c r="C297" s="25" t="s">
        <v>2579</v>
      </c>
      <c r="D297" s="25">
        <v>0</v>
      </c>
      <c r="E297" s="25">
        <v>0</v>
      </c>
      <c r="F297" s="17"/>
      <c r="G297" s="25"/>
    </row>
    <row r="298">
      <c r="A298" s="25">
        <v>285</v>
      </c>
      <c r="B298" s="25" t="s">
        <v>586</v>
      </c>
      <c r="C298" s="25" t="s">
        <v>2580</v>
      </c>
      <c r="D298" s="25">
        <v>4170342</v>
      </c>
      <c r="E298" s="25">
        <v>15156372.96</v>
      </c>
      <c r="F298" s="17"/>
      <c r="G298" s="25"/>
    </row>
    <row r="299">
      <c r="A299" s="25">
        <v>286</v>
      </c>
      <c r="B299" s="25" t="s">
        <v>587</v>
      </c>
      <c r="C299" s="25" t="s">
        <v>2581</v>
      </c>
      <c r="D299" s="25">
        <v>3642842.49</v>
      </c>
      <c r="E299" s="25">
        <v>13226271.87</v>
      </c>
      <c r="F299" s="17"/>
      <c r="G299" s="25"/>
    </row>
    <row r="300">
      <c r="A300" s="25">
        <v>287</v>
      </c>
      <c r="B300" s="25" t="s">
        <v>588</v>
      </c>
      <c r="C300" s="25" t="s">
        <v>2582</v>
      </c>
      <c r="D300" s="25">
        <v>527499.51</v>
      </c>
      <c r="E300" s="25">
        <v>1930101.09</v>
      </c>
      <c r="F300" s="17"/>
      <c r="G300" s="25"/>
    </row>
    <row r="301">
      <c r="A301" s="25">
        <v>288</v>
      </c>
      <c r="B301" s="25" t="s">
        <v>571</v>
      </c>
      <c r="C301" s="25" t="s">
        <v>2583</v>
      </c>
      <c r="D301" s="25">
        <v>103</v>
      </c>
      <c r="E301" s="25">
        <v>360</v>
      </c>
      <c r="F301" s="17"/>
      <c r="G301" s="25"/>
    </row>
    <row r="302">
      <c r="A302" s="25">
        <v>289</v>
      </c>
      <c r="B302" s="25" t="s">
        <v>572</v>
      </c>
      <c r="C302" s="25" t="s">
        <v>2584</v>
      </c>
      <c r="D302" s="25">
        <v>2683528</v>
      </c>
      <c r="E302" s="25">
        <v>9208146.95</v>
      </c>
      <c r="F302" s="17"/>
      <c r="G302" s="25"/>
    </row>
    <row r="303">
      <c r="A303" s="25">
        <v>290</v>
      </c>
      <c r="B303" s="25" t="s">
        <v>574</v>
      </c>
      <c r="C303" s="25" t="s">
        <v>2585</v>
      </c>
      <c r="D303" s="25">
        <v>0</v>
      </c>
      <c r="E303" s="25">
        <v>151897</v>
      </c>
      <c r="F303" s="17"/>
      <c r="G303" s="25"/>
    </row>
    <row r="304">
      <c r="A304" s="25">
        <v>291</v>
      </c>
      <c r="B304" s="25" t="s">
        <v>575</v>
      </c>
      <c r="C304" s="25" t="s">
        <v>2586</v>
      </c>
      <c r="D304" s="25">
        <v>0</v>
      </c>
      <c r="E304" s="25">
        <v>0</v>
      </c>
      <c r="F304" s="17"/>
      <c r="G304" s="25"/>
    </row>
    <row r="305">
      <c r="A305" s="25">
        <v>292</v>
      </c>
      <c r="B305" s="25" t="s">
        <v>576</v>
      </c>
      <c r="C305" s="25" t="s">
        <v>2587</v>
      </c>
      <c r="D305" s="25">
        <v>2683528</v>
      </c>
      <c r="E305" s="25">
        <v>9056249.95</v>
      </c>
      <c r="F305" s="17"/>
      <c r="G305" s="25"/>
    </row>
    <row r="306">
      <c r="A306" s="25">
        <v>293</v>
      </c>
      <c r="B306" s="25" t="s">
        <v>577</v>
      </c>
      <c r="C306" s="25" t="s">
        <v>2588</v>
      </c>
      <c r="D306" s="25">
        <v>2352640.15</v>
      </c>
      <c r="E306" s="25">
        <v>7937859.83</v>
      </c>
      <c r="F306" s="17"/>
      <c r="G306" s="25"/>
    </row>
    <row r="307">
      <c r="A307" s="25">
        <v>294</v>
      </c>
      <c r="B307" s="25" t="s">
        <v>578</v>
      </c>
      <c r="C307" s="25" t="s">
        <v>2589</v>
      </c>
      <c r="D307" s="25">
        <v>330887.85</v>
      </c>
      <c r="E307" s="25">
        <v>1118390.12</v>
      </c>
      <c r="F307" s="17"/>
      <c r="G307" s="25"/>
    </row>
    <row r="308">
      <c r="A308" s="25">
        <v>295</v>
      </c>
      <c r="B308" s="25" t="s">
        <v>287</v>
      </c>
      <c r="C308" s="25" t="s">
        <v>2590</v>
      </c>
      <c r="D308" s="25">
        <v>0</v>
      </c>
      <c r="E308" s="25">
        <v>8</v>
      </c>
      <c r="F308" s="17"/>
      <c r="G308" s="25"/>
    </row>
    <row r="309">
      <c r="A309" s="25">
        <v>296</v>
      </c>
      <c r="B309" s="25" t="s">
        <v>288</v>
      </c>
      <c r="C309" s="25" t="s">
        <v>2591</v>
      </c>
      <c r="D309" s="25">
        <v>0</v>
      </c>
      <c r="E309" s="25">
        <v>191039</v>
      </c>
      <c r="F309" s="17"/>
      <c r="G309" s="25"/>
    </row>
    <row r="310">
      <c r="A310" s="25">
        <v>297</v>
      </c>
      <c r="B310" s="25" t="s">
        <v>290</v>
      </c>
      <c r="C310" s="25" t="s">
        <v>2592</v>
      </c>
      <c r="D310" s="25">
        <v>0</v>
      </c>
      <c r="E310" s="25">
        <v>0</v>
      </c>
      <c r="F310" s="17"/>
      <c r="G310" s="25"/>
    </row>
    <row r="311">
      <c r="A311" s="25">
        <v>298</v>
      </c>
      <c r="B311" s="25" t="s">
        <v>291</v>
      </c>
      <c r="C311" s="25" t="s">
        <v>2593</v>
      </c>
      <c r="D311" s="25">
        <v>0</v>
      </c>
      <c r="E311" s="25">
        <v>0</v>
      </c>
      <c r="F311" s="17"/>
      <c r="G311" s="25"/>
    </row>
    <row r="312">
      <c r="A312" s="25">
        <v>299</v>
      </c>
      <c r="B312" s="25" t="s">
        <v>292</v>
      </c>
      <c r="C312" s="25" t="s">
        <v>2594</v>
      </c>
      <c r="D312" s="25">
        <v>0</v>
      </c>
      <c r="E312" s="25">
        <v>191039</v>
      </c>
      <c r="F312" s="17"/>
      <c r="G312" s="25"/>
    </row>
    <row r="313">
      <c r="A313" s="25">
        <v>300</v>
      </c>
      <c r="B313" s="25" t="s">
        <v>293</v>
      </c>
      <c r="C313" s="25" t="s">
        <v>2595</v>
      </c>
      <c r="D313" s="25">
        <v>0</v>
      </c>
      <c r="E313" s="25">
        <v>163770.16</v>
      </c>
      <c r="F313" s="17"/>
      <c r="G313" s="25"/>
    </row>
    <row r="314">
      <c r="A314" s="25">
        <v>301</v>
      </c>
      <c r="B314" s="25" t="s">
        <v>294</v>
      </c>
      <c r="C314" s="25" t="s">
        <v>2596</v>
      </c>
      <c r="D314" s="25">
        <v>0</v>
      </c>
      <c r="E314" s="25">
        <v>27268.84</v>
      </c>
      <c r="F314" s="17"/>
      <c r="G314" s="25"/>
    </row>
    <row r="315">
      <c r="A315" s="25">
        <v>302</v>
      </c>
      <c r="B315" s="25" t="s">
        <v>297</v>
      </c>
      <c r="C315" s="25" t="s">
        <v>2597</v>
      </c>
      <c r="D315" s="25">
        <v>7</v>
      </c>
      <c r="E315" s="25">
        <v>19</v>
      </c>
      <c r="F315" s="17"/>
      <c r="G315" s="25"/>
    </row>
    <row r="316">
      <c r="A316" s="25">
        <v>303</v>
      </c>
      <c r="B316" s="25" t="s">
        <v>298</v>
      </c>
      <c r="C316" s="25" t="s">
        <v>2598</v>
      </c>
      <c r="D316" s="25">
        <v>165680</v>
      </c>
      <c r="E316" s="25">
        <v>448228.93</v>
      </c>
      <c r="F316" s="17"/>
      <c r="G316" s="25"/>
    </row>
    <row r="317">
      <c r="A317" s="25">
        <v>304</v>
      </c>
      <c r="B317" s="25" t="s">
        <v>300</v>
      </c>
      <c r="C317" s="25" t="s">
        <v>2599</v>
      </c>
      <c r="D317" s="25">
        <v>0</v>
      </c>
      <c r="E317" s="25">
        <v>0</v>
      </c>
      <c r="F317" s="17"/>
      <c r="G317" s="25"/>
    </row>
    <row r="318">
      <c r="A318" s="25">
        <v>305</v>
      </c>
      <c r="B318" s="25" t="s">
        <v>301</v>
      </c>
      <c r="C318" s="25" t="s">
        <v>2600</v>
      </c>
      <c r="D318" s="25">
        <v>0</v>
      </c>
      <c r="E318" s="25">
        <v>0</v>
      </c>
      <c r="F318" s="17"/>
      <c r="G318" s="25"/>
    </row>
    <row r="319">
      <c r="A319" s="25">
        <v>306</v>
      </c>
      <c r="B319" s="25" t="s">
        <v>302</v>
      </c>
      <c r="C319" s="25" t="s">
        <v>2601</v>
      </c>
      <c r="D319" s="25">
        <v>165680</v>
      </c>
      <c r="E319" s="25">
        <v>448228.93</v>
      </c>
      <c r="F319" s="17"/>
      <c r="G319" s="25"/>
    </row>
    <row r="320">
      <c r="A320" s="25">
        <v>307</v>
      </c>
      <c r="B320" s="25" t="s">
        <v>303</v>
      </c>
      <c r="C320" s="25" t="s">
        <v>2602</v>
      </c>
      <c r="D320" s="25">
        <v>144812.03</v>
      </c>
      <c r="E320" s="25">
        <v>392467.35</v>
      </c>
      <c r="F320" s="17"/>
      <c r="G320" s="25"/>
    </row>
    <row r="321">
      <c r="A321" s="25">
        <v>308</v>
      </c>
      <c r="B321" s="25" t="s">
        <v>304</v>
      </c>
      <c r="C321" s="25" t="s">
        <v>2603</v>
      </c>
      <c r="D321" s="25">
        <v>20867.97</v>
      </c>
      <c r="E321" s="25">
        <v>55761.58</v>
      </c>
      <c r="F321" s="17"/>
      <c r="G321" s="25"/>
    </row>
    <row r="322">
      <c r="A322" s="25">
        <v>309</v>
      </c>
      <c r="B322" s="25" t="s">
        <v>328</v>
      </c>
      <c r="C322" s="25" t="s">
        <v>2604</v>
      </c>
      <c r="D322" s="25">
        <v>22</v>
      </c>
      <c r="E322" s="25">
        <v>77</v>
      </c>
      <c r="F322" s="17"/>
      <c r="G322" s="25"/>
    </row>
    <row r="323">
      <c r="A323" s="25">
        <v>310</v>
      </c>
      <c r="B323" s="25" t="s">
        <v>329</v>
      </c>
      <c r="C323" s="25" t="s">
        <v>2605</v>
      </c>
      <c r="D323" s="25">
        <v>586900</v>
      </c>
      <c r="E323" s="25">
        <v>2073085.73</v>
      </c>
      <c r="F323" s="17"/>
      <c r="G323" s="25"/>
    </row>
    <row r="324">
      <c r="A324" s="25">
        <v>311</v>
      </c>
      <c r="B324" s="25" t="s">
        <v>331</v>
      </c>
      <c r="C324" s="25" t="s">
        <v>2606</v>
      </c>
      <c r="D324" s="25">
        <v>0</v>
      </c>
      <c r="E324" s="25">
        <v>54921</v>
      </c>
      <c r="F324" s="17"/>
      <c r="G324" s="25"/>
    </row>
    <row r="325">
      <c r="A325" s="25">
        <v>312</v>
      </c>
      <c r="B325" s="25" t="s">
        <v>332</v>
      </c>
      <c r="C325" s="25" t="s">
        <v>2607</v>
      </c>
      <c r="D325" s="25">
        <v>0</v>
      </c>
      <c r="E325" s="25">
        <v>0</v>
      </c>
      <c r="F325" s="17"/>
      <c r="G325" s="25"/>
    </row>
    <row r="326">
      <c r="A326" s="25">
        <v>313</v>
      </c>
      <c r="B326" s="25" t="s">
        <v>333</v>
      </c>
      <c r="C326" s="25" t="s">
        <v>2608</v>
      </c>
      <c r="D326" s="25">
        <v>586900</v>
      </c>
      <c r="E326" s="25">
        <v>2018164.73</v>
      </c>
      <c r="F326" s="17"/>
      <c r="G326" s="25"/>
    </row>
    <row r="327">
      <c r="A327" s="25">
        <v>314</v>
      </c>
      <c r="B327" s="25" t="s">
        <v>334</v>
      </c>
      <c r="C327" s="25" t="s">
        <v>2609</v>
      </c>
      <c r="D327" s="25">
        <v>504828.06</v>
      </c>
      <c r="E327" s="25">
        <v>1720258.23</v>
      </c>
      <c r="F327" s="17"/>
      <c r="G327" s="25"/>
    </row>
    <row r="328">
      <c r="A328" s="25">
        <v>315</v>
      </c>
      <c r="B328" s="25" t="s">
        <v>335</v>
      </c>
      <c r="C328" s="25" t="s">
        <v>2610</v>
      </c>
      <c r="D328" s="25">
        <v>82071.94</v>
      </c>
      <c r="E328" s="25">
        <v>297906.5</v>
      </c>
      <c r="F328" s="17"/>
      <c r="G328" s="25"/>
    </row>
    <row r="329">
      <c r="A329" s="25">
        <v>316</v>
      </c>
      <c r="B329" s="25" t="s">
        <v>531</v>
      </c>
      <c r="C329" s="25" t="s">
        <v>2611</v>
      </c>
      <c r="D329" s="25">
        <v>0</v>
      </c>
      <c r="E329" s="25">
        <v>0</v>
      </c>
      <c r="F329" s="17"/>
      <c r="G329" s="25"/>
    </row>
    <row r="330">
      <c r="A330" s="25">
        <v>317</v>
      </c>
      <c r="B330" s="25" t="s">
        <v>532</v>
      </c>
      <c r="C330" s="25" t="s">
        <v>2612</v>
      </c>
      <c r="D330" s="25">
        <v>0</v>
      </c>
      <c r="E330" s="25">
        <v>0</v>
      </c>
      <c r="F330" s="17"/>
      <c r="G330" s="25"/>
    </row>
    <row r="331">
      <c r="A331" s="25">
        <v>318</v>
      </c>
      <c r="B331" s="25" t="s">
        <v>534</v>
      </c>
      <c r="C331" s="25" t="s">
        <v>2613</v>
      </c>
      <c r="D331" s="25">
        <v>0</v>
      </c>
      <c r="E331" s="25">
        <v>0</v>
      </c>
      <c r="F331" s="17"/>
      <c r="G331" s="25"/>
    </row>
    <row r="332">
      <c r="A332" s="25">
        <v>319</v>
      </c>
      <c r="B332" s="25" t="s">
        <v>535</v>
      </c>
      <c r="C332" s="25" t="s">
        <v>2614</v>
      </c>
      <c r="D332" s="25">
        <v>0</v>
      </c>
      <c r="E332" s="25">
        <v>0</v>
      </c>
      <c r="F332" s="17"/>
      <c r="G332" s="25"/>
    </row>
    <row r="333">
      <c r="A333" s="25">
        <v>320</v>
      </c>
      <c r="B333" s="25" t="s">
        <v>536</v>
      </c>
      <c r="C333" s="25" t="s">
        <v>2615</v>
      </c>
      <c r="D333" s="25">
        <v>0</v>
      </c>
      <c r="E333" s="25">
        <v>0</v>
      </c>
      <c r="F333" s="17"/>
      <c r="G333" s="25"/>
    </row>
    <row r="334">
      <c r="A334" s="25">
        <v>321</v>
      </c>
      <c r="B334" s="25" t="s">
        <v>537</v>
      </c>
      <c r="C334" s="25" t="s">
        <v>2616</v>
      </c>
      <c r="D334" s="25">
        <v>0</v>
      </c>
      <c r="E334" s="25">
        <v>0</v>
      </c>
      <c r="F334" s="17"/>
      <c r="G334" s="25"/>
    </row>
    <row r="335">
      <c r="A335" s="25">
        <v>322</v>
      </c>
      <c r="B335" s="25" t="s">
        <v>538</v>
      </c>
      <c r="C335" s="25" t="s">
        <v>2617</v>
      </c>
      <c r="D335" s="25">
        <v>0</v>
      </c>
      <c r="E335" s="25">
        <v>0</v>
      </c>
      <c r="F335" s="17"/>
      <c r="G335" s="25"/>
    </row>
    <row r="336">
      <c r="A336" s="25">
        <v>323</v>
      </c>
      <c r="B336" s="25" t="s">
        <v>84</v>
      </c>
      <c r="C336" s="25" t="s">
        <v>2618</v>
      </c>
      <c r="D336" s="25">
        <v>0</v>
      </c>
      <c r="E336" s="25">
        <v>0</v>
      </c>
      <c r="F336" s="17"/>
      <c r="G336" s="25"/>
    </row>
    <row r="337">
      <c r="A337" s="25">
        <v>324</v>
      </c>
      <c r="B337" s="25" t="s">
        <v>85</v>
      </c>
      <c r="C337" s="25" t="s">
        <v>2619</v>
      </c>
      <c r="D337" s="25">
        <v>0</v>
      </c>
      <c r="E337" s="25">
        <v>0</v>
      </c>
      <c r="F337" s="17"/>
      <c r="G337" s="25"/>
    </row>
    <row r="338">
      <c r="A338" s="25">
        <v>325</v>
      </c>
      <c r="B338" s="25" t="s">
        <v>87</v>
      </c>
      <c r="C338" s="25" t="s">
        <v>2620</v>
      </c>
      <c r="D338" s="25">
        <v>0</v>
      </c>
      <c r="E338" s="25">
        <v>0</v>
      </c>
      <c r="F338" s="17"/>
      <c r="G338" s="25"/>
    </row>
    <row r="339">
      <c r="A339" s="25">
        <v>326</v>
      </c>
      <c r="B339" s="25" t="s">
        <v>88</v>
      </c>
      <c r="C339" s="25" t="s">
        <v>2621</v>
      </c>
      <c r="D339" s="25">
        <v>0</v>
      </c>
      <c r="E339" s="25">
        <v>0</v>
      </c>
      <c r="F339" s="17"/>
      <c r="G339" s="25"/>
    </row>
    <row r="340">
      <c r="A340" s="25">
        <v>327</v>
      </c>
      <c r="B340" s="25" t="s">
        <v>89</v>
      </c>
      <c r="C340" s="25" t="s">
        <v>2622</v>
      </c>
      <c r="D340" s="25">
        <v>0</v>
      </c>
      <c r="E340" s="25">
        <v>0</v>
      </c>
      <c r="F340" s="17"/>
      <c r="G340" s="25"/>
    </row>
    <row r="341">
      <c r="A341" s="25">
        <v>328</v>
      </c>
      <c r="B341" s="25" t="s">
        <v>90</v>
      </c>
      <c r="C341" s="25" t="s">
        <v>2623</v>
      </c>
      <c r="D341" s="25">
        <v>0</v>
      </c>
      <c r="E341" s="25">
        <v>0</v>
      </c>
      <c r="F341" s="17"/>
      <c r="G341" s="25"/>
    </row>
    <row r="342">
      <c r="A342" s="25">
        <v>329</v>
      </c>
      <c r="B342" s="25" t="s">
        <v>91</v>
      </c>
      <c r="C342" s="25" t="s">
        <v>2624</v>
      </c>
      <c r="D342" s="25">
        <v>0</v>
      </c>
      <c r="E342" s="25">
        <v>0</v>
      </c>
      <c r="F342" s="17"/>
      <c r="G342" s="25"/>
    </row>
    <row r="343">
      <c r="A343" s="25">
        <v>330</v>
      </c>
      <c r="B343" s="25" t="s">
        <v>124</v>
      </c>
      <c r="C343" s="25" t="s">
        <v>2625</v>
      </c>
      <c r="D343" s="25">
        <v>0</v>
      </c>
      <c r="E343" s="25">
        <v>0</v>
      </c>
      <c r="F343" s="17"/>
      <c r="G343" s="25"/>
    </row>
    <row r="344">
      <c r="A344" s="25">
        <v>331</v>
      </c>
      <c r="B344" s="25" t="s">
        <v>125</v>
      </c>
      <c r="C344" s="25" t="s">
        <v>2626</v>
      </c>
      <c r="D344" s="25">
        <v>0</v>
      </c>
      <c r="E344" s="25">
        <v>0</v>
      </c>
      <c r="F344" s="17"/>
      <c r="G344" s="25"/>
    </row>
    <row r="345">
      <c r="A345" s="25">
        <v>332</v>
      </c>
      <c r="B345" s="25" t="s">
        <v>127</v>
      </c>
      <c r="C345" s="25" t="s">
        <v>2627</v>
      </c>
      <c r="D345" s="25">
        <v>0</v>
      </c>
      <c r="E345" s="25">
        <v>0</v>
      </c>
      <c r="F345" s="17"/>
      <c r="G345" s="25"/>
    </row>
    <row r="346">
      <c r="A346" s="25">
        <v>333</v>
      </c>
      <c r="B346" s="25" t="s">
        <v>128</v>
      </c>
      <c r="C346" s="25" t="s">
        <v>2628</v>
      </c>
      <c r="D346" s="25">
        <v>0</v>
      </c>
      <c r="E346" s="25">
        <v>0</v>
      </c>
      <c r="F346" s="17"/>
      <c r="G346" s="25"/>
    </row>
    <row r="347">
      <c r="A347" s="25">
        <v>334</v>
      </c>
      <c r="B347" s="25" t="s">
        <v>129</v>
      </c>
      <c r="C347" s="25" t="s">
        <v>2629</v>
      </c>
      <c r="D347" s="25">
        <v>0</v>
      </c>
      <c r="E347" s="25">
        <v>0</v>
      </c>
      <c r="F347" s="17"/>
      <c r="G347" s="25"/>
    </row>
    <row r="348">
      <c r="A348" s="25">
        <v>335</v>
      </c>
      <c r="B348" s="25" t="s">
        <v>130</v>
      </c>
      <c r="C348" s="25" t="s">
        <v>2630</v>
      </c>
      <c r="D348" s="25">
        <v>0</v>
      </c>
      <c r="E348" s="25">
        <v>0</v>
      </c>
      <c r="F348" s="17"/>
      <c r="G348" s="25"/>
    </row>
    <row r="349">
      <c r="A349" s="25">
        <v>336</v>
      </c>
      <c r="B349" s="25" t="s">
        <v>131</v>
      </c>
      <c r="C349" s="25" t="s">
        <v>2631</v>
      </c>
      <c r="D349" s="25">
        <v>0</v>
      </c>
      <c r="E349" s="25">
        <v>0</v>
      </c>
      <c r="F349" s="17"/>
      <c r="G349" s="25"/>
    </row>
    <row r="350">
      <c r="A350" s="25">
        <v>337</v>
      </c>
      <c r="B350" s="25" t="s">
        <v>144</v>
      </c>
      <c r="C350" s="25" t="s">
        <v>2632</v>
      </c>
      <c r="D350" s="25">
        <v>0</v>
      </c>
      <c r="E350" s="25">
        <v>0</v>
      </c>
      <c r="F350" s="17"/>
      <c r="G350" s="25"/>
    </row>
    <row r="351">
      <c r="A351" s="25">
        <v>338</v>
      </c>
      <c r="B351" s="25" t="s">
        <v>145</v>
      </c>
      <c r="C351" s="25" t="s">
        <v>2633</v>
      </c>
      <c r="D351" s="25">
        <v>0</v>
      </c>
      <c r="E351" s="25">
        <v>0</v>
      </c>
      <c r="F351" s="17"/>
      <c r="G351" s="25"/>
    </row>
    <row r="352">
      <c r="A352" s="25">
        <v>339</v>
      </c>
      <c r="B352" s="25" t="s">
        <v>147</v>
      </c>
      <c r="C352" s="25" t="s">
        <v>2634</v>
      </c>
      <c r="D352" s="25">
        <v>0</v>
      </c>
      <c r="E352" s="25">
        <v>0</v>
      </c>
      <c r="F352" s="17"/>
      <c r="G352" s="25"/>
    </row>
    <row r="353">
      <c r="A353" s="25">
        <v>340</v>
      </c>
      <c r="B353" s="25" t="s">
        <v>148</v>
      </c>
      <c r="C353" s="25" t="s">
        <v>2635</v>
      </c>
      <c r="D353" s="25">
        <v>0</v>
      </c>
      <c r="E353" s="25">
        <v>0</v>
      </c>
      <c r="F353" s="17"/>
      <c r="G353" s="25"/>
    </row>
    <row r="354">
      <c r="A354" s="25">
        <v>341</v>
      </c>
      <c r="B354" s="25" t="s">
        <v>149</v>
      </c>
      <c r="C354" s="25" t="s">
        <v>2636</v>
      </c>
      <c r="D354" s="25">
        <v>0</v>
      </c>
      <c r="E354" s="25">
        <v>0</v>
      </c>
      <c r="F354" s="17"/>
      <c r="G354" s="25"/>
    </row>
    <row r="355">
      <c r="A355" s="25">
        <v>342</v>
      </c>
      <c r="B355" s="25" t="s">
        <v>150</v>
      </c>
      <c r="C355" s="25" t="s">
        <v>2637</v>
      </c>
      <c r="D355" s="25">
        <v>0</v>
      </c>
      <c r="E355" s="25">
        <v>0</v>
      </c>
      <c r="F355" s="17"/>
      <c r="G355" s="25"/>
    </row>
    <row r="356">
      <c r="A356" s="25">
        <v>343</v>
      </c>
      <c r="B356" s="25" t="s">
        <v>151</v>
      </c>
      <c r="C356" s="25" t="s">
        <v>2638</v>
      </c>
      <c r="D356" s="25">
        <v>0</v>
      </c>
      <c r="E356" s="25">
        <v>0</v>
      </c>
      <c r="F356" s="17"/>
      <c r="G356" s="25"/>
    </row>
    <row r="357">
      <c r="A357" s="25">
        <v>344</v>
      </c>
      <c r="B357" s="25" t="s">
        <v>164</v>
      </c>
      <c r="C357" s="25" t="s">
        <v>2639</v>
      </c>
      <c r="D357" s="25">
        <v>0</v>
      </c>
      <c r="E357" s="25">
        <v>0</v>
      </c>
      <c r="F357" s="17"/>
      <c r="G357" s="25"/>
    </row>
    <row r="358">
      <c r="A358" s="25">
        <v>345</v>
      </c>
      <c r="B358" s="25" t="s">
        <v>165</v>
      </c>
      <c r="C358" s="25" t="s">
        <v>2640</v>
      </c>
      <c r="D358" s="25">
        <v>0</v>
      </c>
      <c r="E358" s="25">
        <v>0</v>
      </c>
      <c r="F358" s="17"/>
      <c r="G358" s="25"/>
    </row>
    <row r="359">
      <c r="A359" s="25">
        <v>346</v>
      </c>
      <c r="B359" s="25" t="s">
        <v>167</v>
      </c>
      <c r="C359" s="25" t="s">
        <v>2641</v>
      </c>
      <c r="D359" s="25">
        <v>0</v>
      </c>
      <c r="E359" s="25">
        <v>0</v>
      </c>
      <c r="F359" s="17"/>
      <c r="G359" s="25"/>
    </row>
    <row r="360">
      <c r="A360" s="25">
        <v>347</v>
      </c>
      <c r="B360" s="25" t="s">
        <v>168</v>
      </c>
      <c r="C360" s="25" t="s">
        <v>2642</v>
      </c>
      <c r="D360" s="25">
        <v>0</v>
      </c>
      <c r="E360" s="25">
        <v>0</v>
      </c>
      <c r="F360" s="17"/>
      <c r="G360" s="25"/>
    </row>
    <row r="361">
      <c r="A361" s="25">
        <v>348</v>
      </c>
      <c r="B361" s="25" t="s">
        <v>169</v>
      </c>
      <c r="C361" s="25" t="s">
        <v>2643</v>
      </c>
      <c r="D361" s="25">
        <v>0</v>
      </c>
      <c r="E361" s="25">
        <v>0</v>
      </c>
      <c r="F361" s="17"/>
      <c r="G361" s="25"/>
    </row>
    <row r="362">
      <c r="A362" s="25">
        <v>349</v>
      </c>
      <c r="B362" s="25" t="s">
        <v>170</v>
      </c>
      <c r="C362" s="25" t="s">
        <v>2644</v>
      </c>
      <c r="D362" s="25">
        <v>0</v>
      </c>
      <c r="E362" s="25">
        <v>0</v>
      </c>
      <c r="F362" s="17"/>
      <c r="G362" s="25"/>
    </row>
    <row r="363">
      <c r="A363" s="25">
        <v>350</v>
      </c>
      <c r="B363" s="25" t="s">
        <v>171</v>
      </c>
      <c r="C363" s="25" t="s">
        <v>2645</v>
      </c>
      <c r="D363" s="25">
        <v>0</v>
      </c>
      <c r="E363" s="25">
        <v>0</v>
      </c>
      <c r="F363" s="17"/>
      <c r="G363" s="25"/>
    </row>
    <row r="364">
      <c r="A364" s="25">
        <v>351</v>
      </c>
      <c r="B364" s="25" t="s">
        <v>2646</v>
      </c>
      <c r="C364" s="25" t="s">
        <v>2647</v>
      </c>
      <c r="D364" s="25">
        <v>0</v>
      </c>
      <c r="E364" s="25">
        <v>0</v>
      </c>
      <c r="F364" s="17"/>
      <c r="G364" s="25"/>
    </row>
    <row r="365">
      <c r="A365" s="25">
        <v>352</v>
      </c>
      <c r="B365" s="25" t="s">
        <v>2648</v>
      </c>
      <c r="C365" s="25" t="s">
        <v>2649</v>
      </c>
      <c r="D365" s="25">
        <v>0</v>
      </c>
      <c r="E365" s="25">
        <v>0</v>
      </c>
      <c r="F365" s="17"/>
      <c r="G365" s="25"/>
    </row>
    <row r="366">
      <c r="A366" s="25">
        <v>353</v>
      </c>
      <c r="B366" s="25" t="s">
        <v>2650</v>
      </c>
      <c r="C366" s="25" t="s">
        <v>2651</v>
      </c>
      <c r="D366" s="25">
        <v>0</v>
      </c>
      <c r="E366" s="25">
        <v>0</v>
      </c>
      <c r="F366" s="17"/>
      <c r="G366" s="25"/>
    </row>
    <row r="367">
      <c r="A367" s="25">
        <v>354</v>
      </c>
      <c r="B367" s="25" t="s">
        <v>2652</v>
      </c>
      <c r="C367" s="25" t="s">
        <v>2653</v>
      </c>
      <c r="D367" s="25">
        <v>0</v>
      </c>
      <c r="E367" s="25">
        <v>0</v>
      </c>
      <c r="F367" s="17"/>
      <c r="G367" s="25"/>
    </row>
    <row r="368">
      <c r="A368" s="25">
        <v>355</v>
      </c>
      <c r="B368" s="25" t="s">
        <v>2654</v>
      </c>
      <c r="C368" s="25" t="s">
        <v>2655</v>
      </c>
      <c r="D368" s="25">
        <v>0</v>
      </c>
      <c r="E368" s="25">
        <v>0</v>
      </c>
      <c r="F368" s="17"/>
      <c r="G368" s="25"/>
    </row>
    <row r="369">
      <c r="A369" s="25">
        <v>356</v>
      </c>
      <c r="B369" s="25" t="s">
        <v>2656</v>
      </c>
      <c r="C369" s="25" t="s">
        <v>2657</v>
      </c>
      <c r="D369" s="25">
        <v>0</v>
      </c>
      <c r="E369" s="25">
        <v>0</v>
      </c>
      <c r="F369" s="17"/>
      <c r="G369" s="25"/>
    </row>
    <row r="370">
      <c r="A370" s="25">
        <v>357</v>
      </c>
      <c r="B370" s="25" t="s">
        <v>2658</v>
      </c>
      <c r="C370" s="25" t="s">
        <v>2659</v>
      </c>
      <c r="D370" s="25">
        <v>0</v>
      </c>
      <c r="E370" s="25">
        <v>0</v>
      </c>
      <c r="F370" s="17"/>
      <c r="G370" s="25"/>
    </row>
    <row r="371">
      <c r="A371" s="25">
        <v>358</v>
      </c>
      <c r="B371" s="25" t="s">
        <v>2660</v>
      </c>
      <c r="C371" s="25" t="s">
        <v>2661</v>
      </c>
      <c r="D371" s="25">
        <v>0</v>
      </c>
      <c r="E371" s="25">
        <v>0</v>
      </c>
      <c r="F371" s="17"/>
      <c r="G371" s="25"/>
    </row>
    <row r="372">
      <c r="A372" s="25">
        <v>359</v>
      </c>
      <c r="B372" s="25" t="s">
        <v>2662</v>
      </c>
      <c r="C372" s="25" t="s">
        <v>2663</v>
      </c>
      <c r="D372" s="25">
        <v>0</v>
      </c>
      <c r="E372" s="25">
        <v>0</v>
      </c>
      <c r="F372" s="17"/>
      <c r="G372" s="25"/>
    </row>
    <row r="373">
      <c r="A373" s="25">
        <v>360</v>
      </c>
      <c r="B373" s="25" t="s">
        <v>2664</v>
      </c>
      <c r="C373" s="25" t="s">
        <v>2665</v>
      </c>
      <c r="D373" s="25">
        <v>0</v>
      </c>
      <c r="E373" s="25">
        <v>0</v>
      </c>
      <c r="F373" s="17"/>
      <c r="G373" s="25"/>
    </row>
    <row r="374">
      <c r="A374" s="25">
        <v>361</v>
      </c>
      <c r="B374" s="25" t="s">
        <v>2666</v>
      </c>
      <c r="C374" s="25" t="s">
        <v>2667</v>
      </c>
      <c r="D374" s="25">
        <v>0</v>
      </c>
      <c r="E374" s="25">
        <v>0</v>
      </c>
      <c r="F374" s="17"/>
      <c r="G374" s="25"/>
    </row>
    <row r="375">
      <c r="A375" s="25">
        <v>362</v>
      </c>
      <c r="B375" s="25" t="s">
        <v>2668</v>
      </c>
      <c r="C375" s="25" t="s">
        <v>2669</v>
      </c>
      <c r="D375" s="25">
        <v>0</v>
      </c>
      <c r="E375" s="25">
        <v>0</v>
      </c>
      <c r="F375" s="17"/>
      <c r="G375" s="25"/>
    </row>
    <row r="376">
      <c r="A376" s="25">
        <v>363</v>
      </c>
      <c r="B376" s="25" t="s">
        <v>2670</v>
      </c>
      <c r="C376" s="25" t="s">
        <v>2671</v>
      </c>
      <c r="D376" s="25">
        <v>0</v>
      </c>
      <c r="E376" s="25">
        <v>0</v>
      </c>
      <c r="F376" s="17"/>
      <c r="G376" s="25"/>
    </row>
    <row r="377">
      <c r="A377" s="25">
        <v>364</v>
      </c>
      <c r="B377" s="25" t="s">
        <v>2672</v>
      </c>
      <c r="C377" s="25" t="s">
        <v>2673</v>
      </c>
      <c r="D377" s="25">
        <v>0</v>
      </c>
      <c r="E377" s="25">
        <v>0</v>
      </c>
      <c r="F377" s="17"/>
      <c r="G377" s="25"/>
    </row>
    <row r="378">
      <c r="A378" s="25">
        <v>365</v>
      </c>
      <c r="B378" s="25" t="s">
        <v>2674</v>
      </c>
      <c r="C378" s="25" t="s">
        <v>2675</v>
      </c>
      <c r="D378" s="25">
        <v>0</v>
      </c>
      <c r="E378" s="25">
        <v>0</v>
      </c>
      <c r="F378" s="17"/>
      <c r="G378" s="25"/>
    </row>
    <row r="379">
      <c r="A379" s="25">
        <v>366</v>
      </c>
      <c r="B379" s="25" t="s">
        <v>2676</v>
      </c>
      <c r="C379" s="25" t="s">
        <v>2677</v>
      </c>
      <c r="D379" s="25">
        <v>0</v>
      </c>
      <c r="E379" s="25">
        <v>0</v>
      </c>
      <c r="F379" s="17"/>
      <c r="G379" s="25"/>
    </row>
    <row r="380">
      <c r="A380" s="25">
        <v>367</v>
      </c>
      <c r="B380" s="25" t="s">
        <v>2678</v>
      </c>
      <c r="C380" s="25" t="s">
        <v>2679</v>
      </c>
      <c r="D380" s="25">
        <v>0</v>
      </c>
      <c r="E380" s="25">
        <v>0</v>
      </c>
      <c r="F380" s="17"/>
      <c r="G380" s="25"/>
    </row>
    <row r="381">
      <c r="A381" s="25">
        <v>368</v>
      </c>
      <c r="B381" s="25" t="s">
        <v>2680</v>
      </c>
      <c r="C381" s="25" t="s">
        <v>2681</v>
      </c>
      <c r="D381" s="25">
        <v>0</v>
      </c>
      <c r="E381" s="25">
        <v>0</v>
      </c>
      <c r="F381" s="17"/>
      <c r="G381" s="25"/>
    </row>
    <row r="382">
      <c r="A382" s="25">
        <v>369</v>
      </c>
      <c r="B382" s="25" t="s">
        <v>2682</v>
      </c>
      <c r="C382" s="25" t="s">
        <v>2683</v>
      </c>
      <c r="D382" s="25">
        <v>0</v>
      </c>
      <c r="E382" s="25">
        <v>0</v>
      </c>
      <c r="F382" s="17"/>
      <c r="G382" s="25"/>
    </row>
    <row r="383">
      <c r="A383" s="25">
        <v>370</v>
      </c>
      <c r="B383" s="25" t="s">
        <v>2684</v>
      </c>
      <c r="C383" s="25" t="s">
        <v>2685</v>
      </c>
      <c r="D383" s="25">
        <v>0</v>
      </c>
      <c r="E383" s="25">
        <v>0</v>
      </c>
      <c r="F383" s="17"/>
      <c r="G383" s="25"/>
    </row>
    <row r="384">
      <c r="A384" s="25">
        <v>371</v>
      </c>
      <c r="B384" s="25" t="s">
        <v>2686</v>
      </c>
      <c r="C384" s="25" t="s">
        <v>2687</v>
      </c>
      <c r="D384" s="25">
        <v>0</v>
      </c>
      <c r="E384" s="25">
        <v>0</v>
      </c>
      <c r="F384" s="17"/>
      <c r="G384" s="25"/>
    </row>
    <row r="385">
      <c r="A385" s="25">
        <v>372</v>
      </c>
      <c r="B385" s="25" t="s">
        <v>2688</v>
      </c>
      <c r="C385" s="25" t="s">
        <v>2689</v>
      </c>
      <c r="D385" s="25">
        <v>0</v>
      </c>
      <c r="E385" s="25">
        <v>0</v>
      </c>
      <c r="F385" s="17"/>
      <c r="G385" s="25"/>
    </row>
    <row r="386">
      <c r="A386" s="25">
        <v>373</v>
      </c>
      <c r="B386" s="25" t="s">
        <v>2690</v>
      </c>
      <c r="C386" s="25" t="s">
        <v>2691</v>
      </c>
      <c r="D386" s="25">
        <v>0</v>
      </c>
      <c r="E386" s="25">
        <v>0</v>
      </c>
      <c r="F386" s="17"/>
      <c r="G386" s="25"/>
    </row>
    <row r="387">
      <c r="A387" s="25">
        <v>374</v>
      </c>
      <c r="B387" s="25" t="s">
        <v>2692</v>
      </c>
      <c r="C387" s="25" t="s">
        <v>2693</v>
      </c>
      <c r="D387" s="25">
        <v>0</v>
      </c>
      <c r="E387" s="25">
        <v>0</v>
      </c>
      <c r="F387" s="17"/>
      <c r="G387" s="25"/>
    </row>
    <row r="388">
      <c r="A388" s="25">
        <v>375</v>
      </c>
      <c r="B388" s="25" t="s">
        <v>2694</v>
      </c>
      <c r="C388" s="25" t="s">
        <v>2695</v>
      </c>
      <c r="D388" s="25">
        <v>0</v>
      </c>
      <c r="E388" s="25">
        <v>0</v>
      </c>
      <c r="F388" s="17"/>
      <c r="G388" s="25"/>
    </row>
    <row r="389">
      <c r="A389" s="25">
        <v>376</v>
      </c>
      <c r="B389" s="25" t="s">
        <v>2696</v>
      </c>
      <c r="C389" s="25" t="s">
        <v>2697</v>
      </c>
      <c r="D389" s="25">
        <v>0</v>
      </c>
      <c r="E389" s="25">
        <v>0</v>
      </c>
      <c r="F389" s="17"/>
      <c r="G389" s="25"/>
    </row>
    <row r="390">
      <c r="A390" s="25">
        <v>377</v>
      </c>
      <c r="B390" s="25" t="s">
        <v>2698</v>
      </c>
      <c r="C390" s="25" t="s">
        <v>2699</v>
      </c>
      <c r="D390" s="25">
        <v>0</v>
      </c>
      <c r="E390" s="25">
        <v>0</v>
      </c>
      <c r="F390" s="17"/>
      <c r="G390" s="25"/>
    </row>
    <row r="391">
      <c r="A391" s="25">
        <v>378</v>
      </c>
      <c r="B391" s="25" t="s">
        <v>2700</v>
      </c>
      <c r="C391" s="25" t="s">
        <v>2701</v>
      </c>
      <c r="D391" s="25">
        <v>0</v>
      </c>
      <c r="E391" s="25">
        <v>0</v>
      </c>
      <c r="F391" s="17"/>
      <c r="G391" s="25"/>
    </row>
    <row r="392">
      <c r="A392" s="25">
        <v>379</v>
      </c>
      <c r="B392" s="25" t="s">
        <v>2702</v>
      </c>
      <c r="C392" s="25" t="s">
        <v>2703</v>
      </c>
      <c r="D392" s="25">
        <v>0</v>
      </c>
      <c r="E392" s="25">
        <v>0</v>
      </c>
      <c r="F392" s="17"/>
      <c r="G392" s="25"/>
    </row>
    <row r="393">
      <c r="A393" s="25">
        <v>380</v>
      </c>
      <c r="B393" s="25" t="s">
        <v>2704</v>
      </c>
      <c r="C393" s="25" t="s">
        <v>2705</v>
      </c>
      <c r="D393" s="25">
        <v>0</v>
      </c>
      <c r="E393" s="25">
        <v>0</v>
      </c>
      <c r="F393" s="17"/>
      <c r="G393" s="25"/>
    </row>
    <row r="394">
      <c r="A394" s="25">
        <v>381</v>
      </c>
      <c r="B394" s="25" t="s">
        <v>2706</v>
      </c>
      <c r="C394" s="25" t="s">
        <v>2707</v>
      </c>
      <c r="D394" s="25">
        <v>0</v>
      </c>
      <c r="E394" s="25">
        <v>0</v>
      </c>
      <c r="F394" s="17"/>
      <c r="G394" s="25"/>
    </row>
    <row r="395">
      <c r="A395" s="25">
        <v>382</v>
      </c>
      <c r="B395" s="25" t="s">
        <v>2708</v>
      </c>
      <c r="C395" s="25" t="s">
        <v>2709</v>
      </c>
      <c r="D395" s="25">
        <v>0</v>
      </c>
      <c r="E395" s="25">
        <v>0</v>
      </c>
      <c r="F395" s="17"/>
      <c r="G395" s="25"/>
    </row>
    <row r="396">
      <c r="A396" s="25">
        <v>383</v>
      </c>
      <c r="B396" s="25" t="s">
        <v>2710</v>
      </c>
      <c r="C396" s="25" t="s">
        <v>2711</v>
      </c>
      <c r="D396" s="25">
        <v>0</v>
      </c>
      <c r="E396" s="25">
        <v>0</v>
      </c>
      <c r="F396" s="17"/>
      <c r="G396" s="25"/>
    </row>
    <row r="397">
      <c r="A397" s="25">
        <v>384</v>
      </c>
      <c r="B397" s="25" t="s">
        <v>2712</v>
      </c>
      <c r="C397" s="25" t="s">
        <v>2713</v>
      </c>
      <c r="D397" s="25">
        <v>0</v>
      </c>
      <c r="E397" s="25">
        <v>0</v>
      </c>
      <c r="F397" s="17"/>
      <c r="G397" s="25"/>
    </row>
    <row r="398">
      <c r="A398" s="25">
        <v>385</v>
      </c>
      <c r="B398" s="25" t="s">
        <v>2714</v>
      </c>
      <c r="C398" s="25" t="s">
        <v>2715</v>
      </c>
      <c r="D398" s="25">
        <v>0</v>
      </c>
      <c r="E398" s="25">
        <v>0</v>
      </c>
      <c r="F398" s="17"/>
      <c r="G398" s="25"/>
    </row>
    <row r="399">
      <c r="A399" s="25">
        <v>386</v>
      </c>
      <c r="B399" s="25" t="s">
        <v>2716</v>
      </c>
      <c r="C399" s="25" t="s">
        <v>2717</v>
      </c>
      <c r="D399" s="25">
        <v>0</v>
      </c>
      <c r="E399" s="25">
        <v>0</v>
      </c>
      <c r="F399" s="17"/>
      <c r="G399" s="25"/>
    </row>
    <row r="400">
      <c r="A400" s="25">
        <v>387</v>
      </c>
      <c r="B400" s="25" t="s">
        <v>2718</v>
      </c>
      <c r="C400" s="25" t="s">
        <v>2719</v>
      </c>
      <c r="D400" s="25">
        <v>0</v>
      </c>
      <c r="E400" s="25">
        <v>0</v>
      </c>
      <c r="F400" s="17"/>
      <c r="G400" s="25"/>
    </row>
    <row r="401">
      <c r="A401" s="25">
        <v>388</v>
      </c>
      <c r="B401" s="25" t="s">
        <v>2720</v>
      </c>
      <c r="C401" s="25" t="s">
        <v>2721</v>
      </c>
      <c r="D401" s="25">
        <v>0</v>
      </c>
      <c r="E401" s="25">
        <v>0</v>
      </c>
      <c r="F401" s="17"/>
      <c r="G401" s="25"/>
    </row>
    <row r="402">
      <c r="A402" s="25">
        <v>389</v>
      </c>
      <c r="B402" s="25" t="s">
        <v>2722</v>
      </c>
      <c r="C402" s="25" t="s">
        <v>2723</v>
      </c>
      <c r="D402" s="25">
        <v>0</v>
      </c>
      <c r="E402" s="25">
        <v>0</v>
      </c>
      <c r="F402" s="17"/>
      <c r="G402" s="25"/>
    </row>
    <row r="403">
      <c r="A403" s="25">
        <v>390</v>
      </c>
      <c r="B403" s="25" t="s">
        <v>2724</v>
      </c>
      <c r="C403" s="25" t="s">
        <v>2725</v>
      </c>
      <c r="D403" s="25">
        <v>0</v>
      </c>
      <c r="E403" s="25">
        <v>0</v>
      </c>
      <c r="F403" s="17"/>
      <c r="G403" s="25"/>
    </row>
    <row r="404">
      <c r="A404" s="25">
        <v>391</v>
      </c>
      <c r="B404" s="25" t="s">
        <v>2726</v>
      </c>
      <c r="C404" s="25" t="s">
        <v>2727</v>
      </c>
      <c r="D404" s="25">
        <v>0</v>
      </c>
      <c r="E404" s="25">
        <v>0</v>
      </c>
      <c r="F404" s="17"/>
      <c r="G404" s="25"/>
    </row>
    <row r="405">
      <c r="A405" s="25">
        <v>392</v>
      </c>
      <c r="B405" s="25" t="s">
        <v>2728</v>
      </c>
      <c r="C405" s="25" t="s">
        <v>2729</v>
      </c>
      <c r="D405" s="25">
        <v>0</v>
      </c>
      <c r="E405" s="25">
        <v>0</v>
      </c>
      <c r="F405" s="17"/>
      <c r="G405" s="25"/>
    </row>
    <row r="406">
      <c r="A406" s="25">
        <v>393</v>
      </c>
      <c r="B406" s="25" t="s">
        <v>2730</v>
      </c>
      <c r="C406" s="25" t="s">
        <v>2731</v>
      </c>
      <c r="D406" s="25">
        <v>0</v>
      </c>
      <c r="E406" s="25">
        <v>0</v>
      </c>
      <c r="F406" s="17"/>
      <c r="G406" s="25"/>
    </row>
    <row r="407">
      <c r="A407" s="25">
        <v>394</v>
      </c>
      <c r="B407" s="25" t="s">
        <v>2732</v>
      </c>
      <c r="C407" s="25" t="s">
        <v>2733</v>
      </c>
      <c r="D407" s="25">
        <v>0</v>
      </c>
      <c r="E407" s="25">
        <v>0</v>
      </c>
      <c r="F407" s="17"/>
      <c r="G407" s="25"/>
    </row>
    <row r="408">
      <c r="A408" s="25">
        <v>395</v>
      </c>
      <c r="B408" s="25" t="s">
        <v>2734</v>
      </c>
      <c r="C408" s="25" t="s">
        <v>2735</v>
      </c>
      <c r="D408" s="25">
        <v>0</v>
      </c>
      <c r="E408" s="25">
        <v>0</v>
      </c>
      <c r="F408" s="17"/>
      <c r="G408" s="25"/>
    </row>
    <row r="409">
      <c r="A409" s="25">
        <v>396</v>
      </c>
      <c r="B409" s="25" t="s">
        <v>2736</v>
      </c>
      <c r="C409" s="25" t="s">
        <v>2737</v>
      </c>
      <c r="D409" s="25">
        <v>0</v>
      </c>
      <c r="E409" s="25">
        <v>0</v>
      </c>
      <c r="F409" s="17"/>
      <c r="G409" s="25"/>
    </row>
    <row r="410">
      <c r="A410" s="25">
        <v>397</v>
      </c>
      <c r="B410" s="25" t="s">
        <v>2738</v>
      </c>
      <c r="C410" s="25" t="s">
        <v>2739</v>
      </c>
      <c r="D410" s="25">
        <v>0</v>
      </c>
      <c r="E410" s="25">
        <v>0</v>
      </c>
      <c r="F410" s="17"/>
      <c r="G410" s="25"/>
    </row>
    <row r="411">
      <c r="A411" s="25">
        <v>398</v>
      </c>
      <c r="B411" s="25" t="s">
        <v>2740</v>
      </c>
      <c r="C411" s="25" t="s">
        <v>2741</v>
      </c>
      <c r="D411" s="25">
        <v>0</v>
      </c>
      <c r="E411" s="25">
        <v>0</v>
      </c>
      <c r="F411" s="17"/>
      <c r="G411" s="25"/>
    </row>
    <row r="412">
      <c r="A412" s="25">
        <v>399</v>
      </c>
      <c r="B412" s="25" t="s">
        <v>2742</v>
      </c>
      <c r="C412" s="25" t="s">
        <v>2743</v>
      </c>
      <c r="D412" s="25">
        <v>0</v>
      </c>
      <c r="E412" s="25">
        <v>0</v>
      </c>
      <c r="F412" s="17"/>
      <c r="G412" s="25"/>
    </row>
    <row r="413">
      <c r="A413" s="25">
        <v>400</v>
      </c>
      <c r="B413" s="25" t="s">
        <v>2744</v>
      </c>
      <c r="C413" s="25" t="s">
        <v>2745</v>
      </c>
      <c r="D413" s="25">
        <v>0</v>
      </c>
      <c r="E413" s="25">
        <v>0</v>
      </c>
      <c r="F413" s="17"/>
      <c r="G413" s="25"/>
    </row>
    <row r="414">
      <c r="A414" s="25">
        <v>401</v>
      </c>
      <c r="B414" s="25" t="s">
        <v>2746</v>
      </c>
      <c r="C414" s="25" t="s">
        <v>2747</v>
      </c>
      <c r="D414" s="25">
        <v>0</v>
      </c>
      <c r="E414" s="25">
        <v>0</v>
      </c>
      <c r="F414" s="17"/>
      <c r="G414" s="25"/>
    </row>
    <row r="415">
      <c r="A415" s="25">
        <v>402</v>
      </c>
      <c r="B415" s="25" t="s">
        <v>2748</v>
      </c>
      <c r="C415" s="25" t="s">
        <v>2749</v>
      </c>
      <c r="D415" s="25">
        <v>0</v>
      </c>
      <c r="E415" s="25">
        <v>0</v>
      </c>
      <c r="F415" s="17"/>
      <c r="G415" s="25"/>
    </row>
    <row r="416">
      <c r="A416" s="25">
        <v>403</v>
      </c>
      <c r="B416" s="25" t="s">
        <v>2750</v>
      </c>
      <c r="C416" s="25" t="s">
        <v>2751</v>
      </c>
      <c r="D416" s="25">
        <v>0</v>
      </c>
      <c r="E416" s="25">
        <v>0</v>
      </c>
      <c r="F416" s="17"/>
      <c r="G416" s="25"/>
    </row>
    <row r="417">
      <c r="A417" s="25">
        <v>404</v>
      </c>
      <c r="B417" s="25" t="s">
        <v>2752</v>
      </c>
      <c r="C417" s="25" t="s">
        <v>2753</v>
      </c>
      <c r="D417" s="25">
        <v>0</v>
      </c>
      <c r="E417" s="25">
        <v>0</v>
      </c>
      <c r="F417" s="17"/>
      <c r="G417" s="25"/>
    </row>
    <row r="418">
      <c r="A418" s="25">
        <v>405</v>
      </c>
      <c r="B418" s="25" t="s">
        <v>2754</v>
      </c>
      <c r="C418" s="25" t="s">
        <v>2755</v>
      </c>
      <c r="D418" s="25">
        <v>0</v>
      </c>
      <c r="E418" s="25">
        <v>0</v>
      </c>
      <c r="F418" s="17"/>
      <c r="G418" s="25"/>
    </row>
    <row r="419">
      <c r="A419" s="25">
        <v>406</v>
      </c>
      <c r="B419" s="25" t="s">
        <v>2756</v>
      </c>
      <c r="C419" s="25" t="s">
        <v>2757</v>
      </c>
      <c r="D419" s="25">
        <v>0</v>
      </c>
      <c r="E419" s="25">
        <v>0</v>
      </c>
      <c r="F419" s="17"/>
      <c r="G419" s="25"/>
    </row>
    <row r="420">
      <c r="A420" s="25">
        <v>407</v>
      </c>
      <c r="B420" s="25" t="s">
        <v>2758</v>
      </c>
      <c r="C420" s="25" t="s">
        <v>2759</v>
      </c>
      <c r="D420" s="25">
        <v>0</v>
      </c>
      <c r="E420" s="25">
        <v>0</v>
      </c>
      <c r="F420" s="17"/>
      <c r="G420" s="25"/>
    </row>
    <row r="421">
      <c r="A421" s="25">
        <v>408</v>
      </c>
      <c r="B421" s="25" t="s">
        <v>2760</v>
      </c>
      <c r="C421" s="25" t="s">
        <v>2761</v>
      </c>
      <c r="D421" s="25">
        <v>0</v>
      </c>
      <c r="E421" s="25">
        <v>0</v>
      </c>
      <c r="F421" s="17"/>
      <c r="G421" s="25"/>
    </row>
    <row r="422">
      <c r="A422" s="25">
        <v>409</v>
      </c>
      <c r="B422" s="25" t="s">
        <v>2762</v>
      </c>
      <c r="C422" s="25" t="s">
        <v>2763</v>
      </c>
      <c r="D422" s="25">
        <v>0</v>
      </c>
      <c r="E422" s="25">
        <v>0</v>
      </c>
      <c r="F422" s="17"/>
      <c r="G422" s="25"/>
    </row>
    <row r="423">
      <c r="A423" s="25">
        <v>410</v>
      </c>
      <c r="B423" s="25" t="s">
        <v>2764</v>
      </c>
      <c r="C423" s="25" t="s">
        <v>2765</v>
      </c>
      <c r="D423" s="25">
        <v>0</v>
      </c>
      <c r="E423" s="25">
        <v>0</v>
      </c>
      <c r="F423" s="17"/>
      <c r="G423" s="25"/>
    </row>
    <row r="424">
      <c r="A424" s="25">
        <v>411</v>
      </c>
      <c r="B424" s="25" t="s">
        <v>2766</v>
      </c>
      <c r="C424" s="25" t="s">
        <v>2767</v>
      </c>
      <c r="D424" s="25">
        <v>0</v>
      </c>
      <c r="E424" s="25">
        <v>0</v>
      </c>
      <c r="F424" s="17"/>
      <c r="G424" s="25"/>
    </row>
    <row r="425">
      <c r="A425" s="25">
        <v>412</v>
      </c>
      <c r="B425" s="25" t="s">
        <v>2768</v>
      </c>
      <c r="C425" s="25" t="s">
        <v>2769</v>
      </c>
      <c r="D425" s="25">
        <v>0</v>
      </c>
      <c r="E425" s="25">
        <v>0</v>
      </c>
      <c r="F425" s="17"/>
      <c r="G425" s="25"/>
    </row>
    <row r="426">
      <c r="A426" s="25">
        <v>413</v>
      </c>
      <c r="B426" s="25" t="s">
        <v>2770</v>
      </c>
      <c r="C426" s="25" t="s">
        <v>2771</v>
      </c>
      <c r="D426" s="25">
        <v>0</v>
      </c>
      <c r="E426" s="25">
        <v>0</v>
      </c>
      <c r="F426" s="17"/>
      <c r="G426" s="25"/>
    </row>
    <row r="427">
      <c r="A427" s="25">
        <v>414</v>
      </c>
      <c r="B427" s="25" t="s">
        <v>2772</v>
      </c>
      <c r="C427" s="25" t="s">
        <v>2773</v>
      </c>
      <c r="D427" s="25">
        <v>0</v>
      </c>
      <c r="E427" s="25">
        <v>0</v>
      </c>
      <c r="F427" s="17"/>
      <c r="G427" s="25"/>
    </row>
    <row r="428">
      <c r="A428" s="25">
        <v>415</v>
      </c>
      <c r="B428" s="25" t="s">
        <v>2774</v>
      </c>
      <c r="C428" s="25" t="s">
        <v>2775</v>
      </c>
      <c r="D428" s="25">
        <v>0</v>
      </c>
      <c r="E428" s="25">
        <v>0</v>
      </c>
      <c r="F428" s="17"/>
      <c r="G428" s="25"/>
    </row>
    <row r="429">
      <c r="A429" s="25">
        <v>416</v>
      </c>
      <c r="B429" s="25" t="s">
        <v>2776</v>
      </c>
      <c r="C429" s="25" t="s">
        <v>2777</v>
      </c>
      <c r="D429" s="25">
        <v>0</v>
      </c>
      <c r="E429" s="25">
        <v>0</v>
      </c>
      <c r="F429" s="17"/>
      <c r="G429" s="25"/>
    </row>
    <row r="430">
      <c r="A430" s="25">
        <v>417</v>
      </c>
      <c r="B430" s="25" t="s">
        <v>2778</v>
      </c>
      <c r="C430" s="25" t="s">
        <v>2779</v>
      </c>
      <c r="D430" s="25">
        <v>0</v>
      </c>
      <c r="E430" s="25">
        <v>0</v>
      </c>
      <c r="F430" s="17"/>
      <c r="G430" s="25"/>
    </row>
    <row r="431">
      <c r="A431" s="25">
        <v>418</v>
      </c>
      <c r="B431" s="25" t="s">
        <v>2780</v>
      </c>
      <c r="C431" s="25" t="s">
        <v>2781</v>
      </c>
      <c r="D431" s="25">
        <v>0</v>
      </c>
      <c r="E431" s="25">
        <v>0</v>
      </c>
      <c r="F431" s="17"/>
      <c r="G431" s="25"/>
    </row>
    <row r="432">
      <c r="A432" s="25">
        <v>419</v>
      </c>
      <c r="B432" s="25" t="s">
        <v>2782</v>
      </c>
      <c r="C432" s="25" t="s">
        <v>2783</v>
      </c>
      <c r="D432" s="25">
        <v>0</v>
      </c>
      <c r="E432" s="25">
        <v>0</v>
      </c>
      <c r="F432" s="17"/>
      <c r="G432" s="25"/>
    </row>
    <row r="433">
      <c r="A433" s="25">
        <v>420</v>
      </c>
      <c r="B433" s="25" t="s">
        <v>2784</v>
      </c>
      <c r="C433" s="25" t="s">
        <v>2785</v>
      </c>
      <c r="D433" s="25">
        <v>0</v>
      </c>
      <c r="E433" s="25">
        <v>0</v>
      </c>
      <c r="F433" s="17"/>
      <c r="G433" s="25"/>
    </row>
    <row r="434">
      <c r="A434" s="25">
        <v>421</v>
      </c>
      <c r="B434" s="25" t="s">
        <v>2786</v>
      </c>
      <c r="C434" s="25" t="s">
        <v>2787</v>
      </c>
      <c r="D434" s="25">
        <v>0</v>
      </c>
      <c r="E434" s="25">
        <v>0</v>
      </c>
      <c r="F434" s="17"/>
      <c r="G434" s="25"/>
    </row>
    <row r="435">
      <c r="A435" s="25">
        <v>422</v>
      </c>
      <c r="B435" s="25" t="s">
        <v>2788</v>
      </c>
      <c r="C435" s="25" t="s">
        <v>2789</v>
      </c>
      <c r="D435" s="25">
        <v>0</v>
      </c>
      <c r="E435" s="25">
        <v>0</v>
      </c>
      <c r="F435" s="17"/>
      <c r="G435" s="25"/>
    </row>
    <row r="436">
      <c r="A436" s="25">
        <v>423</v>
      </c>
      <c r="B436" s="25" t="s">
        <v>2790</v>
      </c>
      <c r="C436" s="25" t="s">
        <v>2791</v>
      </c>
      <c r="D436" s="25">
        <v>0</v>
      </c>
      <c r="E436" s="25">
        <v>0</v>
      </c>
      <c r="F436" s="17"/>
      <c r="G436" s="25"/>
    </row>
    <row r="437">
      <c r="A437" s="25">
        <v>424</v>
      </c>
      <c r="B437" s="25" t="s">
        <v>2792</v>
      </c>
      <c r="C437" s="25" t="s">
        <v>2793</v>
      </c>
      <c r="D437" s="25">
        <v>0</v>
      </c>
      <c r="E437" s="25">
        <v>0</v>
      </c>
      <c r="F437" s="17"/>
      <c r="G437" s="25"/>
    </row>
    <row r="438">
      <c r="A438" s="25">
        <v>425</v>
      </c>
      <c r="B438" s="25" t="s">
        <v>2794</v>
      </c>
      <c r="C438" s="25" t="s">
        <v>2795</v>
      </c>
      <c r="D438" s="25">
        <v>0</v>
      </c>
      <c r="E438" s="25">
        <v>0</v>
      </c>
      <c r="F438" s="17"/>
      <c r="G438" s="25"/>
    </row>
    <row r="439">
      <c r="A439" s="25">
        <v>426</v>
      </c>
      <c r="B439" s="25" t="s">
        <v>2796</v>
      </c>
      <c r="C439" s="25" t="s">
        <v>2797</v>
      </c>
      <c r="D439" s="25">
        <v>0</v>
      </c>
      <c r="E439" s="25">
        <v>0</v>
      </c>
      <c r="F439" s="17"/>
      <c r="G439" s="25"/>
    </row>
    <row r="440">
      <c r="A440" s="25">
        <v>427</v>
      </c>
      <c r="B440" s="25" t="s">
        <v>2798</v>
      </c>
      <c r="C440" s="25" t="s">
        <v>2799</v>
      </c>
      <c r="D440" s="25">
        <v>0</v>
      </c>
      <c r="E440" s="25">
        <v>0</v>
      </c>
      <c r="F440" s="17"/>
      <c r="G440" s="25"/>
    </row>
    <row r="441">
      <c r="A441" s="25">
        <v>428</v>
      </c>
      <c r="B441" s="25" t="s">
        <v>592</v>
      </c>
      <c r="C441" s="25" t="s">
        <v>2800</v>
      </c>
      <c r="D441" s="25">
        <v>0</v>
      </c>
      <c r="E441" s="25">
        <v>0</v>
      </c>
      <c r="F441" s="17"/>
      <c r="G441" s="25"/>
    </row>
    <row r="442">
      <c r="A442" s="25">
        <v>429</v>
      </c>
      <c r="B442" s="25" t="s">
        <v>593</v>
      </c>
      <c r="C442" s="25" t="s">
        <v>2801</v>
      </c>
      <c r="D442" s="25">
        <v>0</v>
      </c>
      <c r="E442" s="25">
        <v>0</v>
      </c>
      <c r="F442" s="17"/>
      <c r="G442" s="25"/>
    </row>
    <row r="443">
      <c r="A443" s="25">
        <v>430</v>
      </c>
      <c r="B443" s="25" t="s">
        <v>595</v>
      </c>
      <c r="C443" s="25" t="s">
        <v>2802</v>
      </c>
      <c r="D443" s="25">
        <v>0</v>
      </c>
      <c r="E443" s="25">
        <v>0</v>
      </c>
      <c r="F443" s="17"/>
      <c r="G443" s="25"/>
    </row>
    <row r="444">
      <c r="A444" s="25">
        <v>431</v>
      </c>
      <c r="B444" s="25" t="s">
        <v>596</v>
      </c>
      <c r="C444" s="25" t="s">
        <v>2803</v>
      </c>
      <c r="D444" s="25">
        <v>0</v>
      </c>
      <c r="E444" s="25">
        <v>0</v>
      </c>
      <c r="F444" s="17"/>
      <c r="G444" s="25"/>
    </row>
    <row r="445">
      <c r="A445" s="25">
        <v>432</v>
      </c>
      <c r="B445" s="25" t="s">
        <v>597</v>
      </c>
      <c r="C445" s="25" t="s">
        <v>2804</v>
      </c>
      <c r="D445" s="25">
        <v>0</v>
      </c>
      <c r="E445" s="25">
        <v>0</v>
      </c>
      <c r="F445" s="17"/>
      <c r="G445" s="25"/>
    </row>
    <row r="446">
      <c r="A446" s="25">
        <v>433</v>
      </c>
      <c r="B446" s="25" t="s">
        <v>598</v>
      </c>
      <c r="C446" s="25" t="s">
        <v>2805</v>
      </c>
      <c r="D446" s="25">
        <v>0</v>
      </c>
      <c r="E446" s="25">
        <v>0</v>
      </c>
      <c r="F446" s="17"/>
      <c r="G446" s="25"/>
    </row>
    <row r="447">
      <c r="A447" s="25">
        <v>434</v>
      </c>
      <c r="B447" s="25" t="s">
        <v>599</v>
      </c>
      <c r="C447" s="25" t="s">
        <v>2806</v>
      </c>
      <c r="D447" s="25">
        <v>0</v>
      </c>
      <c r="E447" s="25">
        <v>0</v>
      </c>
      <c r="F447" s="17"/>
      <c r="G447" s="25"/>
    </row>
    <row r="448">
      <c r="A448" s="25">
        <v>435</v>
      </c>
      <c r="B448" s="25" t="s">
        <v>602</v>
      </c>
      <c r="C448" s="25" t="s">
        <v>2807</v>
      </c>
      <c r="D448" s="25">
        <v>0</v>
      </c>
      <c r="E448" s="25">
        <v>0</v>
      </c>
      <c r="F448" s="17"/>
      <c r="G448" s="25"/>
    </row>
    <row r="449">
      <c r="A449" s="25">
        <v>436</v>
      </c>
      <c r="B449" s="25" t="s">
        <v>603</v>
      </c>
      <c r="C449" s="25" t="s">
        <v>2808</v>
      </c>
      <c r="D449" s="25">
        <v>0</v>
      </c>
      <c r="E449" s="25">
        <v>0</v>
      </c>
      <c r="F449" s="17"/>
      <c r="G449" s="25"/>
    </row>
    <row r="450">
      <c r="A450" s="25">
        <v>437</v>
      </c>
      <c r="B450" s="25" t="s">
        <v>605</v>
      </c>
      <c r="C450" s="25" t="s">
        <v>2809</v>
      </c>
      <c r="D450" s="25">
        <v>0</v>
      </c>
      <c r="E450" s="25">
        <v>0</v>
      </c>
      <c r="F450" s="17"/>
      <c r="G450" s="25"/>
    </row>
    <row r="451">
      <c r="A451" s="25">
        <v>438</v>
      </c>
      <c r="B451" s="25" t="s">
        <v>606</v>
      </c>
      <c r="C451" s="25" t="s">
        <v>2810</v>
      </c>
      <c r="D451" s="25">
        <v>0</v>
      </c>
      <c r="E451" s="25">
        <v>0</v>
      </c>
      <c r="F451" s="17"/>
      <c r="G451" s="25"/>
    </row>
    <row r="452">
      <c r="A452" s="25">
        <v>439</v>
      </c>
      <c r="B452" s="25" t="s">
        <v>607</v>
      </c>
      <c r="C452" s="25" t="s">
        <v>2811</v>
      </c>
      <c r="D452" s="25">
        <v>0</v>
      </c>
      <c r="E452" s="25">
        <v>0</v>
      </c>
      <c r="F452" s="17"/>
      <c r="G452" s="25"/>
    </row>
    <row r="453">
      <c r="A453" s="25">
        <v>440</v>
      </c>
      <c r="B453" s="25" t="s">
        <v>608</v>
      </c>
      <c r="C453" s="25" t="s">
        <v>2812</v>
      </c>
      <c r="D453" s="25">
        <v>0</v>
      </c>
      <c r="E453" s="25">
        <v>0</v>
      </c>
      <c r="F453" s="17"/>
      <c r="G453" s="25"/>
    </row>
    <row r="454">
      <c r="A454" s="25">
        <v>441</v>
      </c>
      <c r="B454" s="25" t="s">
        <v>609</v>
      </c>
      <c r="C454" s="25" t="s">
        <v>2813</v>
      </c>
      <c r="D454" s="25">
        <v>0</v>
      </c>
      <c r="E454" s="25">
        <v>0</v>
      </c>
      <c r="F454" s="17"/>
      <c r="G454" s="25"/>
    </row>
    <row r="455">
      <c r="A455" s="25">
        <v>442</v>
      </c>
      <c r="B455" s="25" t="s">
        <v>612</v>
      </c>
      <c r="C455" s="25" t="s">
        <v>2814</v>
      </c>
      <c r="D455" s="25">
        <v>0</v>
      </c>
      <c r="E455" s="25">
        <v>0</v>
      </c>
      <c r="F455" s="17"/>
      <c r="G455" s="25"/>
    </row>
    <row r="456">
      <c r="A456" s="25">
        <v>443</v>
      </c>
      <c r="B456" s="25" t="s">
        <v>613</v>
      </c>
      <c r="C456" s="25" t="s">
        <v>2815</v>
      </c>
      <c r="D456" s="25">
        <v>0</v>
      </c>
      <c r="E456" s="25">
        <v>0</v>
      </c>
      <c r="F456" s="17"/>
      <c r="G456" s="25"/>
    </row>
    <row r="457">
      <c r="A457" s="25">
        <v>444</v>
      </c>
      <c r="B457" s="25" t="s">
        <v>615</v>
      </c>
      <c r="C457" s="25" t="s">
        <v>2816</v>
      </c>
      <c r="D457" s="25">
        <v>0</v>
      </c>
      <c r="E457" s="25">
        <v>0</v>
      </c>
      <c r="F457" s="17"/>
      <c r="G457" s="25"/>
    </row>
    <row r="458">
      <c r="A458" s="25">
        <v>445</v>
      </c>
      <c r="B458" s="25" t="s">
        <v>616</v>
      </c>
      <c r="C458" s="25" t="s">
        <v>2817</v>
      </c>
      <c r="D458" s="25">
        <v>0</v>
      </c>
      <c r="E458" s="25">
        <v>0</v>
      </c>
      <c r="F458" s="17"/>
      <c r="G458" s="25"/>
    </row>
    <row r="459">
      <c r="A459" s="25">
        <v>446</v>
      </c>
      <c r="B459" s="25" t="s">
        <v>617</v>
      </c>
      <c r="C459" s="25" t="s">
        <v>2818</v>
      </c>
      <c r="D459" s="25">
        <v>0</v>
      </c>
      <c r="E459" s="25">
        <v>0</v>
      </c>
      <c r="F459" s="17"/>
      <c r="G459" s="25"/>
    </row>
    <row r="460">
      <c r="A460" s="25">
        <v>447</v>
      </c>
      <c r="B460" s="25" t="s">
        <v>618</v>
      </c>
      <c r="C460" s="25" t="s">
        <v>2819</v>
      </c>
      <c r="D460" s="25">
        <v>0</v>
      </c>
      <c r="E460" s="25">
        <v>0</v>
      </c>
      <c r="F460" s="17"/>
      <c r="G460" s="25"/>
    </row>
    <row r="461">
      <c r="A461" s="25">
        <v>448</v>
      </c>
      <c r="B461" s="25" t="s">
        <v>619</v>
      </c>
      <c r="C461" s="25" t="s">
        <v>2820</v>
      </c>
      <c r="D461" s="25">
        <v>0</v>
      </c>
      <c r="E461" s="25">
        <v>0</v>
      </c>
      <c r="F461" s="17"/>
      <c r="G461" s="25"/>
    </row>
    <row r="462">
      <c r="A462" s="25">
        <v>449</v>
      </c>
      <c r="B462" s="25" t="s">
        <v>623</v>
      </c>
      <c r="C462" s="25" t="s">
        <v>2821</v>
      </c>
      <c r="D462" s="25">
        <v>0</v>
      </c>
      <c r="E462" s="25">
        <v>0</v>
      </c>
      <c r="F462" s="17"/>
      <c r="G462" s="25"/>
    </row>
    <row r="463">
      <c r="A463" s="25">
        <v>450</v>
      </c>
      <c r="B463" s="25" t="s">
        <v>624</v>
      </c>
      <c r="C463" s="25" t="s">
        <v>2822</v>
      </c>
      <c r="D463" s="25">
        <v>0</v>
      </c>
      <c r="E463" s="25">
        <v>0</v>
      </c>
      <c r="F463" s="17"/>
      <c r="G463" s="25"/>
    </row>
    <row r="464">
      <c r="A464" s="25">
        <v>451</v>
      </c>
      <c r="B464" s="25" t="s">
        <v>626</v>
      </c>
      <c r="C464" s="25" t="s">
        <v>2823</v>
      </c>
      <c r="D464" s="25">
        <v>0</v>
      </c>
      <c r="E464" s="25">
        <v>0</v>
      </c>
      <c r="F464" s="17"/>
      <c r="G464" s="25"/>
    </row>
    <row r="465">
      <c r="A465" s="25">
        <v>452</v>
      </c>
      <c r="B465" s="25" t="s">
        <v>627</v>
      </c>
      <c r="C465" s="25" t="s">
        <v>2824</v>
      </c>
      <c r="D465" s="25">
        <v>0</v>
      </c>
      <c r="E465" s="25">
        <v>0</v>
      </c>
      <c r="F465" s="17"/>
      <c r="G465" s="25"/>
    </row>
    <row r="466">
      <c r="A466" s="25">
        <v>453</v>
      </c>
      <c r="B466" s="25" t="s">
        <v>628</v>
      </c>
      <c r="C466" s="25" t="s">
        <v>2825</v>
      </c>
      <c r="D466" s="25">
        <v>0</v>
      </c>
      <c r="E466" s="25">
        <v>0</v>
      </c>
      <c r="F466" s="17"/>
      <c r="G466" s="25"/>
    </row>
    <row r="467">
      <c r="A467" s="25">
        <v>454</v>
      </c>
      <c r="B467" s="25" t="s">
        <v>629</v>
      </c>
      <c r="C467" s="25" t="s">
        <v>2826</v>
      </c>
      <c r="D467" s="25">
        <v>0</v>
      </c>
      <c r="E467" s="25">
        <v>0</v>
      </c>
      <c r="F467" s="17"/>
      <c r="G467" s="25"/>
    </row>
    <row r="468">
      <c r="A468" s="25">
        <v>455</v>
      </c>
      <c r="B468" s="25" t="s">
        <v>630</v>
      </c>
      <c r="C468" s="25" t="s">
        <v>2827</v>
      </c>
      <c r="D468" s="25">
        <v>0</v>
      </c>
      <c r="E468" s="25">
        <v>0</v>
      </c>
      <c r="F468" s="17"/>
      <c r="G468" s="25"/>
    </row>
    <row r="469">
      <c r="A469" s="25">
        <v>456</v>
      </c>
      <c r="B469" s="25" t="s">
        <v>633</v>
      </c>
      <c r="C469" s="25" t="s">
        <v>2828</v>
      </c>
      <c r="D469" s="25">
        <v>0</v>
      </c>
      <c r="E469" s="25">
        <v>0</v>
      </c>
      <c r="F469" s="17"/>
      <c r="G469" s="25"/>
    </row>
    <row r="470">
      <c r="A470" s="25">
        <v>457</v>
      </c>
      <c r="B470" s="25" t="s">
        <v>634</v>
      </c>
      <c r="C470" s="25" t="s">
        <v>2829</v>
      </c>
      <c r="D470" s="25">
        <v>0</v>
      </c>
      <c r="E470" s="25">
        <v>0</v>
      </c>
      <c r="F470" s="17"/>
      <c r="G470" s="25"/>
    </row>
    <row r="471">
      <c r="A471" s="25">
        <v>458</v>
      </c>
      <c r="B471" s="25" t="s">
        <v>636</v>
      </c>
      <c r="C471" s="25" t="s">
        <v>2830</v>
      </c>
      <c r="D471" s="25">
        <v>0</v>
      </c>
      <c r="E471" s="25">
        <v>0</v>
      </c>
      <c r="F471" s="17"/>
      <c r="G471" s="25"/>
    </row>
    <row r="472">
      <c r="A472" s="25">
        <v>459</v>
      </c>
      <c r="B472" s="25" t="s">
        <v>637</v>
      </c>
      <c r="C472" s="25" t="s">
        <v>2831</v>
      </c>
      <c r="D472" s="25">
        <v>0</v>
      </c>
      <c r="E472" s="25">
        <v>0</v>
      </c>
      <c r="F472" s="17"/>
      <c r="G472" s="25"/>
    </row>
    <row r="473">
      <c r="A473" s="25">
        <v>460</v>
      </c>
      <c r="B473" s="25" t="s">
        <v>638</v>
      </c>
      <c r="C473" s="25" t="s">
        <v>2832</v>
      </c>
      <c r="D473" s="25">
        <v>0</v>
      </c>
      <c r="E473" s="25">
        <v>0</v>
      </c>
      <c r="F473" s="17"/>
      <c r="G473" s="25"/>
    </row>
    <row r="474">
      <c r="A474" s="25">
        <v>461</v>
      </c>
      <c r="B474" s="25" t="s">
        <v>639</v>
      </c>
      <c r="C474" s="25" t="s">
        <v>2833</v>
      </c>
      <c r="D474" s="25">
        <v>0</v>
      </c>
      <c r="E474" s="25">
        <v>0</v>
      </c>
      <c r="F474" s="17"/>
      <c r="G474" s="25"/>
    </row>
    <row r="475">
      <c r="A475" s="25">
        <v>462</v>
      </c>
      <c r="B475" s="25" t="s">
        <v>640</v>
      </c>
      <c r="C475" s="25" t="s">
        <v>2834</v>
      </c>
      <c r="D475" s="25">
        <v>0</v>
      </c>
      <c r="E475" s="25">
        <v>0</v>
      </c>
      <c r="F475" s="17"/>
      <c r="G475" s="25"/>
    </row>
    <row r="476">
      <c r="A476" s="25">
        <v>463</v>
      </c>
      <c r="B476" s="25" t="s">
        <v>643</v>
      </c>
      <c r="C476" s="25" t="s">
        <v>2835</v>
      </c>
      <c r="D476" s="25">
        <v>0</v>
      </c>
      <c r="E476" s="25">
        <v>0</v>
      </c>
      <c r="F476" s="17"/>
      <c r="G476" s="25"/>
    </row>
    <row r="477">
      <c r="A477" s="25">
        <v>464</v>
      </c>
      <c r="B477" s="25" t="s">
        <v>644</v>
      </c>
      <c r="C477" s="25" t="s">
        <v>2836</v>
      </c>
      <c r="D477" s="25">
        <v>0</v>
      </c>
      <c r="E477" s="25">
        <v>0</v>
      </c>
      <c r="F477" s="17"/>
      <c r="G477" s="25"/>
    </row>
    <row r="478">
      <c r="A478" s="25">
        <v>465</v>
      </c>
      <c r="B478" s="25" t="s">
        <v>646</v>
      </c>
      <c r="C478" s="25" t="s">
        <v>2837</v>
      </c>
      <c r="D478" s="25">
        <v>0</v>
      </c>
      <c r="E478" s="25">
        <v>0</v>
      </c>
      <c r="F478" s="17"/>
      <c r="G478" s="25"/>
    </row>
    <row r="479">
      <c r="A479" s="25">
        <v>466</v>
      </c>
      <c r="B479" s="25" t="s">
        <v>647</v>
      </c>
      <c r="C479" s="25" t="s">
        <v>2838</v>
      </c>
      <c r="D479" s="25">
        <v>0</v>
      </c>
      <c r="E479" s="25">
        <v>0</v>
      </c>
      <c r="F479" s="17"/>
      <c r="G479" s="25"/>
    </row>
    <row r="480">
      <c r="A480" s="25">
        <v>467</v>
      </c>
      <c r="B480" s="25" t="s">
        <v>648</v>
      </c>
      <c r="C480" s="25" t="s">
        <v>2839</v>
      </c>
      <c r="D480" s="25">
        <v>0</v>
      </c>
      <c r="E480" s="25">
        <v>0</v>
      </c>
      <c r="F480" s="17"/>
      <c r="G480" s="25"/>
    </row>
    <row r="481">
      <c r="A481" s="25">
        <v>468</v>
      </c>
      <c r="B481" s="25" t="s">
        <v>649</v>
      </c>
      <c r="C481" s="25" t="s">
        <v>2840</v>
      </c>
      <c r="D481" s="25">
        <v>0</v>
      </c>
      <c r="E481" s="25">
        <v>0</v>
      </c>
      <c r="F481" s="17"/>
      <c r="G481" s="25"/>
    </row>
    <row r="482">
      <c r="A482" s="25">
        <v>469</v>
      </c>
      <c r="B482" s="25" t="s">
        <v>650</v>
      </c>
      <c r="C482" s="25" t="s">
        <v>2841</v>
      </c>
      <c r="D482" s="25">
        <v>0</v>
      </c>
      <c r="E482" s="25">
        <v>0</v>
      </c>
      <c r="F482" s="17"/>
      <c r="G482" s="25"/>
    </row>
    <row r="483">
      <c r="A483" s="25">
        <v>470</v>
      </c>
      <c r="B483" s="25" t="s">
        <v>653</v>
      </c>
      <c r="C483" s="25" t="s">
        <v>2842</v>
      </c>
      <c r="D483" s="25">
        <v>0</v>
      </c>
      <c r="E483" s="25">
        <v>0</v>
      </c>
      <c r="F483" s="17"/>
      <c r="G483" s="25"/>
    </row>
    <row r="484">
      <c r="A484" s="25">
        <v>471</v>
      </c>
      <c r="B484" s="25" t="s">
        <v>654</v>
      </c>
      <c r="C484" s="25" t="s">
        <v>2843</v>
      </c>
      <c r="D484" s="25">
        <v>0</v>
      </c>
      <c r="E484" s="25">
        <v>0</v>
      </c>
      <c r="F484" s="17"/>
      <c r="G484" s="25"/>
    </row>
    <row r="485">
      <c r="A485" s="25">
        <v>472</v>
      </c>
      <c r="B485" s="25" t="s">
        <v>656</v>
      </c>
      <c r="C485" s="25" t="s">
        <v>2844</v>
      </c>
      <c r="D485" s="25">
        <v>0</v>
      </c>
      <c r="E485" s="25">
        <v>0</v>
      </c>
      <c r="F485" s="17"/>
      <c r="G485" s="25"/>
    </row>
    <row r="486">
      <c r="A486" s="25">
        <v>473</v>
      </c>
      <c r="B486" s="25" t="s">
        <v>657</v>
      </c>
      <c r="C486" s="25" t="s">
        <v>2845</v>
      </c>
      <c r="D486" s="25">
        <v>0</v>
      </c>
      <c r="E486" s="25">
        <v>0</v>
      </c>
      <c r="F486" s="17"/>
      <c r="G486" s="25"/>
    </row>
    <row r="487">
      <c r="A487" s="25">
        <v>474</v>
      </c>
      <c r="B487" s="25" t="s">
        <v>658</v>
      </c>
      <c r="C487" s="25" t="s">
        <v>2846</v>
      </c>
      <c r="D487" s="25">
        <v>0</v>
      </c>
      <c r="E487" s="25">
        <v>0</v>
      </c>
      <c r="F487" s="17"/>
      <c r="G487" s="25"/>
    </row>
    <row r="488">
      <c r="A488" s="25">
        <v>475</v>
      </c>
      <c r="B488" s="25" t="s">
        <v>659</v>
      </c>
      <c r="C488" s="25" t="s">
        <v>2847</v>
      </c>
      <c r="D488" s="25">
        <v>0</v>
      </c>
      <c r="E488" s="25">
        <v>0</v>
      </c>
      <c r="F488" s="17"/>
      <c r="G488" s="25"/>
    </row>
    <row r="489">
      <c r="A489" s="25">
        <v>476</v>
      </c>
      <c r="B489" s="25" t="s">
        <v>660</v>
      </c>
      <c r="C489" s="25" t="s">
        <v>2848</v>
      </c>
      <c r="D489" s="25">
        <v>0</v>
      </c>
      <c r="E489" s="25">
        <v>0</v>
      </c>
      <c r="F489" s="17"/>
      <c r="G489" s="25"/>
    </row>
    <row r="490">
      <c r="A490" s="25">
        <v>477</v>
      </c>
      <c r="B490" s="25" t="s">
        <v>663</v>
      </c>
      <c r="C490" s="25" t="s">
        <v>2849</v>
      </c>
      <c r="D490" s="25">
        <v>157</v>
      </c>
      <c r="E490" s="25">
        <v>584</v>
      </c>
      <c r="F490" s="17"/>
      <c r="G490" s="25"/>
    </row>
    <row r="491">
      <c r="A491" s="25">
        <v>478</v>
      </c>
      <c r="B491" s="25" t="s">
        <v>664</v>
      </c>
      <c r="C491" s="25" t="s">
        <v>2850</v>
      </c>
      <c r="D491" s="25">
        <v>4170342</v>
      </c>
      <c r="E491" s="25">
        <v>15393990.96</v>
      </c>
      <c r="F491" s="17"/>
      <c r="G491" s="25"/>
    </row>
    <row r="492">
      <c r="A492" s="25">
        <v>479</v>
      </c>
      <c r="B492" s="25" t="s">
        <v>666</v>
      </c>
      <c r="C492" s="25" t="s">
        <v>2851</v>
      </c>
      <c r="D492" s="25">
        <v>0</v>
      </c>
      <c r="E492" s="25">
        <v>237618</v>
      </c>
      <c r="F492" s="17"/>
      <c r="G492" s="25"/>
    </row>
    <row r="493">
      <c r="A493" s="25">
        <v>480</v>
      </c>
      <c r="B493" s="25" t="s">
        <v>667</v>
      </c>
      <c r="C493" s="25" t="s">
        <v>2852</v>
      </c>
      <c r="D493" s="25">
        <v>0</v>
      </c>
      <c r="E493" s="25">
        <v>0</v>
      </c>
      <c r="F493" s="17"/>
      <c r="G493" s="25"/>
    </row>
    <row r="494">
      <c r="A494" s="25">
        <v>481</v>
      </c>
      <c r="B494" s="25" t="s">
        <v>668</v>
      </c>
      <c r="C494" s="25" t="s">
        <v>2853</v>
      </c>
      <c r="D494" s="25">
        <v>4170342</v>
      </c>
      <c r="E494" s="25">
        <v>15156372.96</v>
      </c>
      <c r="F494" s="17"/>
      <c r="G494" s="25"/>
    </row>
    <row r="495">
      <c r="A495" s="25">
        <v>482</v>
      </c>
      <c r="B495" s="25" t="s">
        <v>669</v>
      </c>
      <c r="C495" s="25" t="s">
        <v>2854</v>
      </c>
      <c r="D495" s="25">
        <v>3642842.49</v>
      </c>
      <c r="E495" s="25">
        <v>13226271.87</v>
      </c>
      <c r="F495" s="17"/>
      <c r="G495" s="25"/>
    </row>
    <row r="496">
      <c r="A496" s="25">
        <v>483</v>
      </c>
      <c r="B496" s="25" t="s">
        <v>670</v>
      </c>
      <c r="C496" s="25" t="s">
        <v>2855</v>
      </c>
      <c r="D496" s="25">
        <v>527499.51</v>
      </c>
      <c r="E496" s="25">
        <v>1930101.09</v>
      </c>
      <c r="F496" s="17"/>
      <c r="G496" s="25"/>
    </row>
    <row r="497">
      <c r="A497" s="25">
        <v>484</v>
      </c>
      <c r="B497" s="25" t="s">
        <v>674</v>
      </c>
      <c r="C497" s="25" t="s">
        <v>2856</v>
      </c>
      <c r="D497" s="25">
        <v>0</v>
      </c>
      <c r="E497" s="25">
        <v>0</v>
      </c>
      <c r="F497" s="17"/>
      <c r="G497" s="25"/>
    </row>
    <row r="498">
      <c r="A498" s="25">
        <v>485</v>
      </c>
      <c r="B498" s="25" t="s">
        <v>677</v>
      </c>
      <c r="C498" s="25" t="s">
        <v>2857</v>
      </c>
      <c r="D498" s="25">
        <v>15366</v>
      </c>
      <c r="E498" s="25">
        <v>66368.5</v>
      </c>
      <c r="F498" s="17"/>
      <c r="G498" s="25"/>
    </row>
    <row r="499">
      <c r="A499" s="25">
        <v>486</v>
      </c>
      <c r="B499" s="25" t="s">
        <v>680</v>
      </c>
      <c r="C499" s="25" t="s">
        <v>2858</v>
      </c>
      <c r="D499" s="25">
        <v>0</v>
      </c>
      <c r="E499" s="25">
        <v>0</v>
      </c>
      <c r="F499" s="17"/>
      <c r="G499" s="25"/>
    </row>
    <row r="500">
      <c r="A500" s="25">
        <v>487</v>
      </c>
      <c r="B500" s="25" t="s">
        <v>683</v>
      </c>
      <c r="C500" s="25" t="s">
        <v>2859</v>
      </c>
      <c r="D500" s="25">
        <v>0</v>
      </c>
      <c r="E500" s="25">
        <v>0</v>
      </c>
      <c r="F500" s="17"/>
      <c r="G500" s="25"/>
    </row>
    <row r="501">
      <c r="A501" s="25">
        <v>488</v>
      </c>
      <c r="B501" s="25" t="s">
        <v>686</v>
      </c>
      <c r="C501" s="25" t="s">
        <v>2860</v>
      </c>
      <c r="D501" s="25">
        <v>0</v>
      </c>
      <c r="E501" s="25">
        <v>0</v>
      </c>
      <c r="F501" s="17"/>
      <c r="G501" s="25"/>
    </row>
    <row r="502">
      <c r="A502" s="25">
        <v>489</v>
      </c>
      <c r="B502" s="25" t="s">
        <v>689</v>
      </c>
      <c r="C502" s="25" t="s">
        <v>2861</v>
      </c>
      <c r="D502" s="25">
        <v>15366</v>
      </c>
      <c r="E502" s="25">
        <v>66368.5</v>
      </c>
      <c r="F502" s="17"/>
      <c r="G502" s="25"/>
    </row>
    <row r="503">
      <c r="A503" s="25">
        <v>490</v>
      </c>
      <c r="B503" s="25" t="s">
        <v>693</v>
      </c>
      <c r="C503" s="25" t="s">
        <v>2862</v>
      </c>
      <c r="D503" s="25">
        <v>0</v>
      </c>
      <c r="E503" s="25">
        <v>0</v>
      </c>
      <c r="F503" s="17"/>
      <c r="G503" s="25"/>
    </row>
    <row r="504">
      <c r="A504" s="25">
        <v>491</v>
      </c>
      <c r="B504" s="25" t="s">
        <v>696</v>
      </c>
      <c r="C504" s="25" t="s">
        <v>2863</v>
      </c>
      <c r="D504" s="25">
        <v>0</v>
      </c>
      <c r="E504" s="25">
        <v>0</v>
      </c>
      <c r="F504" s="17"/>
      <c r="G504" s="25"/>
    </row>
    <row r="505">
      <c r="A505" s="25">
        <v>492</v>
      </c>
      <c r="B505" s="25" t="s">
        <v>699</v>
      </c>
      <c r="C505" s="25" t="s">
        <v>2864</v>
      </c>
      <c r="D505" s="25">
        <v>102354.65</v>
      </c>
      <c r="E505" s="25">
        <v>329652.1</v>
      </c>
      <c r="F505" s="17"/>
      <c r="G505" s="25"/>
    </row>
    <row r="506">
      <c r="A506" s="25">
        <v>493</v>
      </c>
      <c r="B506" s="25" t="s">
        <v>702</v>
      </c>
      <c r="C506" s="25" t="s">
        <v>2865</v>
      </c>
      <c r="D506" s="25">
        <v>102354.65</v>
      </c>
      <c r="E506" s="25">
        <v>370521.04</v>
      </c>
      <c r="F506" s="17"/>
      <c r="G506" s="25"/>
    </row>
    <row r="507">
      <c r="A507" s="25">
        <v>494</v>
      </c>
      <c r="B507" s="25" t="s">
        <v>705</v>
      </c>
      <c r="C507" s="25" t="s">
        <v>2866</v>
      </c>
      <c r="D507" s="25">
        <v>440510.86</v>
      </c>
      <c r="E507" s="25">
        <v>1625948.55</v>
      </c>
      <c r="F507" s="17"/>
      <c r="G507" s="25"/>
    </row>
    <row r="508">
      <c r="A508" s="25">
        <v>495</v>
      </c>
      <c r="B508" s="25" t="s">
        <v>709</v>
      </c>
      <c r="C508" s="25" t="s">
        <v>2867</v>
      </c>
      <c r="D508" s="25">
        <v>0</v>
      </c>
      <c r="E508" s="25">
        <v>427.61</v>
      </c>
      <c r="F508" s="17"/>
      <c r="G508" s="25"/>
    </row>
    <row r="509">
      <c r="A509" s="25">
        <v>496</v>
      </c>
      <c r="B509" s="25" t="s">
        <v>712</v>
      </c>
      <c r="C509" s="25" t="s">
        <v>2868</v>
      </c>
      <c r="D509" s="25">
        <v>496.29</v>
      </c>
      <c r="E509" s="25">
        <v>2015.45</v>
      </c>
      <c r="F509" s="17"/>
      <c r="G509" s="25"/>
    </row>
    <row r="510">
      <c r="A510" s="25">
        <v>497</v>
      </c>
      <c r="B510" s="25" t="s">
        <v>715</v>
      </c>
      <c r="C510" s="25" t="s">
        <v>2869</v>
      </c>
      <c r="D510" s="25">
        <v>4717.96</v>
      </c>
      <c r="E510" s="25">
        <v>18245.17</v>
      </c>
      <c r="F510" s="17"/>
      <c r="G510" s="25"/>
    </row>
    <row r="511">
      <c r="A511" s="25">
        <v>498</v>
      </c>
      <c r="B511" s="25" t="s">
        <v>718</v>
      </c>
      <c r="C511" s="25" t="s">
        <v>2870</v>
      </c>
      <c r="D511" s="25">
        <v>-4380.39</v>
      </c>
      <c r="E511" s="25">
        <v>-23557.46</v>
      </c>
      <c r="F511" s="17"/>
      <c r="G511" s="25"/>
    </row>
    <row r="512">
      <c r="A512" s="25">
        <v>499</v>
      </c>
      <c r="B512" s="25" t="s">
        <v>721</v>
      </c>
      <c r="C512" s="25" t="s">
        <v>2871</v>
      </c>
      <c r="D512" s="25">
        <v>444891.25</v>
      </c>
      <c r="E512" s="25">
        <v>1649506.01</v>
      </c>
      <c r="F512" s="17"/>
      <c r="G512" s="25"/>
    </row>
    <row r="513">
      <c r="A513" s="25">
        <v>500</v>
      </c>
      <c r="B513" s="25" t="s">
        <v>725</v>
      </c>
      <c r="C513" s="25" t="s">
        <v>2872</v>
      </c>
      <c r="D513" s="25">
        <v>0</v>
      </c>
      <c r="E513" s="25">
        <v>0</v>
      </c>
      <c r="F513" s="17"/>
      <c r="G513" s="25"/>
    </row>
    <row r="514">
      <c r="A514" s="25">
        <v>501</v>
      </c>
      <c r="B514" s="25" t="s">
        <v>728</v>
      </c>
      <c r="C514" s="25" t="s">
        <v>2873</v>
      </c>
      <c r="D514" s="25">
        <v>30328.57</v>
      </c>
      <c r="E514" s="25">
        <v>136827.41</v>
      </c>
      <c r="F514" s="17"/>
      <c r="G514" s="25"/>
    </row>
    <row r="515">
      <c r="A515" s="25">
        <v>502</v>
      </c>
      <c r="B515" s="25" t="s">
        <v>731</v>
      </c>
      <c r="C515" s="25" t="s">
        <v>2874</v>
      </c>
      <c r="D515" s="25">
        <v>0</v>
      </c>
      <c r="E515" s="25">
        <v>0</v>
      </c>
      <c r="F515" s="17"/>
      <c r="G515" s="25"/>
    </row>
    <row r="516">
      <c r="A516" s="25">
        <v>503</v>
      </c>
      <c r="B516" s="25" t="s">
        <v>734</v>
      </c>
      <c r="C516" s="25" t="s">
        <v>2875</v>
      </c>
      <c r="D516" s="25">
        <v>546.47</v>
      </c>
      <c r="E516" s="25">
        <v>1223.64</v>
      </c>
      <c r="F516" s="17"/>
      <c r="G516" s="25"/>
    </row>
    <row r="517">
      <c r="A517" s="25">
        <v>504</v>
      </c>
      <c r="B517" s="25" t="s">
        <v>738</v>
      </c>
      <c r="C517" s="25" t="s">
        <v>2876</v>
      </c>
      <c r="D517" s="25">
        <v>0</v>
      </c>
      <c r="E517" s="25">
        <v>0</v>
      </c>
      <c r="F517" s="17"/>
      <c r="G517" s="25"/>
    </row>
    <row r="518">
      <c r="A518" s="25">
        <v>505</v>
      </c>
      <c r="B518" s="25" t="s">
        <v>741</v>
      </c>
      <c r="C518" s="25" t="s">
        <v>2877</v>
      </c>
      <c r="D518" s="25">
        <v>0</v>
      </c>
      <c r="E518" s="25">
        <v>0</v>
      </c>
      <c r="F518" s="17"/>
      <c r="G518" s="25"/>
    </row>
    <row r="519">
      <c r="A519" s="25">
        <v>506</v>
      </c>
      <c r="B519" s="25" t="s">
        <v>744</v>
      </c>
      <c r="C519" s="25" t="s">
        <v>2878</v>
      </c>
      <c r="D519" s="25">
        <v>0</v>
      </c>
      <c r="E519" s="25">
        <v>0</v>
      </c>
      <c r="F519" s="17"/>
      <c r="G519" s="25"/>
    </row>
    <row r="520">
      <c r="A520" s="25">
        <v>507</v>
      </c>
      <c r="B520" s="25" t="s">
        <v>747</v>
      </c>
      <c r="C520" s="25" t="s">
        <v>2879</v>
      </c>
      <c r="D520" s="25">
        <v>0</v>
      </c>
      <c r="E520" s="25">
        <v>0</v>
      </c>
      <c r="F520" s="17"/>
      <c r="G520" s="25"/>
    </row>
    <row r="521">
      <c r="A521" s="25">
        <v>508</v>
      </c>
      <c r="B521" s="25" t="s">
        <v>751</v>
      </c>
      <c r="C521" s="25" t="s">
        <v>2880</v>
      </c>
      <c r="D521" s="25">
        <v>415109.15</v>
      </c>
      <c r="E521" s="25">
        <v>1513902.24</v>
      </c>
      <c r="F521" s="17"/>
      <c r="G521" s="25"/>
    </row>
    <row r="522">
      <c r="A522" s="25">
        <v>509</v>
      </c>
      <c r="B522" s="25" t="s">
        <v>754</v>
      </c>
      <c r="C522" s="25" t="s">
        <v>2881</v>
      </c>
      <c r="D522" s="25">
        <v>0</v>
      </c>
      <c r="E522" s="25">
        <v>0</v>
      </c>
      <c r="F522" s="17"/>
      <c r="G522" s="25"/>
    </row>
    <row r="523">
      <c r="A523" s="25">
        <v>510</v>
      </c>
      <c r="B523" s="25" t="s">
        <v>756</v>
      </c>
      <c r="C523" s="25" t="s">
        <v>2882</v>
      </c>
      <c r="D523" s="25">
        <v>0</v>
      </c>
      <c r="E523" s="25">
        <v>0</v>
      </c>
      <c r="F523" s="17"/>
      <c r="G523" s="25"/>
    </row>
    <row r="524">
      <c r="A524" s="25">
        <v>511</v>
      </c>
      <c r="B524" s="25" t="s">
        <v>759</v>
      </c>
      <c r="C524" s="25" t="s">
        <v>2883</v>
      </c>
      <c r="D524" s="25">
        <v>0</v>
      </c>
      <c r="E524" s="25">
        <v>0</v>
      </c>
      <c r="F524" s="17"/>
      <c r="G524" s="25"/>
    </row>
    <row r="525">
      <c r="A525" s="25">
        <v>512</v>
      </c>
      <c r="B525" s="25" t="s">
        <v>766</v>
      </c>
      <c r="C525" s="25" t="s">
        <v>2884</v>
      </c>
      <c r="D525" s="25">
        <v>0</v>
      </c>
      <c r="E525" s="25">
        <v>0</v>
      </c>
      <c r="F525" s="17"/>
      <c r="G525" s="25"/>
    </row>
    <row r="526">
      <c r="A526" s="25">
        <v>513</v>
      </c>
      <c r="B526" s="25" t="s">
        <v>770</v>
      </c>
      <c r="C526" s="25" t="s">
        <v>2885</v>
      </c>
      <c r="D526" s="25">
        <v>0</v>
      </c>
      <c r="E526" s="25">
        <v>0</v>
      </c>
      <c r="F526" s="17"/>
      <c r="G526" s="25"/>
    </row>
    <row r="527">
      <c r="A527" s="25">
        <v>514</v>
      </c>
      <c r="B527" s="25" t="s">
        <v>772</v>
      </c>
      <c r="C527" s="25" t="s">
        <v>2886</v>
      </c>
      <c r="D527" s="25">
        <v>0</v>
      </c>
      <c r="E527" s="25">
        <v>0</v>
      </c>
      <c r="F527" s="17"/>
      <c r="G527" s="25"/>
    </row>
    <row r="528">
      <c r="A528" s="25">
        <v>515</v>
      </c>
      <c r="B528" s="25" t="s">
        <v>774</v>
      </c>
      <c r="C528" s="25" t="s">
        <v>2887</v>
      </c>
      <c r="D528" s="25">
        <v>0</v>
      </c>
      <c r="E528" s="25">
        <v>0</v>
      </c>
      <c r="F528" s="17"/>
      <c r="G528" s="25"/>
    </row>
    <row r="529">
      <c r="A529" s="25">
        <v>516</v>
      </c>
      <c r="B529" s="25" t="s">
        <v>779</v>
      </c>
      <c r="C529" s="25" t="s">
        <v>2888</v>
      </c>
      <c r="D529" s="25">
        <v>0</v>
      </c>
      <c r="E529" s="25">
        <v>0</v>
      </c>
      <c r="F529" s="17"/>
      <c r="G529" s="25"/>
    </row>
    <row r="530">
      <c r="A530" s="25">
        <v>517</v>
      </c>
      <c r="B530" s="25" t="s">
        <v>784</v>
      </c>
      <c r="C530" s="25" t="s">
        <v>2889</v>
      </c>
      <c r="D530" s="25">
        <v>0</v>
      </c>
      <c r="E530" s="25">
        <v>0</v>
      </c>
      <c r="F530" s="17"/>
      <c r="G530" s="25"/>
    </row>
    <row r="531">
      <c r="A531" s="25">
        <v>518</v>
      </c>
      <c r="B531" s="25" t="s">
        <v>789</v>
      </c>
      <c r="C531" s="25" t="s">
        <v>2890</v>
      </c>
      <c r="D531" s="25">
        <v>0</v>
      </c>
      <c r="E531" s="25">
        <v>0</v>
      </c>
      <c r="F531" s="17"/>
      <c r="G531" s="25"/>
    </row>
    <row r="532">
      <c r="A532" s="25">
        <v>519</v>
      </c>
      <c r="B532" s="25" t="s">
        <v>794</v>
      </c>
      <c r="C532" s="25" t="s">
        <v>2891</v>
      </c>
      <c r="D532" s="25">
        <v>0</v>
      </c>
      <c r="E532" s="25">
        <v>0</v>
      </c>
      <c r="F532" s="17"/>
      <c r="G532" s="25"/>
    </row>
    <row r="533">
      <c r="A533" s="25">
        <v>520</v>
      </c>
      <c r="B533" s="25" t="s">
        <v>796</v>
      </c>
      <c r="C533" s="25" t="s">
        <v>2892</v>
      </c>
      <c r="D533" s="25">
        <v>0</v>
      </c>
      <c r="E533" s="25">
        <v>0</v>
      </c>
      <c r="F533" s="17"/>
      <c r="G533" s="25"/>
    </row>
    <row r="534">
      <c r="A534" s="25">
        <v>521</v>
      </c>
      <c r="B534" s="25" t="s">
        <v>798</v>
      </c>
      <c r="C534" s="25" t="s">
        <v>2893</v>
      </c>
      <c r="D534" s="25">
        <v>0</v>
      </c>
      <c r="E534" s="25">
        <v>0</v>
      </c>
      <c r="F534" s="17"/>
      <c r="G534" s="25"/>
    </row>
    <row r="535">
      <c r="A535" s="25">
        <v>522</v>
      </c>
      <c r="B535" s="25" t="s">
        <v>805</v>
      </c>
      <c r="C535" s="25" t="s">
        <v>2894</v>
      </c>
      <c r="D535" s="25">
        <v>0</v>
      </c>
      <c r="E535" s="25">
        <v>0</v>
      </c>
      <c r="F535" s="17"/>
      <c r="G535" s="25"/>
    </row>
    <row r="536">
      <c r="A536" s="25">
        <v>523</v>
      </c>
      <c r="B536" s="25" t="s">
        <v>807</v>
      </c>
      <c r="C536" s="25" t="s">
        <v>2895</v>
      </c>
      <c r="D536" s="25">
        <v>0</v>
      </c>
      <c r="E536" s="25">
        <v>0</v>
      </c>
      <c r="F536" s="17"/>
      <c r="G536" s="25"/>
    </row>
    <row r="537">
      <c r="A537" s="25">
        <v>524</v>
      </c>
      <c r="B537" s="25" t="s">
        <v>814</v>
      </c>
      <c r="C537" s="25" t="s">
        <v>2896</v>
      </c>
      <c r="D537" s="25">
        <v>0</v>
      </c>
      <c r="E537" s="25">
        <v>0</v>
      </c>
      <c r="F537" s="17"/>
      <c r="G537" s="25"/>
    </row>
    <row r="538">
      <c r="A538" s="25">
        <v>525</v>
      </c>
      <c r="B538" s="25" t="s">
        <v>819</v>
      </c>
      <c r="C538" s="25" t="s">
        <v>2897</v>
      </c>
      <c r="D538" s="25">
        <v>4</v>
      </c>
      <c r="E538" s="25">
        <v>4</v>
      </c>
      <c r="F538" s="17"/>
      <c r="G538" s="25"/>
    </row>
    <row r="539">
      <c r="A539" s="25">
        <v>526</v>
      </c>
      <c r="B539" s="25" t="s">
        <v>821</v>
      </c>
      <c r="C539" s="25" t="s">
        <v>2898</v>
      </c>
      <c r="D539" s="25">
        <v>0</v>
      </c>
      <c r="E539" s="25">
        <v>0</v>
      </c>
      <c r="F539" s="17"/>
      <c r="G539" s="25"/>
    </row>
    <row r="540">
      <c r="A540" s="25">
        <v>527</v>
      </c>
      <c r="B540" s="25" t="s">
        <v>824</v>
      </c>
      <c r="C540" s="25" t="s">
        <v>2899</v>
      </c>
      <c r="D540" s="25">
        <v>0</v>
      </c>
      <c r="E540" s="25">
        <v>0</v>
      </c>
      <c r="F540" s="17"/>
      <c r="G540" s="25"/>
    </row>
    <row r="541">
      <c r="A541" s="25">
        <v>528</v>
      </c>
      <c r="B541" s="25" t="s">
        <v>826</v>
      </c>
      <c r="C541" s="25" t="s">
        <v>2900</v>
      </c>
      <c r="D541" s="25">
        <v>0</v>
      </c>
      <c r="E541" s="25">
        <v>0</v>
      </c>
      <c r="F541" s="17"/>
      <c r="G541" s="25"/>
    </row>
    <row r="542">
      <c r="A542" s="25">
        <v>529</v>
      </c>
      <c r="B542" s="25" t="s">
        <v>828</v>
      </c>
      <c r="C542" s="25" t="s">
        <v>2901</v>
      </c>
      <c r="D542" s="25">
        <v>0</v>
      </c>
      <c r="E542" s="25">
        <v>0</v>
      </c>
      <c r="F542" s="17"/>
      <c r="G542" s="25"/>
    </row>
    <row r="543">
      <c r="A543" s="25">
        <v>530</v>
      </c>
      <c r="B543" s="25" t="s">
        <v>830</v>
      </c>
      <c r="C543" s="25" t="s">
        <v>2902</v>
      </c>
      <c r="D543" s="25">
        <v>0</v>
      </c>
      <c r="E543" s="25">
        <v>0</v>
      </c>
      <c r="F543" s="17"/>
      <c r="G543" s="25"/>
    </row>
    <row r="544">
      <c r="A544" s="25">
        <v>531</v>
      </c>
      <c r="B544" s="25" t="s">
        <v>833</v>
      </c>
      <c r="C544" s="25" t="s">
        <v>2903</v>
      </c>
      <c r="D544" s="25">
        <v>0</v>
      </c>
      <c r="E544" s="25">
        <v>0</v>
      </c>
      <c r="F544" s="17"/>
      <c r="G544" s="25"/>
    </row>
    <row r="545">
      <c r="A545" s="25">
        <v>532</v>
      </c>
      <c r="B545" s="25" t="s">
        <v>835</v>
      </c>
      <c r="C545" s="25" t="s">
        <v>2904</v>
      </c>
      <c r="D545" s="25">
        <v>0</v>
      </c>
      <c r="E545" s="25">
        <v>0</v>
      </c>
      <c r="F545" s="17"/>
      <c r="G545" s="25"/>
    </row>
    <row r="546">
      <c r="A546" s="25">
        <v>533</v>
      </c>
      <c r="B546" s="25" t="s">
        <v>837</v>
      </c>
      <c r="C546" s="25" t="s">
        <v>2905</v>
      </c>
      <c r="D546" s="25">
        <v>0</v>
      </c>
      <c r="E546" s="25">
        <v>0</v>
      </c>
      <c r="F546" s="17"/>
      <c r="G546" s="25"/>
    </row>
    <row r="547">
      <c r="A547" s="25">
        <v>534</v>
      </c>
      <c r="B547" s="25" t="s">
        <v>839</v>
      </c>
      <c r="C547" s="25" t="s">
        <v>2906</v>
      </c>
      <c r="D547" s="25">
        <v>0</v>
      </c>
      <c r="E547" s="25">
        <v>0</v>
      </c>
      <c r="F547" s="17"/>
      <c r="G547" s="25"/>
    </row>
    <row r="548">
      <c r="A548" s="25">
        <v>535</v>
      </c>
      <c r="B548" s="25" t="s">
        <v>841</v>
      </c>
      <c r="C548" s="25" t="s">
        <v>2907</v>
      </c>
      <c r="D548" s="25">
        <v>0</v>
      </c>
      <c r="E548" s="25">
        <v>0</v>
      </c>
      <c r="F548" s="17"/>
      <c r="G548" s="25"/>
    </row>
    <row r="549">
      <c r="A549" s="25">
        <v>536</v>
      </c>
      <c r="B549" s="25" t="s">
        <v>843</v>
      </c>
      <c r="C549" s="25" t="s">
        <v>2908</v>
      </c>
      <c r="D549" s="25">
        <v>0</v>
      </c>
      <c r="E549" s="25">
        <v>0</v>
      </c>
      <c r="F549" s="17"/>
      <c r="G549" s="25"/>
    </row>
    <row r="550">
      <c r="A550" s="25">
        <v>537</v>
      </c>
      <c r="B550" s="25" t="s">
        <v>845</v>
      </c>
      <c r="C550" s="25" t="s">
        <v>2909</v>
      </c>
      <c r="D550" s="25">
        <v>0</v>
      </c>
      <c r="E550" s="25">
        <v>0</v>
      </c>
      <c r="F550" s="17"/>
      <c r="G550" s="25"/>
    </row>
    <row r="551">
      <c r="A551" s="25">
        <v>538</v>
      </c>
      <c r="B551" s="25" t="s">
        <v>847</v>
      </c>
      <c r="C551" s="25" t="s">
        <v>2910</v>
      </c>
      <c r="D551" s="25">
        <v>0</v>
      </c>
      <c r="E551" s="25">
        <v>0</v>
      </c>
      <c r="F551" s="17"/>
      <c r="G551" s="25"/>
    </row>
    <row r="552">
      <c r="A552" s="25">
        <v>539</v>
      </c>
      <c r="B552" s="25" t="s">
        <v>849</v>
      </c>
      <c r="C552" s="25" t="s">
        <v>2911</v>
      </c>
      <c r="D552" s="25">
        <v>0</v>
      </c>
      <c r="E552" s="25">
        <v>0</v>
      </c>
      <c r="F552" s="17"/>
      <c r="G552" s="25"/>
    </row>
    <row r="553">
      <c r="A553" s="25">
        <v>540</v>
      </c>
      <c r="B553" s="25" t="s">
        <v>851</v>
      </c>
      <c r="C553" s="25" t="s">
        <v>2912</v>
      </c>
      <c r="D553" s="25">
        <v>0</v>
      </c>
      <c r="E553" s="25">
        <v>0</v>
      </c>
      <c r="F553" s="17"/>
      <c r="G553" s="25"/>
    </row>
    <row r="554">
      <c r="A554" s="25">
        <v>541</v>
      </c>
      <c r="B554" s="25" t="s">
        <v>853</v>
      </c>
      <c r="C554" s="25" t="s">
        <v>2913</v>
      </c>
      <c r="D554" s="25">
        <v>0</v>
      </c>
      <c r="E554" s="25">
        <v>0</v>
      </c>
      <c r="F554" s="17"/>
      <c r="G554" s="25"/>
    </row>
    <row r="555">
      <c r="A555" s="25">
        <v>542</v>
      </c>
      <c r="B555" s="25" t="s">
        <v>862</v>
      </c>
      <c r="C555" s="25" t="s">
        <v>2914</v>
      </c>
      <c r="D555" s="25">
        <v>36</v>
      </c>
      <c r="E555" s="25">
        <v>36</v>
      </c>
      <c r="F555" s="17"/>
      <c r="G555" s="25"/>
    </row>
    <row r="556">
      <c r="A556" s="25">
        <v>543</v>
      </c>
      <c r="B556" s="25" t="s">
        <v>865</v>
      </c>
      <c r="C556" s="25" t="s">
        <v>2915</v>
      </c>
      <c r="D556" s="25">
        <v>0</v>
      </c>
      <c r="E556" s="25">
        <v>0</v>
      </c>
      <c r="F556" s="17"/>
      <c r="G556" s="25"/>
    </row>
    <row r="557">
      <c r="A557" s="25">
        <v>544</v>
      </c>
      <c r="B557" s="25" t="s">
        <v>867</v>
      </c>
      <c r="C557" s="25" t="s">
        <v>2916</v>
      </c>
      <c r="D557" s="25">
        <v>0</v>
      </c>
      <c r="E557" s="25">
        <v>0</v>
      </c>
      <c r="F557" s="17"/>
      <c r="G557" s="25"/>
    </row>
    <row r="558">
      <c r="A558" s="25">
        <v>545</v>
      </c>
      <c r="B558" s="25" t="s">
        <v>870</v>
      </c>
      <c r="C558" s="25" t="s">
        <v>2917</v>
      </c>
      <c r="D558" s="25">
        <v>0</v>
      </c>
      <c r="E558" s="25">
        <v>0</v>
      </c>
      <c r="F558" s="17"/>
      <c r="G558" s="25"/>
    </row>
    <row r="559">
      <c r="A559" s="25">
        <v>546</v>
      </c>
      <c r="B559" s="25" t="s">
        <v>873</v>
      </c>
      <c r="C559" s="25" t="s">
        <v>2918</v>
      </c>
      <c r="D559" s="25">
        <v>0</v>
      </c>
      <c r="E559" s="25">
        <v>0</v>
      </c>
      <c r="F559" s="17"/>
      <c r="G559" s="25"/>
    </row>
    <row r="560">
      <c r="A560" s="25">
        <v>547</v>
      </c>
      <c r="B560" s="25" t="s">
        <v>875</v>
      </c>
      <c r="C560" s="25" t="s">
        <v>2919</v>
      </c>
      <c r="D560" s="25">
        <v>0</v>
      </c>
      <c r="E560" s="25">
        <v>0</v>
      </c>
      <c r="F560" s="17"/>
      <c r="G560" s="25"/>
    </row>
    <row r="561">
      <c r="A561" s="25">
        <v>548</v>
      </c>
      <c r="B561" s="25" t="s">
        <v>877</v>
      </c>
      <c r="C561" s="25" t="s">
        <v>2920</v>
      </c>
      <c r="D561" s="25">
        <v>0</v>
      </c>
      <c r="E561" s="25">
        <v>0</v>
      </c>
      <c r="F561" s="17"/>
      <c r="G561" s="25"/>
    </row>
    <row r="562">
      <c r="A562" s="25">
        <v>549</v>
      </c>
      <c r="B562" s="25" t="s">
        <v>880</v>
      </c>
      <c r="C562" s="25" t="s">
        <v>2921</v>
      </c>
      <c r="D562" s="25">
        <v>0</v>
      </c>
      <c r="E562" s="25">
        <v>0</v>
      </c>
      <c r="F562" s="17"/>
      <c r="G562" s="25"/>
    </row>
    <row r="563">
      <c r="A563" s="25">
        <v>550</v>
      </c>
      <c r="B563" s="25" t="s">
        <v>768</v>
      </c>
      <c r="C563" s="25" t="s">
        <v>2922</v>
      </c>
      <c r="D563" s="25">
        <v>0</v>
      </c>
      <c r="E563" s="25">
        <v>0</v>
      </c>
      <c r="F563" s="17"/>
      <c r="G563" s="25"/>
    </row>
    <row r="564">
      <c r="A564" s="25">
        <v>551</v>
      </c>
      <c r="B564" s="25" t="s">
        <v>777</v>
      </c>
      <c r="C564" s="25" t="s">
        <v>2923</v>
      </c>
      <c r="D564" s="25">
        <v>0</v>
      </c>
      <c r="E564" s="25">
        <v>0</v>
      </c>
      <c r="F564" s="17"/>
      <c r="G564" s="25"/>
    </row>
    <row r="565">
      <c r="A565" s="25">
        <v>552</v>
      </c>
      <c r="B565" s="25" t="s">
        <v>782</v>
      </c>
      <c r="C565" s="25" t="s">
        <v>2924</v>
      </c>
      <c r="D565" s="25">
        <v>0</v>
      </c>
      <c r="E565" s="25">
        <v>0</v>
      </c>
      <c r="F565" s="17"/>
      <c r="G565" s="25"/>
    </row>
    <row r="566">
      <c r="A566" s="25">
        <v>553</v>
      </c>
      <c r="B566" s="25" t="s">
        <v>786</v>
      </c>
      <c r="C566" s="25" t="s">
        <v>2925</v>
      </c>
      <c r="D566" s="25">
        <v>0</v>
      </c>
      <c r="E566" s="25">
        <v>0</v>
      </c>
      <c r="F566" s="17"/>
      <c r="G566" s="25"/>
    </row>
    <row r="567">
      <c r="A567" s="25">
        <v>554</v>
      </c>
      <c r="B567" s="25" t="s">
        <v>2926</v>
      </c>
      <c r="C567" s="25" t="s">
        <v>2927</v>
      </c>
      <c r="D567" s="25">
        <v>0</v>
      </c>
      <c r="E567" s="25">
        <v>0</v>
      </c>
      <c r="F567" s="17"/>
      <c r="G567" s="25"/>
    </row>
    <row r="568">
      <c r="A568" s="25">
        <v>555</v>
      </c>
      <c r="B568" s="25" t="s">
        <v>2928</v>
      </c>
      <c r="C568" s="25" t="s">
        <v>2929</v>
      </c>
      <c r="D568" s="25">
        <v>0</v>
      </c>
      <c r="E568" s="25">
        <v>0</v>
      </c>
      <c r="F568" s="17"/>
      <c r="G568" s="25"/>
    </row>
    <row r="569">
      <c r="A569" s="25">
        <v>556</v>
      </c>
      <c r="B569" s="25" t="s">
        <v>2930</v>
      </c>
      <c r="C569" s="25" t="s">
        <v>2931</v>
      </c>
      <c r="D569" s="25">
        <v>0</v>
      </c>
      <c r="E569" s="25">
        <v>0</v>
      </c>
      <c r="F569" s="17"/>
      <c r="G569" s="25"/>
    </row>
    <row r="570">
      <c r="A570" s="25">
        <v>557</v>
      </c>
      <c r="B570" s="25" t="s">
        <v>2932</v>
      </c>
      <c r="C570" s="25" t="s">
        <v>2933</v>
      </c>
      <c r="D570" s="25">
        <v>0</v>
      </c>
      <c r="E570" s="25">
        <v>0</v>
      </c>
      <c r="F570" s="17"/>
      <c r="G570" s="25"/>
    </row>
    <row r="571">
      <c r="A571" s="25">
        <v>558</v>
      </c>
      <c r="B571" s="25" t="s">
        <v>2934</v>
      </c>
      <c r="C571" s="25" t="s">
        <v>2935</v>
      </c>
      <c r="D571" s="25">
        <v>0</v>
      </c>
      <c r="E571" s="25">
        <v>0</v>
      </c>
      <c r="F571" s="17"/>
      <c r="G571" s="25"/>
    </row>
    <row r="572">
      <c r="A572" s="25">
        <v>559</v>
      </c>
      <c r="B572" s="25" t="s">
        <v>2936</v>
      </c>
      <c r="C572" s="25" t="s">
        <v>2937</v>
      </c>
      <c r="D572" s="25">
        <v>0</v>
      </c>
      <c r="E572" s="25">
        <v>0</v>
      </c>
      <c r="F572" s="17"/>
      <c r="G572" s="25"/>
    </row>
    <row r="573">
      <c r="A573" s="25">
        <v>560</v>
      </c>
      <c r="B573" s="25" t="s">
        <v>2938</v>
      </c>
      <c r="C573" s="25" t="s">
        <v>2939</v>
      </c>
      <c r="D573" s="25">
        <v>0</v>
      </c>
      <c r="E573" s="25">
        <v>0</v>
      </c>
      <c r="F573" s="17"/>
      <c r="G573" s="25"/>
    </row>
    <row r="574">
      <c r="A574" s="25">
        <v>561</v>
      </c>
      <c r="B574" s="25" t="s">
        <v>2940</v>
      </c>
      <c r="C574" s="25" t="s">
        <v>2941</v>
      </c>
      <c r="D574" s="25">
        <v>0</v>
      </c>
      <c r="E574" s="25">
        <v>0</v>
      </c>
      <c r="F574" s="17"/>
      <c r="G574" s="25"/>
    </row>
    <row r="575">
      <c r="A575" s="25">
        <v>562</v>
      </c>
      <c r="B575" s="25" t="s">
        <v>2942</v>
      </c>
      <c r="C575" s="25" t="s">
        <v>2943</v>
      </c>
      <c r="D575" s="25">
        <v>0</v>
      </c>
      <c r="E575" s="25">
        <v>0</v>
      </c>
      <c r="F575" s="17"/>
      <c r="G575" s="25"/>
    </row>
    <row r="576">
      <c r="A576" s="25">
        <v>563</v>
      </c>
      <c r="B576" s="25" t="s">
        <v>2944</v>
      </c>
      <c r="C576" s="25" t="s">
        <v>2945</v>
      </c>
      <c r="D576" s="25">
        <v>0</v>
      </c>
      <c r="E576" s="25">
        <v>0</v>
      </c>
      <c r="F576" s="17"/>
      <c r="G576" s="25"/>
    </row>
    <row r="577">
      <c r="A577" s="25">
        <v>564</v>
      </c>
      <c r="B577" s="25" t="s">
        <v>2946</v>
      </c>
      <c r="C577" s="25" t="s">
        <v>2947</v>
      </c>
      <c r="D577" s="25">
        <v>0</v>
      </c>
      <c r="E577" s="25">
        <v>0</v>
      </c>
      <c r="F577" s="17"/>
      <c r="G577" s="25"/>
    </row>
    <row r="578">
      <c r="A578" s="25">
        <v>565</v>
      </c>
      <c r="B578" s="25" t="s">
        <v>2948</v>
      </c>
      <c r="C578" s="25" t="s">
        <v>2949</v>
      </c>
      <c r="D578" s="25">
        <v>0</v>
      </c>
      <c r="E578" s="25">
        <v>0</v>
      </c>
      <c r="F578" s="17"/>
      <c r="G578" s="25"/>
    </row>
    <row r="579">
      <c r="A579" s="25">
        <v>566</v>
      </c>
      <c r="B579" s="25" t="s">
        <v>2950</v>
      </c>
      <c r="C579" s="25" t="s">
        <v>2951</v>
      </c>
      <c r="D579" s="25">
        <v>0</v>
      </c>
      <c r="E579" s="25">
        <v>0</v>
      </c>
      <c r="F579" s="17"/>
      <c r="G579" s="25"/>
    </row>
    <row r="580">
      <c r="A580" s="25">
        <v>567</v>
      </c>
      <c r="B580" s="25" t="s">
        <v>2952</v>
      </c>
      <c r="C580" s="25" t="s">
        <v>2953</v>
      </c>
      <c r="D580" s="25">
        <v>0</v>
      </c>
      <c r="E580" s="25">
        <v>0</v>
      </c>
      <c r="F580" s="17"/>
      <c r="G580" s="25"/>
    </row>
    <row r="581">
      <c r="A581" s="25">
        <v>568</v>
      </c>
      <c r="B581" s="25" t="s">
        <v>2954</v>
      </c>
      <c r="C581" s="25" t="s">
        <v>2955</v>
      </c>
      <c r="D581" s="25">
        <v>0</v>
      </c>
      <c r="E581" s="25">
        <v>0</v>
      </c>
      <c r="F581" s="17"/>
      <c r="G581" s="25"/>
    </row>
    <row r="582">
      <c r="A582" s="25">
        <v>569</v>
      </c>
      <c r="B582" s="25" t="s">
        <v>2956</v>
      </c>
      <c r="C582" s="25" t="s">
        <v>2957</v>
      </c>
      <c r="D582" s="25">
        <v>0</v>
      </c>
      <c r="E582" s="25">
        <v>0</v>
      </c>
      <c r="F582" s="17"/>
      <c r="G582" s="25"/>
    </row>
    <row r="583">
      <c r="A583" s="25">
        <v>570</v>
      </c>
      <c r="B583" s="25" t="s">
        <v>883</v>
      </c>
      <c r="C583" s="25" t="s">
        <v>2958</v>
      </c>
      <c r="D583" s="25">
        <v>36</v>
      </c>
      <c r="E583" s="25">
        <v>36</v>
      </c>
      <c r="F583" s="17"/>
      <c r="G583" s="25"/>
    </row>
    <row r="584">
      <c r="A584" s="25">
        <v>571</v>
      </c>
      <c r="B584" s="25" t="s">
        <v>888</v>
      </c>
      <c r="C584" s="25" t="s">
        <v>2959</v>
      </c>
      <c r="D584" s="25">
        <v>0</v>
      </c>
      <c r="E584" s="25">
        <v>1</v>
      </c>
      <c r="F584" s="17"/>
      <c r="G584" s="25"/>
    </row>
    <row r="585">
      <c r="A585" s="25">
        <v>572</v>
      </c>
      <c r="B585" s="25" t="s">
        <v>889</v>
      </c>
      <c r="C585" s="25" t="s">
        <v>2960</v>
      </c>
      <c r="D585" s="25">
        <v>0</v>
      </c>
      <c r="E585" s="25">
        <v>18087.9</v>
      </c>
      <c r="F585" s="17"/>
      <c r="G585" s="25"/>
    </row>
    <row r="586">
      <c r="A586" s="25">
        <v>573</v>
      </c>
      <c r="B586" s="25" t="s">
        <v>891</v>
      </c>
      <c r="C586" s="25" t="s">
        <v>2961</v>
      </c>
      <c r="D586" s="25">
        <v>0</v>
      </c>
      <c r="E586" s="25">
        <v>0</v>
      </c>
      <c r="F586" s="17"/>
      <c r="G586" s="25"/>
    </row>
    <row r="587">
      <c r="A587" s="25">
        <v>574</v>
      </c>
      <c r="B587" s="25" t="s">
        <v>892</v>
      </c>
      <c r="C587" s="25" t="s">
        <v>2962</v>
      </c>
      <c r="D587" s="25">
        <v>0</v>
      </c>
      <c r="E587" s="25">
        <v>0</v>
      </c>
      <c r="F587" s="17"/>
      <c r="G587" s="25"/>
    </row>
    <row r="588">
      <c r="A588" s="25">
        <v>575</v>
      </c>
      <c r="B588" s="25" t="s">
        <v>893</v>
      </c>
      <c r="C588" s="25" t="s">
        <v>2963</v>
      </c>
      <c r="D588" s="25">
        <v>0</v>
      </c>
      <c r="E588" s="25">
        <v>18087.9</v>
      </c>
      <c r="F588" s="17"/>
      <c r="G588" s="25"/>
    </row>
    <row r="589">
      <c r="A589" s="25">
        <v>576</v>
      </c>
      <c r="B589" s="25" t="s">
        <v>894</v>
      </c>
      <c r="C589" s="25" t="s">
        <v>2964</v>
      </c>
      <c r="D589" s="25">
        <v>0</v>
      </c>
      <c r="E589" s="25">
        <v>16000</v>
      </c>
      <c r="F589" s="17"/>
      <c r="G589" s="25"/>
    </row>
    <row r="590">
      <c r="A590" s="25">
        <v>577</v>
      </c>
      <c r="B590" s="25" t="s">
        <v>895</v>
      </c>
      <c r="C590" s="25" t="s">
        <v>2965</v>
      </c>
      <c r="D590" s="25">
        <v>0</v>
      </c>
      <c r="E590" s="25">
        <v>2087.9</v>
      </c>
      <c r="F590" s="17"/>
      <c r="G590" s="25"/>
    </row>
    <row r="591">
      <c r="A591" s="25">
        <v>578</v>
      </c>
      <c r="B591" s="25" t="s">
        <v>898</v>
      </c>
      <c r="C591" s="25" t="s">
        <v>2966</v>
      </c>
      <c r="D591" s="25">
        <v>0</v>
      </c>
      <c r="E591" s="25">
        <v>0</v>
      </c>
      <c r="F591" s="17"/>
      <c r="G591" s="25"/>
    </row>
    <row r="592">
      <c r="A592" s="25">
        <v>579</v>
      </c>
      <c r="B592" s="25" t="s">
        <v>899</v>
      </c>
      <c r="C592" s="25" t="s">
        <v>2967</v>
      </c>
      <c r="D592" s="25">
        <v>0</v>
      </c>
      <c r="E592" s="25">
        <v>0</v>
      </c>
      <c r="F592" s="17"/>
      <c r="G592" s="25"/>
    </row>
    <row r="593">
      <c r="A593" s="25">
        <v>580</v>
      </c>
      <c r="B593" s="25" t="s">
        <v>901</v>
      </c>
      <c r="C593" s="25" t="s">
        <v>2968</v>
      </c>
      <c r="D593" s="25">
        <v>0</v>
      </c>
      <c r="E593" s="25">
        <v>0</v>
      </c>
      <c r="F593" s="17"/>
      <c r="G593" s="25"/>
    </row>
    <row r="594">
      <c r="A594" s="25">
        <v>581</v>
      </c>
      <c r="B594" s="25" t="s">
        <v>902</v>
      </c>
      <c r="C594" s="25" t="s">
        <v>2969</v>
      </c>
      <c r="D594" s="25">
        <v>0</v>
      </c>
      <c r="E594" s="25">
        <v>0</v>
      </c>
      <c r="F594" s="17"/>
      <c r="G594" s="25"/>
    </row>
    <row r="595">
      <c r="A595" s="25">
        <v>582</v>
      </c>
      <c r="B595" s="25" t="s">
        <v>903</v>
      </c>
      <c r="C595" s="25" t="s">
        <v>2970</v>
      </c>
      <c r="D595" s="25">
        <v>0</v>
      </c>
      <c r="E595" s="25">
        <v>0</v>
      </c>
      <c r="F595" s="17"/>
      <c r="G595" s="25"/>
    </row>
    <row r="596">
      <c r="A596" s="25">
        <v>583</v>
      </c>
      <c r="B596" s="25" t="s">
        <v>904</v>
      </c>
      <c r="C596" s="25" t="s">
        <v>2971</v>
      </c>
      <c r="D596" s="25">
        <v>0</v>
      </c>
      <c r="E596" s="25">
        <v>0</v>
      </c>
      <c r="F596" s="17"/>
      <c r="G596" s="25"/>
    </row>
    <row r="597">
      <c r="A597" s="25">
        <v>584</v>
      </c>
      <c r="B597" s="25" t="s">
        <v>905</v>
      </c>
      <c r="C597" s="25" t="s">
        <v>2972</v>
      </c>
      <c r="D597" s="25">
        <v>0</v>
      </c>
      <c r="E597" s="25">
        <v>0</v>
      </c>
      <c r="F597" s="17"/>
      <c r="G597" s="25"/>
    </row>
    <row r="598">
      <c r="A598" s="25">
        <v>585</v>
      </c>
      <c r="B598" s="25" t="s">
        <v>908</v>
      </c>
      <c r="C598" s="25" t="s">
        <v>2973</v>
      </c>
      <c r="D598" s="25">
        <v>0</v>
      </c>
      <c r="E598" s="25">
        <v>1</v>
      </c>
      <c r="F598" s="17"/>
      <c r="G598" s="25"/>
    </row>
    <row r="599">
      <c r="A599" s="25">
        <v>586</v>
      </c>
      <c r="B599" s="25" t="s">
        <v>909</v>
      </c>
      <c r="C599" s="25" t="s">
        <v>2974</v>
      </c>
      <c r="D599" s="25">
        <v>0</v>
      </c>
      <c r="E599" s="25">
        <v>18087.9</v>
      </c>
      <c r="F599" s="17"/>
      <c r="G599" s="25"/>
    </row>
    <row r="600">
      <c r="A600" s="25">
        <v>587</v>
      </c>
      <c r="B600" s="25" t="s">
        <v>911</v>
      </c>
      <c r="C600" s="25" t="s">
        <v>2975</v>
      </c>
      <c r="D600" s="25">
        <v>0</v>
      </c>
      <c r="E600" s="25">
        <v>0</v>
      </c>
      <c r="F600" s="17"/>
      <c r="G600" s="25"/>
    </row>
    <row r="601">
      <c r="A601" s="25">
        <v>588</v>
      </c>
      <c r="B601" s="25" t="s">
        <v>912</v>
      </c>
      <c r="C601" s="25" t="s">
        <v>2976</v>
      </c>
      <c r="D601" s="25">
        <v>0</v>
      </c>
      <c r="E601" s="25">
        <v>0</v>
      </c>
      <c r="F601" s="17"/>
      <c r="G601" s="25"/>
    </row>
    <row r="602">
      <c r="A602" s="25">
        <v>589</v>
      </c>
      <c r="B602" s="25" t="s">
        <v>913</v>
      </c>
      <c r="C602" s="25" t="s">
        <v>2977</v>
      </c>
      <c r="D602" s="25">
        <v>0</v>
      </c>
      <c r="E602" s="25">
        <v>18087.9</v>
      </c>
      <c r="F602" s="17"/>
      <c r="G602" s="25"/>
    </row>
    <row r="603">
      <c r="A603" s="25">
        <v>590</v>
      </c>
      <c r="B603" s="25" t="s">
        <v>914</v>
      </c>
      <c r="C603" s="25" t="s">
        <v>2978</v>
      </c>
      <c r="D603" s="25">
        <v>0</v>
      </c>
      <c r="E603" s="25">
        <v>16000</v>
      </c>
      <c r="F603" s="17"/>
      <c r="G603" s="25"/>
    </row>
    <row r="604">
      <c r="A604" s="25">
        <v>591</v>
      </c>
      <c r="B604" s="25" t="s">
        <v>915</v>
      </c>
      <c r="C604" s="25" t="s">
        <v>2979</v>
      </c>
      <c r="D604" s="25">
        <v>0</v>
      </c>
      <c r="E604" s="25">
        <v>2087.9</v>
      </c>
      <c r="F604" s="17"/>
      <c r="G604" s="25"/>
    </row>
    <row r="605">
      <c r="A605" s="25">
        <v>592</v>
      </c>
      <c r="B605" s="25" t="s">
        <v>919</v>
      </c>
      <c r="C605" s="25" t="s">
        <v>2980</v>
      </c>
      <c r="D605" s="25">
        <v>0</v>
      </c>
      <c r="E605" s="25">
        <v>0</v>
      </c>
      <c r="F605" s="17"/>
      <c r="G605" s="25"/>
    </row>
    <row r="606">
      <c r="A606" s="25">
        <v>593</v>
      </c>
      <c r="B606" s="25" t="s">
        <v>920</v>
      </c>
      <c r="C606" s="25" t="s">
        <v>2981</v>
      </c>
      <c r="D606" s="25">
        <v>0</v>
      </c>
      <c r="E606" s="25">
        <v>0</v>
      </c>
      <c r="F606" s="17"/>
      <c r="G606" s="25"/>
    </row>
    <row r="607">
      <c r="A607" s="25">
        <v>594</v>
      </c>
      <c r="B607" s="25" t="s">
        <v>922</v>
      </c>
      <c r="C607" s="25" t="s">
        <v>2982</v>
      </c>
      <c r="D607" s="25">
        <v>0</v>
      </c>
      <c r="E607" s="25">
        <v>0</v>
      </c>
      <c r="F607" s="17"/>
      <c r="G607" s="25"/>
    </row>
    <row r="608">
      <c r="A608" s="25">
        <v>595</v>
      </c>
      <c r="B608" s="25" t="s">
        <v>923</v>
      </c>
      <c r="C608" s="25" t="s">
        <v>2983</v>
      </c>
      <c r="D608" s="25">
        <v>0</v>
      </c>
      <c r="E608" s="25">
        <v>0</v>
      </c>
      <c r="F608" s="17"/>
      <c r="G608" s="25"/>
    </row>
    <row r="609">
      <c r="A609" s="25">
        <v>596</v>
      </c>
      <c r="B609" s="25" t="s">
        <v>924</v>
      </c>
      <c r="C609" s="25" t="s">
        <v>2984</v>
      </c>
      <c r="D609" s="25">
        <v>0</v>
      </c>
      <c r="E609" s="25">
        <v>0</v>
      </c>
      <c r="F609" s="17"/>
      <c r="G609" s="25"/>
    </row>
    <row r="610">
      <c r="A610" s="25">
        <v>597</v>
      </c>
      <c r="B610" s="25" t="s">
        <v>925</v>
      </c>
      <c r="C610" s="25" t="s">
        <v>2985</v>
      </c>
      <c r="D610" s="25">
        <v>0</v>
      </c>
      <c r="E610" s="25">
        <v>0</v>
      </c>
      <c r="F610" s="17"/>
      <c r="G610" s="25"/>
    </row>
    <row r="611">
      <c r="A611" s="25">
        <v>598</v>
      </c>
      <c r="B611" s="25" t="s">
        <v>926</v>
      </c>
      <c r="C611" s="25" t="s">
        <v>2986</v>
      </c>
      <c r="D611" s="25">
        <v>0</v>
      </c>
      <c r="E611" s="25">
        <v>0</v>
      </c>
      <c r="F611" s="17"/>
      <c r="G611" s="25"/>
    </row>
    <row r="612">
      <c r="A612" s="25">
        <v>599</v>
      </c>
      <c r="B612" s="25" t="s">
        <v>929</v>
      </c>
      <c r="C612" s="25" t="s">
        <v>2987</v>
      </c>
      <c r="D612" s="25">
        <v>0</v>
      </c>
      <c r="E612" s="25">
        <v>1</v>
      </c>
      <c r="F612" s="17"/>
      <c r="G612" s="25"/>
    </row>
    <row r="613">
      <c r="A613" s="25">
        <v>600</v>
      </c>
      <c r="B613" s="25" t="s">
        <v>930</v>
      </c>
      <c r="C613" s="25" t="s">
        <v>2988</v>
      </c>
      <c r="D613" s="25">
        <v>0</v>
      </c>
      <c r="E613" s="25">
        <v>18087.9</v>
      </c>
      <c r="F613" s="17"/>
      <c r="G613" s="25"/>
    </row>
    <row r="614">
      <c r="A614" s="25">
        <v>601</v>
      </c>
      <c r="B614" s="25" t="s">
        <v>932</v>
      </c>
      <c r="C614" s="25" t="s">
        <v>2989</v>
      </c>
      <c r="D614" s="25">
        <v>0</v>
      </c>
      <c r="E614" s="25">
        <v>0</v>
      </c>
      <c r="F614" s="17"/>
      <c r="G614" s="25"/>
    </row>
    <row r="615">
      <c r="A615" s="25">
        <v>602</v>
      </c>
      <c r="B615" s="25" t="s">
        <v>933</v>
      </c>
      <c r="C615" s="25" t="s">
        <v>2990</v>
      </c>
      <c r="D615" s="25">
        <v>0</v>
      </c>
      <c r="E615" s="25">
        <v>0</v>
      </c>
      <c r="F615" s="17"/>
      <c r="G615" s="25"/>
    </row>
    <row r="616">
      <c r="A616" s="25">
        <v>603</v>
      </c>
      <c r="B616" s="25" t="s">
        <v>934</v>
      </c>
      <c r="C616" s="25" t="s">
        <v>2991</v>
      </c>
      <c r="D616" s="25">
        <v>0</v>
      </c>
      <c r="E616" s="25">
        <v>18087.9</v>
      </c>
      <c r="F616" s="17"/>
      <c r="G616" s="25"/>
    </row>
    <row r="617">
      <c r="A617" s="25">
        <v>604</v>
      </c>
      <c r="B617" s="25" t="s">
        <v>935</v>
      </c>
      <c r="C617" s="25" t="s">
        <v>2992</v>
      </c>
      <c r="D617" s="25">
        <v>0</v>
      </c>
      <c r="E617" s="25">
        <v>16000</v>
      </c>
      <c r="F617" s="17"/>
      <c r="G617" s="25"/>
    </row>
    <row r="618">
      <c r="A618" s="25">
        <v>605</v>
      </c>
      <c r="B618" s="25" t="s">
        <v>936</v>
      </c>
      <c r="C618" s="25" t="s">
        <v>2993</v>
      </c>
      <c r="D618" s="25">
        <v>0</v>
      </c>
      <c r="E618" s="25">
        <v>2087.9</v>
      </c>
      <c r="F618" s="17"/>
      <c r="G618" s="25"/>
    </row>
    <row r="619">
      <c r="A619" s="25">
        <v>606</v>
      </c>
      <c r="B619" s="25" t="s">
        <v>938</v>
      </c>
      <c r="C619" s="25" t="s">
        <v>2856</v>
      </c>
      <c r="D619" s="25">
        <v>0</v>
      </c>
      <c r="E619" s="25">
        <v>0</v>
      </c>
      <c r="F619" s="17"/>
      <c r="G619" s="25"/>
    </row>
    <row r="620">
      <c r="A620" s="25">
        <v>607</v>
      </c>
      <c r="B620" s="25" t="s">
        <v>940</v>
      </c>
      <c r="C620" s="25" t="s">
        <v>2857</v>
      </c>
      <c r="D620" s="25">
        <v>0</v>
      </c>
      <c r="E620" s="25">
        <v>0</v>
      </c>
      <c r="F620" s="17"/>
      <c r="G620" s="25"/>
    </row>
    <row r="621">
      <c r="A621" s="25">
        <v>608</v>
      </c>
      <c r="B621" s="25" t="s">
        <v>942</v>
      </c>
      <c r="C621" s="25" t="s">
        <v>2858</v>
      </c>
      <c r="D621" s="25">
        <v>0</v>
      </c>
      <c r="E621" s="25">
        <v>0</v>
      </c>
      <c r="F621" s="17"/>
      <c r="G621" s="25"/>
    </row>
    <row r="622">
      <c r="A622" s="25">
        <v>609</v>
      </c>
      <c r="B622" s="25" t="s">
        <v>944</v>
      </c>
      <c r="C622" s="25" t="s">
        <v>2859</v>
      </c>
      <c r="D622" s="25">
        <v>0</v>
      </c>
      <c r="E622" s="25">
        <v>0</v>
      </c>
      <c r="F622" s="17"/>
      <c r="G622" s="25"/>
    </row>
    <row r="623">
      <c r="A623" s="25">
        <v>610</v>
      </c>
      <c r="B623" s="25" t="s">
        <v>946</v>
      </c>
      <c r="C623" s="25" t="s">
        <v>2860</v>
      </c>
      <c r="D623" s="25">
        <v>0</v>
      </c>
      <c r="E623" s="25">
        <v>0</v>
      </c>
      <c r="F623" s="17"/>
      <c r="G623" s="25"/>
    </row>
    <row r="624">
      <c r="A624" s="25">
        <v>611</v>
      </c>
      <c r="B624" s="25" t="s">
        <v>948</v>
      </c>
      <c r="C624" s="25" t="s">
        <v>2861</v>
      </c>
      <c r="D624" s="25">
        <v>0</v>
      </c>
      <c r="E624" s="25">
        <v>0</v>
      </c>
      <c r="F624" s="17"/>
      <c r="G624" s="25"/>
    </row>
    <row r="625">
      <c r="A625" s="25">
        <v>612</v>
      </c>
      <c r="B625" s="25" t="s">
        <v>950</v>
      </c>
      <c r="C625" s="25" t="s">
        <v>2862</v>
      </c>
      <c r="D625" s="25">
        <v>0</v>
      </c>
      <c r="E625" s="25">
        <v>0</v>
      </c>
      <c r="F625" s="17"/>
      <c r="G625" s="25"/>
    </row>
    <row r="626">
      <c r="A626" s="25">
        <v>613</v>
      </c>
      <c r="B626" s="25" t="s">
        <v>952</v>
      </c>
      <c r="C626" s="25" t="s">
        <v>2863</v>
      </c>
      <c r="D626" s="25">
        <v>0</v>
      </c>
      <c r="E626" s="25">
        <v>0</v>
      </c>
      <c r="F626" s="17"/>
      <c r="G626" s="25"/>
    </row>
    <row r="627">
      <c r="A627" s="25">
        <v>614</v>
      </c>
      <c r="B627" s="25" t="s">
        <v>954</v>
      </c>
      <c r="C627" s="25" t="s">
        <v>2864</v>
      </c>
      <c r="D627" s="25">
        <v>0</v>
      </c>
      <c r="E627" s="25">
        <v>0</v>
      </c>
      <c r="F627" s="17"/>
      <c r="G627" s="25"/>
    </row>
    <row r="628">
      <c r="A628" s="25">
        <v>615</v>
      </c>
      <c r="B628" s="25" t="s">
        <v>956</v>
      </c>
      <c r="C628" s="25" t="s">
        <v>2865</v>
      </c>
      <c r="D628" s="25">
        <v>0</v>
      </c>
      <c r="E628" s="25">
        <v>0</v>
      </c>
      <c r="F628" s="17"/>
      <c r="G628" s="25"/>
    </row>
    <row r="629">
      <c r="A629" s="25">
        <v>616</v>
      </c>
      <c r="B629" s="25" t="s">
        <v>958</v>
      </c>
      <c r="C629" s="25" t="s">
        <v>2866</v>
      </c>
      <c r="D629" s="25">
        <v>0</v>
      </c>
      <c r="E629" s="25">
        <v>2087.9</v>
      </c>
      <c r="F629" s="17"/>
      <c r="G629" s="25"/>
    </row>
    <row r="630">
      <c r="A630" s="25">
        <v>617</v>
      </c>
      <c r="B630" s="25" t="s">
        <v>960</v>
      </c>
      <c r="C630" s="25" t="s">
        <v>2867</v>
      </c>
      <c r="D630" s="25">
        <v>0</v>
      </c>
      <c r="E630" s="25">
        <v>0</v>
      </c>
      <c r="F630" s="17"/>
      <c r="G630" s="25"/>
    </row>
    <row r="631">
      <c r="A631" s="25">
        <v>618</v>
      </c>
      <c r="B631" s="25" t="s">
        <v>962</v>
      </c>
      <c r="C631" s="25" t="s">
        <v>2994</v>
      </c>
      <c r="D631" s="25">
        <v>0</v>
      </c>
      <c r="E631" s="25">
        <v>0</v>
      </c>
      <c r="F631" s="17"/>
      <c r="G631" s="25"/>
    </row>
    <row r="632">
      <c r="A632" s="25">
        <v>619</v>
      </c>
      <c r="B632" s="25" t="s">
        <v>964</v>
      </c>
      <c r="C632" s="25" t="s">
        <v>2869</v>
      </c>
      <c r="D632" s="25">
        <v>0</v>
      </c>
      <c r="E632" s="25">
        <v>0</v>
      </c>
      <c r="F632" s="17"/>
      <c r="G632" s="25"/>
    </row>
    <row r="633">
      <c r="A633" s="25">
        <v>620</v>
      </c>
      <c r="B633" s="25" t="s">
        <v>966</v>
      </c>
      <c r="C633" s="25" t="s">
        <v>2870</v>
      </c>
      <c r="D633" s="25">
        <v>0</v>
      </c>
      <c r="E633" s="25">
        <v>0</v>
      </c>
      <c r="F633" s="17"/>
      <c r="G633" s="25"/>
    </row>
    <row r="634">
      <c r="A634" s="25">
        <v>621</v>
      </c>
      <c r="B634" s="25" t="s">
        <v>968</v>
      </c>
      <c r="C634" s="25" t="s">
        <v>2871</v>
      </c>
      <c r="D634" s="25">
        <v>0</v>
      </c>
      <c r="E634" s="25">
        <v>2087.9</v>
      </c>
      <c r="F634" s="17"/>
      <c r="G634" s="25"/>
    </row>
    <row r="635">
      <c r="A635" s="25">
        <v>622</v>
      </c>
      <c r="B635" s="25" t="s">
        <v>970</v>
      </c>
      <c r="C635" s="25" t="s">
        <v>2872</v>
      </c>
      <c r="D635" s="25">
        <v>0</v>
      </c>
      <c r="E635" s="25">
        <v>0</v>
      </c>
      <c r="F635" s="17"/>
      <c r="G635" s="25"/>
    </row>
    <row r="636">
      <c r="A636" s="25">
        <v>623</v>
      </c>
      <c r="B636" s="25" t="s">
        <v>972</v>
      </c>
      <c r="C636" s="25" t="s">
        <v>2873</v>
      </c>
      <c r="D636" s="25">
        <v>0</v>
      </c>
      <c r="E636" s="25">
        <v>0</v>
      </c>
      <c r="F636" s="17"/>
      <c r="G636" s="25"/>
    </row>
    <row r="637">
      <c r="A637" s="25">
        <v>624</v>
      </c>
      <c r="B637" s="25" t="s">
        <v>974</v>
      </c>
      <c r="C637" s="25" t="s">
        <v>2874</v>
      </c>
      <c r="D637" s="25">
        <v>0</v>
      </c>
      <c r="E637" s="25">
        <v>0</v>
      </c>
      <c r="F637" s="17"/>
      <c r="G637" s="25"/>
    </row>
    <row r="638">
      <c r="A638" s="25">
        <v>625</v>
      </c>
      <c r="B638" s="25" t="s">
        <v>976</v>
      </c>
      <c r="C638" s="25" t="s">
        <v>2875</v>
      </c>
      <c r="D638" s="25">
        <v>0</v>
      </c>
      <c r="E638" s="25">
        <v>0</v>
      </c>
      <c r="F638" s="17"/>
      <c r="G638" s="25"/>
    </row>
    <row r="639">
      <c r="A639" s="25">
        <v>626</v>
      </c>
      <c r="B639" s="25" t="s">
        <v>978</v>
      </c>
      <c r="C639" s="25" t="s">
        <v>2876</v>
      </c>
      <c r="D639" s="25">
        <v>0</v>
      </c>
      <c r="E639" s="25">
        <v>0</v>
      </c>
      <c r="F639" s="17"/>
      <c r="G639" s="25"/>
    </row>
    <row r="640">
      <c r="A640" s="25">
        <v>627</v>
      </c>
      <c r="B640" s="25" t="s">
        <v>980</v>
      </c>
      <c r="C640" s="25" t="s">
        <v>2877</v>
      </c>
      <c r="D640" s="25">
        <v>0</v>
      </c>
      <c r="E640" s="25">
        <v>0</v>
      </c>
      <c r="F640" s="17"/>
      <c r="G640" s="25"/>
    </row>
    <row r="641">
      <c r="A641" s="25">
        <v>628</v>
      </c>
      <c r="B641" s="25" t="s">
        <v>982</v>
      </c>
      <c r="C641" s="25" t="s">
        <v>2878</v>
      </c>
      <c r="D641" s="25">
        <v>0</v>
      </c>
      <c r="E641" s="25">
        <v>0</v>
      </c>
      <c r="F641" s="17"/>
      <c r="G641" s="25"/>
    </row>
    <row r="642">
      <c r="A642" s="25">
        <v>629</v>
      </c>
      <c r="B642" s="25" t="s">
        <v>984</v>
      </c>
      <c r="C642" s="25" t="s">
        <v>2879</v>
      </c>
      <c r="D642" s="25">
        <v>0</v>
      </c>
      <c r="E642" s="25">
        <v>0</v>
      </c>
      <c r="F642" s="17"/>
      <c r="G642" s="25"/>
    </row>
    <row r="643">
      <c r="A643" s="25">
        <v>630</v>
      </c>
      <c r="B643" s="25" t="s">
        <v>987</v>
      </c>
      <c r="C643" s="25" t="s">
        <v>2995</v>
      </c>
      <c r="D643" s="25">
        <v>0</v>
      </c>
      <c r="E643" s="25">
        <v>2087.9</v>
      </c>
      <c r="F643" s="17"/>
      <c r="G643" s="25"/>
    </row>
    <row r="644">
      <c r="A644" s="25">
        <v>631</v>
      </c>
      <c r="B644" s="25" t="s">
        <v>990</v>
      </c>
      <c r="C644" s="25" t="s">
        <v>2996</v>
      </c>
      <c r="D644" s="25">
        <v>1</v>
      </c>
      <c r="E644" s="25">
        <v>1</v>
      </c>
      <c r="F644" s="17"/>
      <c r="G644" s="25"/>
    </row>
    <row r="645">
      <c r="A645" s="25">
        <v>632</v>
      </c>
      <c r="B645" s="25" t="s">
        <v>992</v>
      </c>
      <c r="C645" s="25" t="s">
        <v>2997</v>
      </c>
      <c r="D645" s="25">
        <v>0</v>
      </c>
      <c r="E645" s="25">
        <v>0</v>
      </c>
      <c r="F645" s="17"/>
      <c r="G645" s="25"/>
    </row>
    <row r="646">
      <c r="A646" s="25">
        <v>633</v>
      </c>
      <c r="B646" s="25" t="s">
        <v>994</v>
      </c>
      <c r="C646" s="25" t="s">
        <v>2914</v>
      </c>
      <c r="D646" s="25">
        <v>1</v>
      </c>
      <c r="E646" s="25">
        <v>1</v>
      </c>
      <c r="F646" s="17"/>
      <c r="G646" s="25"/>
    </row>
    <row r="647">
      <c r="A647" s="25">
        <v>634</v>
      </c>
      <c r="B647" s="25" t="s">
        <v>996</v>
      </c>
      <c r="C647" s="25" t="s">
        <v>2998</v>
      </c>
      <c r="D647" s="25">
        <v>0</v>
      </c>
      <c r="E647" s="25">
        <v>0</v>
      </c>
      <c r="F647" s="17"/>
      <c r="G647" s="25"/>
    </row>
    <row r="648">
      <c r="A648" s="25">
        <v>635</v>
      </c>
      <c r="B648" s="25" t="s">
        <v>999</v>
      </c>
      <c r="C648" s="25" t="s">
        <v>2999</v>
      </c>
      <c r="D648" s="25">
        <v>1</v>
      </c>
      <c r="E648" s="25">
        <v>1</v>
      </c>
      <c r="F648" s="17"/>
      <c r="G648" s="25"/>
    </row>
    <row r="649">
      <c r="A649" s="25">
        <v>636</v>
      </c>
      <c r="B649" s="25" t="s">
        <v>1004</v>
      </c>
      <c r="C649" s="25" t="s">
        <v>3000</v>
      </c>
      <c r="D649" s="25">
        <v>7598.32</v>
      </c>
      <c r="E649" s="25">
        <v>33586.06</v>
      </c>
      <c r="F649" s="17"/>
      <c r="G649" s="25"/>
    </row>
    <row r="650">
      <c r="A650" s="25">
        <v>637</v>
      </c>
      <c r="B650" s="25" t="s">
        <v>1005</v>
      </c>
      <c r="C650" s="25" t="s">
        <v>3001</v>
      </c>
      <c r="D650" s="25">
        <v>4600.26</v>
      </c>
      <c r="E650" s="25">
        <v>5279.7</v>
      </c>
      <c r="F650" s="17"/>
      <c r="G650" s="25"/>
    </row>
    <row r="651">
      <c r="A651" s="25">
        <v>638</v>
      </c>
      <c r="B651" s="25" t="s">
        <v>1006</v>
      </c>
      <c r="C651" s="25" t="s">
        <v>3002</v>
      </c>
      <c r="D651" s="25">
        <v>0</v>
      </c>
      <c r="E651" s="25">
        <v>0</v>
      </c>
      <c r="F651" s="17"/>
      <c r="G651" s="25"/>
    </row>
    <row r="652">
      <c r="A652" s="25">
        <v>639</v>
      </c>
      <c r="B652" s="25" t="s">
        <v>1007</v>
      </c>
      <c r="C652" s="25" t="s">
        <v>3003</v>
      </c>
      <c r="D652" s="25">
        <v>2998.06</v>
      </c>
      <c r="E652" s="25">
        <v>28306.36</v>
      </c>
      <c r="F652" s="17"/>
      <c r="G652" s="25"/>
    </row>
    <row r="653">
      <c r="A653" s="25">
        <v>640</v>
      </c>
      <c r="B653" s="25" t="s">
        <v>1008</v>
      </c>
      <c r="C653" s="25" t="s">
        <v>3004</v>
      </c>
      <c r="D653" s="25">
        <v>286.88</v>
      </c>
      <c r="E653" s="25">
        <v>12282.06</v>
      </c>
      <c r="F653" s="17"/>
      <c r="G653" s="25"/>
    </row>
    <row r="654">
      <c r="A654" s="25">
        <v>641</v>
      </c>
      <c r="B654" s="25" t="s">
        <v>1009</v>
      </c>
      <c r="C654" s="25" t="s">
        <v>3005</v>
      </c>
      <c r="D654" s="25">
        <v>2711.18</v>
      </c>
      <c r="E654" s="25">
        <v>16024.3</v>
      </c>
      <c r="F654" s="17"/>
      <c r="G654" s="25"/>
    </row>
    <row r="655">
      <c r="A655" s="25">
        <v>642</v>
      </c>
      <c r="B655" s="25" t="s">
        <v>1012</v>
      </c>
      <c r="C655" s="25" t="s">
        <v>3006</v>
      </c>
      <c r="D655" s="25">
        <v>0</v>
      </c>
      <c r="E655" s="25">
        <v>0</v>
      </c>
      <c r="F655" s="17"/>
      <c r="G655" s="25"/>
    </row>
    <row r="656">
      <c r="A656" s="25">
        <v>643</v>
      </c>
      <c r="B656" s="25" t="s">
        <v>1013</v>
      </c>
      <c r="C656" s="25" t="s">
        <v>3007</v>
      </c>
      <c r="D656" s="25">
        <v>0</v>
      </c>
      <c r="E656" s="25">
        <v>0</v>
      </c>
      <c r="F656" s="17"/>
      <c r="G656" s="25"/>
    </row>
    <row r="657">
      <c r="A657" s="25">
        <v>644</v>
      </c>
      <c r="B657" s="25" t="s">
        <v>1014</v>
      </c>
      <c r="C657" s="25" t="s">
        <v>3008</v>
      </c>
      <c r="D657" s="25">
        <v>0</v>
      </c>
      <c r="E657" s="25">
        <v>0</v>
      </c>
      <c r="F657" s="17"/>
      <c r="G657" s="25"/>
    </row>
    <row r="658">
      <c r="A658" s="25">
        <v>645</v>
      </c>
      <c r="B658" s="25" t="s">
        <v>1015</v>
      </c>
      <c r="C658" s="25" t="s">
        <v>3009</v>
      </c>
      <c r="D658" s="25">
        <v>0</v>
      </c>
      <c r="E658" s="25">
        <v>0</v>
      </c>
      <c r="F658" s="17"/>
      <c r="G658" s="25"/>
    </row>
    <row r="659">
      <c r="A659" s="25">
        <v>646</v>
      </c>
      <c r="B659" s="25" t="s">
        <v>1016</v>
      </c>
      <c r="C659" s="25" t="s">
        <v>3010</v>
      </c>
      <c r="D659" s="25">
        <v>0</v>
      </c>
      <c r="E659" s="25">
        <v>0</v>
      </c>
      <c r="F659" s="17"/>
      <c r="G659" s="25"/>
    </row>
    <row r="660">
      <c r="A660" s="25">
        <v>647</v>
      </c>
      <c r="B660" s="25" t="s">
        <v>1017</v>
      </c>
      <c r="C660" s="25" t="s">
        <v>3011</v>
      </c>
      <c r="D660" s="25">
        <v>0</v>
      </c>
      <c r="E660" s="25">
        <v>0</v>
      </c>
      <c r="F660" s="17"/>
      <c r="G660" s="25"/>
    </row>
    <row r="661">
      <c r="A661" s="25">
        <v>648</v>
      </c>
      <c r="B661" s="25" t="s">
        <v>1020</v>
      </c>
      <c r="C661" s="25" t="s">
        <v>3012</v>
      </c>
      <c r="D661" s="25">
        <v>9153.93</v>
      </c>
      <c r="E661" s="25">
        <v>51123.01</v>
      </c>
      <c r="F661" s="17"/>
      <c r="G661" s="25"/>
    </row>
    <row r="662">
      <c r="A662" s="25">
        <v>649</v>
      </c>
      <c r="B662" s="25" t="s">
        <v>1021</v>
      </c>
      <c r="C662" s="25" t="s">
        <v>3013</v>
      </c>
      <c r="D662" s="25">
        <v>16427.68</v>
      </c>
      <c r="E662" s="25">
        <v>16427.68</v>
      </c>
      <c r="F662" s="17"/>
      <c r="G662" s="25"/>
    </row>
    <row r="663">
      <c r="A663" s="25">
        <v>650</v>
      </c>
      <c r="B663" s="25" t="s">
        <v>1022</v>
      </c>
      <c r="C663" s="25" t="s">
        <v>3014</v>
      </c>
      <c r="D663" s="25">
        <v>0</v>
      </c>
      <c r="E663" s="25">
        <v>0</v>
      </c>
      <c r="F663" s="17"/>
      <c r="G663" s="25"/>
    </row>
    <row r="664">
      <c r="A664" s="25">
        <v>651</v>
      </c>
      <c r="B664" s="25" t="s">
        <v>1023</v>
      </c>
      <c r="C664" s="25" t="s">
        <v>3015</v>
      </c>
      <c r="D664" s="25">
        <v>-7273.75</v>
      </c>
      <c r="E664" s="25">
        <v>34695.33</v>
      </c>
      <c r="F664" s="17"/>
      <c r="G664" s="25"/>
    </row>
    <row r="665">
      <c r="A665" s="25">
        <v>652</v>
      </c>
      <c r="B665" s="25" t="s">
        <v>1024</v>
      </c>
      <c r="C665" s="25" t="s">
        <v>3016</v>
      </c>
      <c r="D665" s="25">
        <v>-6730.99</v>
      </c>
      <c r="E665" s="25">
        <v>19809.86</v>
      </c>
      <c r="F665" s="17"/>
      <c r="G665" s="25"/>
    </row>
    <row r="666">
      <c r="A666" s="25">
        <v>653</v>
      </c>
      <c r="B666" s="25" t="s">
        <v>1025</v>
      </c>
      <c r="C666" s="25" t="s">
        <v>3017</v>
      </c>
      <c r="D666" s="25">
        <v>-542.76</v>
      </c>
      <c r="E666" s="25">
        <v>14885.47</v>
      </c>
      <c r="F666" s="17"/>
      <c r="G666" s="25"/>
    </row>
    <row r="667">
      <c r="A667" s="25">
        <v>654</v>
      </c>
      <c r="B667" s="25" t="s">
        <v>1028</v>
      </c>
      <c r="C667" s="25" t="s">
        <v>3018</v>
      </c>
      <c r="D667" s="25">
        <v>12360.73</v>
      </c>
      <c r="E667" s="25">
        <v>30425.98</v>
      </c>
      <c r="F667" s="17"/>
      <c r="G667" s="25"/>
    </row>
    <row r="668">
      <c r="A668" s="25">
        <v>655</v>
      </c>
      <c r="B668" s="25" t="s">
        <v>1029</v>
      </c>
      <c r="C668" s="25" t="s">
        <v>3019</v>
      </c>
      <c r="D668" s="25">
        <v>1538.62</v>
      </c>
      <c r="E668" s="25">
        <v>1538.62</v>
      </c>
      <c r="F668" s="17"/>
      <c r="G668" s="25"/>
    </row>
    <row r="669">
      <c r="A669" s="25">
        <v>656</v>
      </c>
      <c r="B669" s="25" t="s">
        <v>1030</v>
      </c>
      <c r="C669" s="25" t="s">
        <v>3020</v>
      </c>
      <c r="D669" s="25">
        <v>0</v>
      </c>
      <c r="E669" s="25">
        <v>0</v>
      </c>
      <c r="F669" s="17"/>
      <c r="G669" s="25"/>
    </row>
    <row r="670">
      <c r="A670" s="25">
        <v>657</v>
      </c>
      <c r="B670" s="25" t="s">
        <v>1031</v>
      </c>
      <c r="C670" s="25" t="s">
        <v>3021</v>
      </c>
      <c r="D670" s="25">
        <v>10822.11</v>
      </c>
      <c r="E670" s="25">
        <v>28887.36</v>
      </c>
      <c r="F670" s="17"/>
      <c r="G670" s="25"/>
    </row>
    <row r="671">
      <c r="A671" s="25">
        <v>658</v>
      </c>
      <c r="B671" s="25" t="s">
        <v>1032</v>
      </c>
      <c r="C671" s="25" t="s">
        <v>3022</v>
      </c>
      <c r="D671" s="25">
        <v>6047.22</v>
      </c>
      <c r="E671" s="25">
        <v>16862.82</v>
      </c>
      <c r="F671" s="17"/>
      <c r="G671" s="25"/>
    </row>
    <row r="672">
      <c r="A672" s="25">
        <v>659</v>
      </c>
      <c r="B672" s="25" t="s">
        <v>1033</v>
      </c>
      <c r="C672" s="25" t="s">
        <v>3023</v>
      </c>
      <c r="D672" s="25">
        <v>4774.89</v>
      </c>
      <c r="E672" s="25">
        <v>12024.54</v>
      </c>
      <c r="F672" s="17"/>
      <c r="G672" s="25"/>
    </row>
    <row r="673">
      <c r="A673" s="25">
        <v>660</v>
      </c>
      <c r="B673" s="25" t="s">
        <v>1036</v>
      </c>
      <c r="C673" s="25" t="s">
        <v>3024</v>
      </c>
      <c r="D673" s="25">
        <v>29112.98</v>
      </c>
      <c r="E673" s="25">
        <v>115135.05</v>
      </c>
      <c r="F673" s="17"/>
      <c r="G673" s="25"/>
    </row>
    <row r="674">
      <c r="A674" s="25">
        <v>661</v>
      </c>
      <c r="B674" s="25" t="s">
        <v>1037</v>
      </c>
      <c r="C674" s="25" t="s">
        <v>3025</v>
      </c>
      <c r="D674" s="25">
        <v>22566.56</v>
      </c>
      <c r="E674" s="25">
        <v>23246</v>
      </c>
      <c r="F674" s="17"/>
      <c r="G674" s="25"/>
    </row>
    <row r="675">
      <c r="A675" s="25">
        <v>662</v>
      </c>
      <c r="B675" s="25" t="s">
        <v>1038</v>
      </c>
      <c r="C675" s="25" t="s">
        <v>3026</v>
      </c>
      <c r="D675" s="25">
        <v>0</v>
      </c>
      <c r="E675" s="25">
        <v>0</v>
      </c>
      <c r="F675" s="17"/>
      <c r="G675" s="25"/>
    </row>
    <row r="676">
      <c r="A676" s="25">
        <v>663</v>
      </c>
      <c r="B676" s="25" t="s">
        <v>1039</v>
      </c>
      <c r="C676" s="25" t="s">
        <v>3027</v>
      </c>
      <c r="D676" s="25">
        <v>6546.42</v>
      </c>
      <c r="E676" s="25">
        <v>91889.05</v>
      </c>
      <c r="F676" s="17"/>
      <c r="G676" s="25"/>
    </row>
    <row r="677">
      <c r="A677" s="25">
        <v>664</v>
      </c>
      <c r="B677" s="25" t="s">
        <v>1040</v>
      </c>
      <c r="C677" s="25" t="s">
        <v>3028</v>
      </c>
      <c r="D677" s="25">
        <v>-396.89</v>
      </c>
      <c r="E677" s="25">
        <v>48954.74</v>
      </c>
      <c r="F677" s="17"/>
      <c r="G677" s="25"/>
    </row>
    <row r="678">
      <c r="A678" s="25">
        <v>665</v>
      </c>
      <c r="B678" s="25" t="s">
        <v>1041</v>
      </c>
      <c r="C678" s="25" t="s">
        <v>3029</v>
      </c>
      <c r="D678" s="25">
        <v>6943.31</v>
      </c>
      <c r="E678" s="25">
        <v>42934.31</v>
      </c>
      <c r="F678" s="17"/>
      <c r="G678" s="25"/>
    </row>
    <row r="679">
      <c r="A679" s="25">
        <v>666</v>
      </c>
      <c r="B679" s="25" t="s">
        <v>1043</v>
      </c>
      <c r="C679" s="25" t="s">
        <v>3000</v>
      </c>
      <c r="D679" s="25">
        <v>4638.56</v>
      </c>
      <c r="E679" s="25">
        <v>7031.86</v>
      </c>
      <c r="F679" s="17"/>
      <c r="G679" s="25"/>
    </row>
    <row r="680">
      <c r="A680" s="25">
        <v>667</v>
      </c>
      <c r="B680" s="25" t="s">
        <v>1044</v>
      </c>
      <c r="C680" s="25" t="s">
        <v>3001</v>
      </c>
      <c r="D680" s="25">
        <v>0</v>
      </c>
      <c r="E680" s="25">
        <v>0</v>
      </c>
      <c r="F680" s="17"/>
      <c r="G680" s="25"/>
    </row>
    <row r="681">
      <c r="A681" s="25">
        <v>668</v>
      </c>
      <c r="B681" s="25" t="s">
        <v>1045</v>
      </c>
      <c r="C681" s="25" t="s">
        <v>3002</v>
      </c>
      <c r="D681" s="25">
        <v>0</v>
      </c>
      <c r="E681" s="25">
        <v>0</v>
      </c>
      <c r="F681" s="17"/>
      <c r="G681" s="25"/>
    </row>
    <row r="682">
      <c r="A682" s="25">
        <v>669</v>
      </c>
      <c r="B682" s="25" t="s">
        <v>1046</v>
      </c>
      <c r="C682" s="25" t="s">
        <v>3003</v>
      </c>
      <c r="D682" s="25">
        <v>4638.56</v>
      </c>
      <c r="E682" s="25">
        <v>7031.86</v>
      </c>
      <c r="F682" s="17"/>
      <c r="G682" s="25"/>
    </row>
    <row r="683">
      <c r="A683" s="25">
        <v>670</v>
      </c>
      <c r="B683" s="25" t="s">
        <v>1047</v>
      </c>
      <c r="C683" s="25" t="s">
        <v>3004</v>
      </c>
      <c r="D683" s="25">
        <v>3864.67</v>
      </c>
      <c r="E683" s="25">
        <v>5264.63</v>
      </c>
      <c r="F683" s="17"/>
      <c r="G683" s="25"/>
    </row>
    <row r="684">
      <c r="A684" s="25">
        <v>671</v>
      </c>
      <c r="B684" s="25" t="s">
        <v>1048</v>
      </c>
      <c r="C684" s="25" t="s">
        <v>3005</v>
      </c>
      <c r="D684" s="25">
        <v>773.89</v>
      </c>
      <c r="E684" s="25">
        <v>1767.23</v>
      </c>
      <c r="F684" s="17"/>
      <c r="G684" s="25"/>
    </row>
    <row r="685">
      <c r="A685" s="25">
        <v>672</v>
      </c>
      <c r="B685" s="25" t="s">
        <v>1050</v>
      </c>
      <c r="C685" s="25" t="s">
        <v>3006</v>
      </c>
      <c r="D685" s="25">
        <v>0</v>
      </c>
      <c r="E685" s="25">
        <v>0</v>
      </c>
      <c r="F685" s="17"/>
      <c r="G685" s="25"/>
    </row>
    <row r="686">
      <c r="A686" s="25">
        <v>673</v>
      </c>
      <c r="B686" s="25" t="s">
        <v>1051</v>
      </c>
      <c r="C686" s="25" t="s">
        <v>3007</v>
      </c>
      <c r="D686" s="25">
        <v>0</v>
      </c>
      <c r="E686" s="25">
        <v>0</v>
      </c>
      <c r="F686" s="17"/>
      <c r="G686" s="25"/>
    </row>
    <row r="687">
      <c r="A687" s="25">
        <v>674</v>
      </c>
      <c r="B687" s="25" t="s">
        <v>1052</v>
      </c>
      <c r="C687" s="25" t="s">
        <v>3008</v>
      </c>
      <c r="D687" s="25">
        <v>0</v>
      </c>
      <c r="E687" s="25">
        <v>0</v>
      </c>
      <c r="F687" s="17"/>
      <c r="G687" s="25"/>
    </row>
    <row r="688">
      <c r="A688" s="25">
        <v>675</v>
      </c>
      <c r="B688" s="25" t="s">
        <v>1053</v>
      </c>
      <c r="C688" s="25" t="s">
        <v>3009</v>
      </c>
      <c r="D688" s="25">
        <v>0</v>
      </c>
      <c r="E688" s="25">
        <v>0</v>
      </c>
      <c r="F688" s="17"/>
      <c r="G688" s="25"/>
    </row>
    <row r="689">
      <c r="A689" s="25">
        <v>676</v>
      </c>
      <c r="B689" s="25" t="s">
        <v>1054</v>
      </c>
      <c r="C689" s="25" t="s">
        <v>3010</v>
      </c>
      <c r="D689" s="25">
        <v>0</v>
      </c>
      <c r="E689" s="25">
        <v>0</v>
      </c>
      <c r="F689" s="17"/>
      <c r="G689" s="25"/>
    </row>
    <row r="690">
      <c r="A690" s="25">
        <v>677</v>
      </c>
      <c r="B690" s="25" t="s">
        <v>1055</v>
      </c>
      <c r="C690" s="25" t="s">
        <v>3011</v>
      </c>
      <c r="D690" s="25">
        <v>0</v>
      </c>
      <c r="E690" s="25">
        <v>0</v>
      </c>
      <c r="F690" s="17"/>
      <c r="G690" s="25"/>
    </row>
    <row r="691">
      <c r="A691" s="25">
        <v>678</v>
      </c>
      <c r="B691" s="25" t="s">
        <v>1057</v>
      </c>
      <c r="C691" s="25" t="s">
        <v>3012</v>
      </c>
      <c r="D691" s="25">
        <v>2805.45</v>
      </c>
      <c r="E691" s="25">
        <v>4110.05</v>
      </c>
      <c r="F691" s="17"/>
      <c r="G691" s="25"/>
    </row>
    <row r="692">
      <c r="A692" s="25">
        <v>679</v>
      </c>
      <c r="B692" s="25" t="s">
        <v>1058</v>
      </c>
      <c r="C692" s="25" t="s">
        <v>3013</v>
      </c>
      <c r="D692" s="25">
        <v>0</v>
      </c>
      <c r="E692" s="25">
        <v>0</v>
      </c>
      <c r="F692" s="17"/>
      <c r="G692" s="25"/>
    </row>
    <row r="693">
      <c r="A693" s="25">
        <v>680</v>
      </c>
      <c r="B693" s="25" t="s">
        <v>1059</v>
      </c>
      <c r="C693" s="25" t="s">
        <v>3014</v>
      </c>
      <c r="D693" s="25">
        <v>0</v>
      </c>
      <c r="E693" s="25">
        <v>0</v>
      </c>
      <c r="F693" s="17"/>
      <c r="G693" s="25"/>
    </row>
    <row r="694">
      <c r="A694" s="25">
        <v>681</v>
      </c>
      <c r="B694" s="25" t="s">
        <v>1060</v>
      </c>
      <c r="C694" s="25" t="s">
        <v>3015</v>
      </c>
      <c r="D694" s="25">
        <v>2805.45</v>
      </c>
      <c r="E694" s="25">
        <v>4110.05</v>
      </c>
      <c r="F694" s="17"/>
      <c r="G694" s="25"/>
    </row>
    <row r="695">
      <c r="A695" s="25">
        <v>682</v>
      </c>
      <c r="B695" s="25" t="s">
        <v>1061</v>
      </c>
      <c r="C695" s="25" t="s">
        <v>3016</v>
      </c>
      <c r="D695" s="25">
        <v>1766.7</v>
      </c>
      <c r="E695" s="25">
        <v>2592.25</v>
      </c>
      <c r="F695" s="17"/>
      <c r="G695" s="25"/>
    </row>
    <row r="696">
      <c r="A696" s="25">
        <v>683</v>
      </c>
      <c r="B696" s="25" t="s">
        <v>1062</v>
      </c>
      <c r="C696" s="25" t="s">
        <v>3017</v>
      </c>
      <c r="D696" s="25">
        <v>1038.75</v>
      </c>
      <c r="E696" s="25">
        <v>1517.8</v>
      </c>
      <c r="F696" s="17"/>
      <c r="G696" s="25"/>
    </row>
    <row r="697">
      <c r="A697" s="25">
        <v>684</v>
      </c>
      <c r="B697" s="25" t="s">
        <v>1064</v>
      </c>
      <c r="C697" s="25" t="s">
        <v>3018</v>
      </c>
      <c r="D697" s="25">
        <v>589.99</v>
      </c>
      <c r="E697" s="25">
        <v>839.72</v>
      </c>
      <c r="F697" s="17"/>
      <c r="G697" s="25"/>
    </row>
    <row r="698">
      <c r="A698" s="25">
        <v>685</v>
      </c>
      <c r="B698" s="25" t="s">
        <v>1065</v>
      </c>
      <c r="C698" s="25" t="s">
        <v>3019</v>
      </c>
      <c r="D698" s="25">
        <v>0</v>
      </c>
      <c r="E698" s="25">
        <v>0</v>
      </c>
      <c r="F698" s="17"/>
      <c r="G698" s="25"/>
    </row>
    <row r="699">
      <c r="A699" s="25">
        <v>686</v>
      </c>
      <c r="B699" s="25" t="s">
        <v>1066</v>
      </c>
      <c r="C699" s="25" t="s">
        <v>3020</v>
      </c>
      <c r="D699" s="25">
        <v>0</v>
      </c>
      <c r="E699" s="25">
        <v>0</v>
      </c>
      <c r="F699" s="17"/>
      <c r="G699" s="25"/>
    </row>
    <row r="700">
      <c r="A700" s="25">
        <v>687</v>
      </c>
      <c r="B700" s="25" t="s">
        <v>1067</v>
      </c>
      <c r="C700" s="25" t="s">
        <v>3021</v>
      </c>
      <c r="D700" s="25">
        <v>589.99</v>
      </c>
      <c r="E700" s="25">
        <v>839.72</v>
      </c>
      <c r="F700" s="17"/>
      <c r="G700" s="25"/>
    </row>
    <row r="701">
      <c r="A701" s="25">
        <v>688</v>
      </c>
      <c r="B701" s="25" t="s">
        <v>1068</v>
      </c>
      <c r="C701" s="25" t="s">
        <v>3022</v>
      </c>
      <c r="D701" s="25">
        <v>365.91</v>
      </c>
      <c r="E701" s="25">
        <v>530.01</v>
      </c>
      <c r="F701" s="17"/>
      <c r="G701" s="25"/>
    </row>
    <row r="702">
      <c r="A702" s="25">
        <v>689</v>
      </c>
      <c r="B702" s="25" t="s">
        <v>1069</v>
      </c>
      <c r="C702" s="25" t="s">
        <v>3023</v>
      </c>
      <c r="D702" s="25">
        <v>224.08</v>
      </c>
      <c r="E702" s="25">
        <v>309.71</v>
      </c>
      <c r="F702" s="17"/>
      <c r="G702" s="25"/>
    </row>
    <row r="703">
      <c r="A703" s="25">
        <v>690</v>
      </c>
      <c r="B703" s="25" t="s">
        <v>1072</v>
      </c>
      <c r="C703" s="25" t="s">
        <v>3030</v>
      </c>
      <c r="D703" s="25">
        <v>8034</v>
      </c>
      <c r="E703" s="25">
        <v>11981.63</v>
      </c>
      <c r="F703" s="17"/>
      <c r="G703" s="25"/>
    </row>
    <row r="704">
      <c r="A704" s="25">
        <v>691</v>
      </c>
      <c r="B704" s="25" t="s">
        <v>1073</v>
      </c>
      <c r="C704" s="25" t="s">
        <v>3031</v>
      </c>
      <c r="D704" s="25">
        <v>0</v>
      </c>
      <c r="E704" s="25">
        <v>0</v>
      </c>
      <c r="F704" s="17"/>
      <c r="G704" s="25"/>
    </row>
    <row r="705">
      <c r="A705" s="25">
        <v>692</v>
      </c>
      <c r="B705" s="25" t="s">
        <v>1074</v>
      </c>
      <c r="C705" s="25" t="s">
        <v>3032</v>
      </c>
      <c r="D705" s="25">
        <v>0</v>
      </c>
      <c r="E705" s="25">
        <v>0</v>
      </c>
      <c r="F705" s="17"/>
      <c r="G705" s="25"/>
    </row>
    <row r="706">
      <c r="A706" s="25">
        <v>693</v>
      </c>
      <c r="B706" s="25" t="s">
        <v>1075</v>
      </c>
      <c r="C706" s="25" t="s">
        <v>3033</v>
      </c>
      <c r="D706" s="25">
        <v>8034</v>
      </c>
      <c r="E706" s="25">
        <v>11981.63</v>
      </c>
      <c r="F706" s="17"/>
      <c r="G706" s="25"/>
    </row>
    <row r="707">
      <c r="A707" s="25">
        <v>694</v>
      </c>
      <c r="B707" s="25" t="s">
        <v>1076</v>
      </c>
      <c r="C707" s="25" t="s">
        <v>3034</v>
      </c>
      <c r="D707" s="25">
        <v>5997.28</v>
      </c>
      <c r="E707" s="25">
        <v>8386.89</v>
      </c>
      <c r="F707" s="17"/>
      <c r="G707" s="25"/>
    </row>
    <row r="708">
      <c r="A708" s="25">
        <v>695</v>
      </c>
      <c r="B708" s="25" t="s">
        <v>1077</v>
      </c>
      <c r="C708" s="25" t="s">
        <v>3035</v>
      </c>
      <c r="D708" s="25">
        <v>2036.72</v>
      </c>
      <c r="E708" s="25">
        <v>3594.74</v>
      </c>
      <c r="F708" s="17"/>
      <c r="G708" s="25"/>
    </row>
    <row r="709">
      <c r="A709" s="25">
        <v>696</v>
      </c>
      <c r="B709" s="25" t="s">
        <v>1079</v>
      </c>
      <c r="C709" s="25" t="s">
        <v>3000</v>
      </c>
      <c r="D709" s="25">
        <v>86909.85</v>
      </c>
      <c r="E709" s="25">
        <v>322041.31</v>
      </c>
      <c r="F709" s="17"/>
      <c r="G709" s="25"/>
    </row>
    <row r="710">
      <c r="A710" s="25">
        <v>697</v>
      </c>
      <c r="B710" s="25" t="s">
        <v>1080</v>
      </c>
      <c r="C710" s="25" t="s">
        <v>3001</v>
      </c>
      <c r="D710" s="25">
        <v>0</v>
      </c>
      <c r="E710" s="25">
        <v>0</v>
      </c>
      <c r="F710" s="17"/>
      <c r="G710" s="25"/>
    </row>
    <row r="711">
      <c r="A711" s="25">
        <v>698</v>
      </c>
      <c r="B711" s="25" t="s">
        <v>1081</v>
      </c>
      <c r="C711" s="25" t="s">
        <v>3002</v>
      </c>
      <c r="D711" s="25">
        <v>0</v>
      </c>
      <c r="E711" s="25">
        <v>0</v>
      </c>
      <c r="F711" s="17"/>
      <c r="G711" s="25"/>
    </row>
    <row r="712">
      <c r="A712" s="25">
        <v>699</v>
      </c>
      <c r="B712" s="25" t="s">
        <v>1082</v>
      </c>
      <c r="C712" s="25" t="s">
        <v>3003</v>
      </c>
      <c r="D712" s="25">
        <v>86909.85</v>
      </c>
      <c r="E712" s="25">
        <v>322041.31</v>
      </c>
      <c r="F712" s="17"/>
      <c r="G712" s="25"/>
    </row>
    <row r="713">
      <c r="A713" s="25">
        <v>700</v>
      </c>
      <c r="B713" s="25" t="s">
        <v>1083</v>
      </c>
      <c r="C713" s="25" t="s">
        <v>3004</v>
      </c>
      <c r="D713" s="25">
        <v>42499.73</v>
      </c>
      <c r="E713" s="25">
        <v>157103.15</v>
      </c>
      <c r="F713" s="17"/>
      <c r="G713" s="25"/>
    </row>
    <row r="714">
      <c r="A714" s="25">
        <v>701</v>
      </c>
      <c r="B714" s="25" t="s">
        <v>1084</v>
      </c>
      <c r="C714" s="25" t="s">
        <v>3005</v>
      </c>
      <c r="D714" s="25">
        <v>44410.12</v>
      </c>
      <c r="E714" s="25">
        <v>164938.16</v>
      </c>
      <c r="F714" s="17"/>
      <c r="G714" s="25"/>
    </row>
    <row r="715">
      <c r="A715" s="25">
        <v>702</v>
      </c>
      <c r="B715" s="25" t="s">
        <v>1086</v>
      </c>
      <c r="C715" s="25" t="s">
        <v>3006</v>
      </c>
      <c r="D715" s="25">
        <v>0</v>
      </c>
      <c r="E715" s="25">
        <v>0</v>
      </c>
      <c r="F715" s="17"/>
      <c r="G715" s="25"/>
    </row>
    <row r="716">
      <c r="A716" s="25">
        <v>703</v>
      </c>
      <c r="B716" s="25" t="s">
        <v>1087</v>
      </c>
      <c r="C716" s="25" t="s">
        <v>3007</v>
      </c>
      <c r="D716" s="25">
        <v>0</v>
      </c>
      <c r="E716" s="25">
        <v>0</v>
      </c>
      <c r="F716" s="17"/>
      <c r="G716" s="25"/>
    </row>
    <row r="717">
      <c r="A717" s="25">
        <v>704</v>
      </c>
      <c r="B717" s="25" t="s">
        <v>1088</v>
      </c>
      <c r="C717" s="25" t="s">
        <v>3008</v>
      </c>
      <c r="D717" s="25">
        <v>0</v>
      </c>
      <c r="E717" s="25">
        <v>0</v>
      </c>
      <c r="F717" s="17"/>
      <c r="G717" s="25"/>
    </row>
    <row r="718">
      <c r="A718" s="25">
        <v>705</v>
      </c>
      <c r="B718" s="25" t="s">
        <v>1089</v>
      </c>
      <c r="C718" s="25" t="s">
        <v>3009</v>
      </c>
      <c r="D718" s="25">
        <v>0</v>
      </c>
      <c r="E718" s="25">
        <v>0</v>
      </c>
      <c r="F718" s="17"/>
      <c r="G718" s="25"/>
    </row>
    <row r="719">
      <c r="A719" s="25">
        <v>706</v>
      </c>
      <c r="B719" s="25" t="s">
        <v>1090</v>
      </c>
      <c r="C719" s="25" t="s">
        <v>3010</v>
      </c>
      <c r="D719" s="25">
        <v>0</v>
      </c>
      <c r="E719" s="25">
        <v>0</v>
      </c>
      <c r="F719" s="17"/>
      <c r="G719" s="25"/>
    </row>
    <row r="720">
      <c r="A720" s="25">
        <v>707</v>
      </c>
      <c r="B720" s="25" t="s">
        <v>1091</v>
      </c>
      <c r="C720" s="25" t="s">
        <v>3011</v>
      </c>
      <c r="D720" s="25">
        <v>0</v>
      </c>
      <c r="E720" s="25">
        <v>0</v>
      </c>
      <c r="F720" s="17"/>
      <c r="G720" s="25"/>
    </row>
    <row r="721">
      <c r="A721" s="25">
        <v>708</v>
      </c>
      <c r="B721" s="25" t="s">
        <v>1093</v>
      </c>
      <c r="C721" s="25" t="s">
        <v>3012</v>
      </c>
      <c r="D721" s="25">
        <v>69557.76</v>
      </c>
      <c r="E721" s="25">
        <v>275286.81</v>
      </c>
      <c r="F721" s="17"/>
      <c r="G721" s="25"/>
    </row>
    <row r="722">
      <c r="A722" s="25">
        <v>709</v>
      </c>
      <c r="B722" s="25" t="s">
        <v>1094</v>
      </c>
      <c r="C722" s="25" t="s">
        <v>3013</v>
      </c>
      <c r="D722" s="25">
        <v>0</v>
      </c>
      <c r="E722" s="25">
        <v>0</v>
      </c>
      <c r="F722" s="17"/>
      <c r="G722" s="25"/>
    </row>
    <row r="723">
      <c r="A723" s="25">
        <v>710</v>
      </c>
      <c r="B723" s="25" t="s">
        <v>1095</v>
      </c>
      <c r="C723" s="25" t="s">
        <v>3014</v>
      </c>
      <c r="D723" s="25">
        <v>0</v>
      </c>
      <c r="E723" s="25">
        <v>0</v>
      </c>
      <c r="F723" s="17"/>
      <c r="G723" s="25"/>
    </row>
    <row r="724">
      <c r="A724" s="25">
        <v>711</v>
      </c>
      <c r="B724" s="25" t="s">
        <v>1096</v>
      </c>
      <c r="C724" s="25" t="s">
        <v>3015</v>
      </c>
      <c r="D724" s="25">
        <v>69557.76</v>
      </c>
      <c r="E724" s="25">
        <v>275286.81</v>
      </c>
      <c r="F724" s="17"/>
      <c r="G724" s="25"/>
    </row>
    <row r="725">
      <c r="A725" s="25">
        <v>712</v>
      </c>
      <c r="B725" s="25" t="s">
        <v>1097</v>
      </c>
      <c r="C725" s="25" t="s">
        <v>3016</v>
      </c>
      <c r="D725" s="25">
        <v>39226.36</v>
      </c>
      <c r="E725" s="25">
        <v>149052.87</v>
      </c>
      <c r="F725" s="17"/>
      <c r="G725" s="25"/>
    </row>
    <row r="726">
      <c r="A726" s="25">
        <v>713</v>
      </c>
      <c r="B726" s="25" t="s">
        <v>1098</v>
      </c>
      <c r="C726" s="25" t="s">
        <v>3017</v>
      </c>
      <c r="D726" s="25">
        <v>30331.4</v>
      </c>
      <c r="E726" s="25">
        <v>126233.94</v>
      </c>
      <c r="F726" s="17"/>
      <c r="G726" s="25"/>
    </row>
    <row r="727">
      <c r="A727" s="25">
        <v>714</v>
      </c>
      <c r="B727" s="25" t="s">
        <v>1100</v>
      </c>
      <c r="C727" s="25" t="s">
        <v>3018</v>
      </c>
      <c r="D727" s="25">
        <v>20929.13</v>
      </c>
      <c r="E727" s="25">
        <v>46602.03</v>
      </c>
      <c r="F727" s="17"/>
      <c r="G727" s="25"/>
    </row>
    <row r="728">
      <c r="A728" s="25">
        <v>715</v>
      </c>
      <c r="B728" s="25" t="s">
        <v>1101</v>
      </c>
      <c r="C728" s="25" t="s">
        <v>3019</v>
      </c>
      <c r="D728" s="25">
        <v>0</v>
      </c>
      <c r="E728" s="25">
        <v>0</v>
      </c>
      <c r="F728" s="17"/>
      <c r="G728" s="25"/>
    </row>
    <row r="729">
      <c r="A729" s="25">
        <v>716</v>
      </c>
      <c r="B729" s="25" t="s">
        <v>1102</v>
      </c>
      <c r="C729" s="25" t="s">
        <v>3020</v>
      </c>
      <c r="D729" s="25">
        <v>0</v>
      </c>
      <c r="E729" s="25">
        <v>0</v>
      </c>
      <c r="F729" s="17"/>
      <c r="G729" s="25"/>
    </row>
    <row r="730">
      <c r="A730" s="25">
        <v>717</v>
      </c>
      <c r="B730" s="25" t="s">
        <v>1103</v>
      </c>
      <c r="C730" s="25" t="s">
        <v>3021</v>
      </c>
      <c r="D730" s="25">
        <v>20929.13</v>
      </c>
      <c r="E730" s="25">
        <v>46602.03</v>
      </c>
      <c r="F730" s="17"/>
      <c r="G730" s="25"/>
    </row>
    <row r="731">
      <c r="A731" s="25">
        <v>718</v>
      </c>
      <c r="B731" s="25" t="s">
        <v>1104</v>
      </c>
      <c r="C731" s="25" t="s">
        <v>3022</v>
      </c>
      <c r="D731" s="25">
        <v>13481.08</v>
      </c>
      <c r="E731" s="25">
        <v>29847.97</v>
      </c>
      <c r="F731" s="17"/>
      <c r="G731" s="25"/>
    </row>
    <row r="732">
      <c r="A732" s="25">
        <v>719</v>
      </c>
      <c r="B732" s="25" t="s">
        <v>1105</v>
      </c>
      <c r="C732" s="25" t="s">
        <v>3023</v>
      </c>
      <c r="D732" s="25">
        <v>7448.05</v>
      </c>
      <c r="E732" s="25">
        <v>16754.06</v>
      </c>
      <c r="F732" s="17"/>
      <c r="G732" s="25"/>
    </row>
    <row r="733">
      <c r="A733" s="25">
        <v>720</v>
      </c>
      <c r="B733" s="25" t="s">
        <v>1108</v>
      </c>
      <c r="C733" s="25" t="s">
        <v>3036</v>
      </c>
      <c r="D733" s="25">
        <v>177396.74</v>
      </c>
      <c r="E733" s="25">
        <v>643930.15</v>
      </c>
      <c r="F733" s="17"/>
      <c r="G733" s="25"/>
    </row>
    <row r="734">
      <c r="A734" s="25">
        <v>721</v>
      </c>
      <c r="B734" s="25" t="s">
        <v>1109</v>
      </c>
      <c r="C734" s="25" t="s">
        <v>3037</v>
      </c>
      <c r="D734" s="25">
        <v>0</v>
      </c>
      <c r="E734" s="25">
        <v>0</v>
      </c>
      <c r="F734" s="17"/>
      <c r="G734" s="25"/>
    </row>
    <row r="735">
      <c r="A735" s="25">
        <v>722</v>
      </c>
      <c r="B735" s="25" t="s">
        <v>1110</v>
      </c>
      <c r="C735" s="25" t="s">
        <v>3038</v>
      </c>
      <c r="D735" s="25">
        <v>0</v>
      </c>
      <c r="E735" s="25">
        <v>0</v>
      </c>
      <c r="F735" s="17"/>
      <c r="G735" s="25"/>
    </row>
    <row r="736">
      <c r="A736" s="25">
        <v>723</v>
      </c>
      <c r="B736" s="25" t="s">
        <v>1111</v>
      </c>
      <c r="C736" s="25" t="s">
        <v>3039</v>
      </c>
      <c r="D736" s="25">
        <v>177396.74</v>
      </c>
      <c r="E736" s="25">
        <v>643930.15</v>
      </c>
      <c r="F736" s="17"/>
      <c r="G736" s="25"/>
    </row>
    <row r="737">
      <c r="A737" s="25">
        <v>724</v>
      </c>
      <c r="B737" s="25" t="s">
        <v>1112</v>
      </c>
      <c r="C737" s="25" t="s">
        <v>3040</v>
      </c>
      <c r="D737" s="25">
        <v>95207.17</v>
      </c>
      <c r="E737" s="25">
        <v>336003.99</v>
      </c>
      <c r="F737" s="17"/>
      <c r="G737" s="25"/>
    </row>
    <row r="738">
      <c r="A738" s="25">
        <v>725</v>
      </c>
      <c r="B738" s="25" t="s">
        <v>1113</v>
      </c>
      <c r="C738" s="25" t="s">
        <v>3041</v>
      </c>
      <c r="D738" s="25">
        <v>82189.57</v>
      </c>
      <c r="E738" s="25">
        <v>307926.16</v>
      </c>
      <c r="F738" s="17"/>
      <c r="G738" s="25"/>
    </row>
    <row r="739">
      <c r="A739" s="25">
        <v>726</v>
      </c>
      <c r="B739" s="25" t="s">
        <v>1124</v>
      </c>
      <c r="C739" s="25" t="s">
        <v>3042</v>
      </c>
      <c r="D739" s="25">
        <v>250341.03</v>
      </c>
      <c r="E739" s="25">
        <v>948806.92</v>
      </c>
      <c r="F739" s="17"/>
      <c r="G739" s="25"/>
    </row>
    <row r="740">
      <c r="A740" s="25">
        <v>727</v>
      </c>
      <c r="B740" s="25" t="s">
        <v>1125</v>
      </c>
      <c r="C740" s="25" t="s">
        <v>3043</v>
      </c>
      <c r="D740" s="25">
        <v>22566.56</v>
      </c>
      <c r="E740" s="25">
        <v>23246</v>
      </c>
      <c r="F740" s="17"/>
      <c r="G740" s="25"/>
    </row>
    <row r="741">
      <c r="A741" s="25">
        <v>728</v>
      </c>
      <c r="B741" s="25" t="s">
        <v>1126</v>
      </c>
      <c r="C741" s="25" t="s">
        <v>3044</v>
      </c>
      <c r="D741" s="25">
        <v>0</v>
      </c>
      <c r="E741" s="25">
        <v>0</v>
      </c>
      <c r="F741" s="17"/>
      <c r="G741" s="25"/>
    </row>
    <row r="742">
      <c r="A742" s="25">
        <v>729</v>
      </c>
      <c r="B742" s="25" t="s">
        <v>1127</v>
      </c>
      <c r="C742" s="25" t="s">
        <v>3045</v>
      </c>
      <c r="D742" s="25">
        <v>227774.47</v>
      </c>
      <c r="E742" s="25">
        <v>925560.92</v>
      </c>
      <c r="F742" s="17"/>
      <c r="G742" s="25"/>
    </row>
    <row r="743">
      <c r="A743" s="25">
        <v>730</v>
      </c>
      <c r="B743" s="25" t="s">
        <v>1128</v>
      </c>
      <c r="C743" s="25" t="s">
        <v>3046</v>
      </c>
      <c r="D743" s="25">
        <v>128133.33</v>
      </c>
      <c r="E743" s="25">
        <v>515533.99</v>
      </c>
      <c r="F743" s="17"/>
      <c r="G743" s="25"/>
    </row>
    <row r="744">
      <c r="A744" s="25">
        <v>731</v>
      </c>
      <c r="B744" s="25" t="s">
        <v>1129</v>
      </c>
      <c r="C744" s="25" t="s">
        <v>3047</v>
      </c>
      <c r="D744" s="25">
        <v>99641.14</v>
      </c>
      <c r="E744" s="25">
        <v>410026.93</v>
      </c>
      <c r="F744" s="17"/>
      <c r="G744" s="25"/>
    </row>
    <row r="745">
      <c r="A745" s="25">
        <v>732</v>
      </c>
      <c r="B745" s="25" t="s">
        <v>1131</v>
      </c>
      <c r="C745" s="25" t="s">
        <v>2856</v>
      </c>
      <c r="D745" s="25">
        <v>0</v>
      </c>
      <c r="E745" s="25">
        <v>0</v>
      </c>
      <c r="F745" s="17"/>
      <c r="G745" s="25"/>
    </row>
    <row r="746">
      <c r="A746" s="25">
        <v>733</v>
      </c>
      <c r="B746" s="25" t="s">
        <v>1133</v>
      </c>
      <c r="C746" s="25" t="s">
        <v>2857</v>
      </c>
      <c r="D746" s="25">
        <v>0</v>
      </c>
      <c r="E746" s="25">
        <v>0</v>
      </c>
      <c r="F746" s="17"/>
      <c r="G746" s="25"/>
    </row>
    <row r="747">
      <c r="A747" s="25">
        <v>734</v>
      </c>
      <c r="B747" s="25" t="s">
        <v>1135</v>
      </c>
      <c r="C747" s="25" t="s">
        <v>2858</v>
      </c>
      <c r="D747" s="25">
        <v>0</v>
      </c>
      <c r="E747" s="25">
        <v>0</v>
      </c>
      <c r="F747" s="17"/>
      <c r="G747" s="25"/>
    </row>
    <row r="748">
      <c r="A748" s="25">
        <v>735</v>
      </c>
      <c r="B748" s="25" t="s">
        <v>1137</v>
      </c>
      <c r="C748" s="25" t="s">
        <v>2859</v>
      </c>
      <c r="D748" s="25">
        <v>0</v>
      </c>
      <c r="E748" s="25">
        <v>0</v>
      </c>
      <c r="F748" s="17"/>
      <c r="G748" s="25"/>
    </row>
    <row r="749">
      <c r="A749" s="25">
        <v>736</v>
      </c>
      <c r="B749" s="25" t="s">
        <v>1139</v>
      </c>
      <c r="C749" s="25" t="s">
        <v>2860</v>
      </c>
      <c r="D749" s="25">
        <v>0</v>
      </c>
      <c r="E749" s="25">
        <v>0</v>
      </c>
      <c r="F749" s="17"/>
      <c r="G749" s="25"/>
    </row>
    <row r="750">
      <c r="A750" s="25">
        <v>737</v>
      </c>
      <c r="B750" s="25" t="s">
        <v>1141</v>
      </c>
      <c r="C750" s="25" t="s">
        <v>2861</v>
      </c>
      <c r="D750" s="25">
        <v>0</v>
      </c>
      <c r="E750" s="25">
        <v>0</v>
      </c>
      <c r="F750" s="17"/>
      <c r="G750" s="25"/>
    </row>
    <row r="751">
      <c r="A751" s="25">
        <v>738</v>
      </c>
      <c r="B751" s="25" t="s">
        <v>1144</v>
      </c>
      <c r="C751" s="25" t="s">
        <v>3048</v>
      </c>
      <c r="D751" s="25">
        <v>0</v>
      </c>
      <c r="E751" s="25">
        <v>0</v>
      </c>
      <c r="F751" s="17"/>
      <c r="G751" s="25"/>
    </row>
    <row r="752">
      <c r="A752" s="25">
        <v>739</v>
      </c>
      <c r="B752" s="25" t="s">
        <v>1146</v>
      </c>
      <c r="C752" s="25" t="s">
        <v>2863</v>
      </c>
      <c r="D752" s="25">
        <v>0</v>
      </c>
      <c r="E752" s="25">
        <v>0</v>
      </c>
      <c r="F752" s="17"/>
      <c r="G752" s="25"/>
    </row>
    <row r="753">
      <c r="A753" s="25">
        <v>740</v>
      </c>
      <c r="B753" s="25" t="s">
        <v>1148</v>
      </c>
      <c r="C753" s="25" t="s">
        <v>2864</v>
      </c>
      <c r="D753" s="25">
        <v>0</v>
      </c>
      <c r="E753" s="25">
        <v>0</v>
      </c>
      <c r="F753" s="17"/>
      <c r="G753" s="25"/>
    </row>
    <row r="754">
      <c r="A754" s="25">
        <v>741</v>
      </c>
      <c r="B754" s="25" t="s">
        <v>1150</v>
      </c>
      <c r="C754" s="25" t="s">
        <v>2865</v>
      </c>
      <c r="D754" s="25">
        <v>0</v>
      </c>
      <c r="E754" s="25">
        <v>0</v>
      </c>
      <c r="F754" s="17"/>
      <c r="G754" s="25"/>
    </row>
    <row r="755">
      <c r="A755" s="25">
        <v>742</v>
      </c>
      <c r="B755" s="25" t="s">
        <v>1152</v>
      </c>
      <c r="C755" s="25" t="s">
        <v>2866</v>
      </c>
      <c r="D755" s="25">
        <v>99641.14</v>
      </c>
      <c r="E755" s="25">
        <v>410026.93</v>
      </c>
      <c r="F755" s="17"/>
      <c r="G755" s="25"/>
    </row>
    <row r="756">
      <c r="A756" s="25">
        <v>743</v>
      </c>
      <c r="B756" s="25" t="s">
        <v>1154</v>
      </c>
      <c r="C756" s="25" t="s">
        <v>2867</v>
      </c>
      <c r="D756" s="25">
        <v>0</v>
      </c>
      <c r="E756" s="25">
        <v>0</v>
      </c>
      <c r="F756" s="17"/>
      <c r="G756" s="25"/>
    </row>
    <row r="757">
      <c r="A757" s="25">
        <v>744</v>
      </c>
      <c r="B757" s="25" t="s">
        <v>1156</v>
      </c>
      <c r="C757" s="25" t="s">
        <v>2868</v>
      </c>
      <c r="D757" s="25">
        <v>227.65</v>
      </c>
      <c r="E757" s="25">
        <v>924.67</v>
      </c>
      <c r="F757" s="17"/>
      <c r="G757" s="25"/>
    </row>
    <row r="758">
      <c r="A758" s="25">
        <v>745</v>
      </c>
      <c r="B758" s="25" t="s">
        <v>1158</v>
      </c>
      <c r="C758" s="25" t="s">
        <v>2869</v>
      </c>
      <c r="D758" s="25">
        <v>1634.39</v>
      </c>
      <c r="E758" s="25">
        <v>19504.61</v>
      </c>
      <c r="F758" s="17"/>
      <c r="G758" s="25"/>
    </row>
    <row r="759">
      <c r="A759" s="25">
        <v>746</v>
      </c>
      <c r="B759" s="25" t="s">
        <v>1160</v>
      </c>
      <c r="C759" s="25" t="s">
        <v>2870</v>
      </c>
      <c r="D759" s="25">
        <v>1862.04</v>
      </c>
      <c r="E759" s="25">
        <v>20429.28</v>
      </c>
      <c r="F759" s="17"/>
      <c r="G759" s="25"/>
    </row>
    <row r="760">
      <c r="A760" s="25">
        <v>747</v>
      </c>
      <c r="B760" s="25" t="s">
        <v>1162</v>
      </c>
      <c r="C760" s="25" t="s">
        <v>2871</v>
      </c>
      <c r="D760" s="25">
        <v>97779.1</v>
      </c>
      <c r="E760" s="25">
        <v>389597.65</v>
      </c>
      <c r="F760" s="17"/>
      <c r="G760" s="25"/>
    </row>
    <row r="761">
      <c r="A761" s="25">
        <v>748</v>
      </c>
      <c r="B761" s="25" t="s">
        <v>1164</v>
      </c>
      <c r="C761" s="25" t="s">
        <v>2872</v>
      </c>
      <c r="D761" s="25">
        <v>0</v>
      </c>
      <c r="E761" s="25">
        <v>0</v>
      </c>
      <c r="F761" s="17"/>
      <c r="G761" s="25"/>
    </row>
    <row r="762">
      <c r="A762" s="25">
        <v>749</v>
      </c>
      <c r="B762" s="25" t="s">
        <v>1166</v>
      </c>
      <c r="C762" s="25" t="s">
        <v>2873</v>
      </c>
      <c r="D762" s="25">
        <v>237.38</v>
      </c>
      <c r="E762" s="25">
        <v>703.05</v>
      </c>
      <c r="F762" s="17"/>
      <c r="G762" s="25"/>
    </row>
    <row r="763">
      <c r="A763" s="25">
        <v>750</v>
      </c>
      <c r="B763" s="25" t="s">
        <v>1168</v>
      </c>
      <c r="C763" s="25" t="s">
        <v>2874</v>
      </c>
      <c r="D763" s="25">
        <v>0</v>
      </c>
      <c r="E763" s="25">
        <v>0</v>
      </c>
      <c r="F763" s="17"/>
      <c r="G763" s="25"/>
    </row>
    <row r="764">
      <c r="A764" s="25">
        <v>751</v>
      </c>
      <c r="B764" s="25" t="s">
        <v>1170</v>
      </c>
      <c r="C764" s="25" t="s">
        <v>2875</v>
      </c>
      <c r="D764" s="25">
        <v>72.21</v>
      </c>
      <c r="E764" s="25">
        <v>239.85</v>
      </c>
      <c r="F764" s="17"/>
      <c r="G764" s="25"/>
    </row>
    <row r="765">
      <c r="A765" s="25">
        <v>752</v>
      </c>
      <c r="B765" s="25" t="s">
        <v>1173</v>
      </c>
      <c r="C765" s="25" t="s">
        <v>3049</v>
      </c>
      <c r="D765" s="25">
        <v>97613.93</v>
      </c>
      <c r="E765" s="25">
        <v>389134.45</v>
      </c>
      <c r="F765" s="17"/>
      <c r="G765" s="25"/>
    </row>
    <row r="766">
      <c r="A766" s="25">
        <v>753</v>
      </c>
      <c r="B766" s="25" t="s">
        <v>1177</v>
      </c>
      <c r="C766" s="25" t="s">
        <v>3050</v>
      </c>
      <c r="D766" s="25">
        <v>14650.94</v>
      </c>
      <c r="E766" s="25">
        <v>57417.69</v>
      </c>
      <c r="F766" s="17"/>
      <c r="G766" s="25"/>
    </row>
    <row r="767">
      <c r="A767" s="25">
        <v>754</v>
      </c>
      <c r="B767" s="25" t="s">
        <v>1178</v>
      </c>
      <c r="C767" s="25" t="s">
        <v>3051</v>
      </c>
      <c r="D767" s="25">
        <v>14650.94</v>
      </c>
      <c r="E767" s="25">
        <v>57417.69</v>
      </c>
      <c r="F767" s="17"/>
      <c r="G767" s="25"/>
    </row>
    <row r="768">
      <c r="A768" s="25">
        <v>755</v>
      </c>
      <c r="B768" s="25" t="s">
        <v>1179</v>
      </c>
      <c r="C768" s="25" t="s">
        <v>3052</v>
      </c>
      <c r="D768" s="25">
        <v>0</v>
      </c>
      <c r="E768" s="25">
        <v>0</v>
      </c>
      <c r="F768" s="17"/>
      <c r="G768" s="25"/>
    </row>
    <row r="769">
      <c r="A769" s="25">
        <v>756</v>
      </c>
      <c r="B769" s="25" t="s">
        <v>1180</v>
      </c>
      <c r="C769" s="25" t="s">
        <v>3053</v>
      </c>
      <c r="D769" s="25">
        <v>14650.94</v>
      </c>
      <c r="E769" s="25">
        <v>57417.69</v>
      </c>
      <c r="F769" s="17"/>
      <c r="G769" s="25"/>
    </row>
    <row r="770">
      <c r="A770" s="25">
        <v>757</v>
      </c>
      <c r="B770" s="25" t="s">
        <v>1183</v>
      </c>
      <c r="C770" s="25" t="s">
        <v>3054</v>
      </c>
      <c r="D770" s="25">
        <v>453.01</v>
      </c>
      <c r="E770" s="25">
        <v>3513.38</v>
      </c>
      <c r="F770" s="17"/>
      <c r="G770" s="25"/>
    </row>
    <row r="771">
      <c r="A771" s="25">
        <v>758</v>
      </c>
      <c r="B771" s="25" t="s">
        <v>1184</v>
      </c>
      <c r="C771" s="25" t="s">
        <v>3055</v>
      </c>
      <c r="D771" s="25">
        <v>453.01</v>
      </c>
      <c r="E771" s="25">
        <v>3513.38</v>
      </c>
      <c r="F771" s="17"/>
      <c r="G771" s="25"/>
    </row>
    <row r="772">
      <c r="A772" s="25">
        <v>759</v>
      </c>
      <c r="B772" s="25" t="s">
        <v>1185</v>
      </c>
      <c r="C772" s="25" t="s">
        <v>3056</v>
      </c>
      <c r="D772" s="25">
        <v>0</v>
      </c>
      <c r="E772" s="25">
        <v>0</v>
      </c>
      <c r="F772" s="17"/>
      <c r="G772" s="25"/>
    </row>
    <row r="773">
      <c r="A773" s="25">
        <v>760</v>
      </c>
      <c r="B773" s="25" t="s">
        <v>1186</v>
      </c>
      <c r="C773" s="25" t="s">
        <v>3057</v>
      </c>
      <c r="D773" s="25">
        <v>453.01</v>
      </c>
      <c r="E773" s="25">
        <v>3513.38</v>
      </c>
      <c r="F773" s="17"/>
      <c r="G773" s="25"/>
    </row>
    <row r="774">
      <c r="A774" s="25">
        <v>761</v>
      </c>
      <c r="B774" s="25" t="s">
        <v>1189</v>
      </c>
      <c r="C774" s="25" t="s">
        <v>3058</v>
      </c>
      <c r="D774" s="25">
        <v>32713</v>
      </c>
      <c r="E774" s="25">
        <v>119332.99</v>
      </c>
      <c r="F774" s="17"/>
      <c r="G774" s="25"/>
    </row>
    <row r="775">
      <c r="A775" s="25">
        <v>762</v>
      </c>
      <c r="B775" s="25" t="s">
        <v>1190</v>
      </c>
      <c r="C775" s="25" t="s">
        <v>3059</v>
      </c>
      <c r="D775" s="25">
        <v>32713</v>
      </c>
      <c r="E775" s="25">
        <v>119332.99</v>
      </c>
      <c r="F775" s="17"/>
      <c r="G775" s="25"/>
    </row>
    <row r="776">
      <c r="A776" s="25">
        <v>763</v>
      </c>
      <c r="B776" s="25" t="s">
        <v>1191</v>
      </c>
      <c r="C776" s="25" t="s">
        <v>3060</v>
      </c>
      <c r="D776" s="25">
        <v>0</v>
      </c>
      <c r="E776" s="25">
        <v>0</v>
      </c>
      <c r="F776" s="17"/>
      <c r="G776" s="25"/>
    </row>
    <row r="777">
      <c r="A777" s="25">
        <v>764</v>
      </c>
      <c r="B777" s="25" t="s">
        <v>1192</v>
      </c>
      <c r="C777" s="25" t="s">
        <v>3061</v>
      </c>
      <c r="D777" s="25">
        <v>32713</v>
      </c>
      <c r="E777" s="25">
        <v>119332.99</v>
      </c>
      <c r="F777" s="17"/>
      <c r="G777" s="25"/>
    </row>
    <row r="778">
      <c r="A778" s="25">
        <v>765</v>
      </c>
      <c r="B778" s="25" t="s">
        <v>1200</v>
      </c>
      <c r="C778" s="25" t="s">
        <v>3062</v>
      </c>
      <c r="D778" s="25">
        <v>47816.95</v>
      </c>
      <c r="E778" s="25">
        <v>181179.05</v>
      </c>
      <c r="F778" s="17"/>
      <c r="G778" s="25"/>
    </row>
    <row r="779">
      <c r="A779" s="25">
        <v>766</v>
      </c>
      <c r="B779" s="25" t="s">
        <v>1201</v>
      </c>
      <c r="C779" s="25" t="s">
        <v>3063</v>
      </c>
      <c r="D779" s="25">
        <v>47816.95</v>
      </c>
      <c r="E779" s="25">
        <v>181179.05</v>
      </c>
      <c r="F779" s="17"/>
      <c r="G779" s="25"/>
    </row>
    <row r="780">
      <c r="A780" s="25">
        <v>767</v>
      </c>
      <c r="B780" s="25" t="s">
        <v>1202</v>
      </c>
      <c r="C780" s="25" t="s">
        <v>3064</v>
      </c>
      <c r="D780" s="25">
        <v>0</v>
      </c>
      <c r="E780" s="25">
        <v>0</v>
      </c>
      <c r="F780" s="17"/>
      <c r="G780" s="25"/>
    </row>
    <row r="781">
      <c r="A781" s="25">
        <v>768</v>
      </c>
      <c r="B781" s="25" t="s">
        <v>1203</v>
      </c>
      <c r="C781" s="25" t="s">
        <v>3065</v>
      </c>
      <c r="D781" s="25">
        <v>47816.95</v>
      </c>
      <c r="E781" s="25">
        <v>181179.05</v>
      </c>
      <c r="F781" s="17"/>
      <c r="G781" s="25"/>
    </row>
    <row r="782">
      <c r="A782" s="25">
        <v>769</v>
      </c>
      <c r="B782" s="25" t="s">
        <v>1205</v>
      </c>
      <c r="C782" s="25" t="s">
        <v>2856</v>
      </c>
      <c r="D782" s="25">
        <v>0</v>
      </c>
      <c r="E782" s="25">
        <v>0</v>
      </c>
      <c r="F782" s="17"/>
      <c r="G782" s="25"/>
    </row>
    <row r="783">
      <c r="A783" s="25">
        <v>770</v>
      </c>
      <c r="B783" s="25" t="s">
        <v>1207</v>
      </c>
      <c r="C783" s="25" t="s">
        <v>2857</v>
      </c>
      <c r="D783" s="25">
        <v>0</v>
      </c>
      <c r="E783" s="25">
        <v>0</v>
      </c>
      <c r="F783" s="17"/>
      <c r="G783" s="25"/>
    </row>
    <row r="784">
      <c r="A784" s="25">
        <v>771</v>
      </c>
      <c r="B784" s="25" t="s">
        <v>1209</v>
      </c>
      <c r="C784" s="25" t="s">
        <v>2858</v>
      </c>
      <c r="D784" s="25">
        <v>0</v>
      </c>
      <c r="E784" s="25">
        <v>0</v>
      </c>
      <c r="F784" s="17"/>
      <c r="G784" s="25"/>
    </row>
    <row r="785">
      <c r="A785" s="25">
        <v>772</v>
      </c>
      <c r="B785" s="25" t="s">
        <v>1211</v>
      </c>
      <c r="C785" s="25" t="s">
        <v>2859</v>
      </c>
      <c r="D785" s="25">
        <v>0</v>
      </c>
      <c r="E785" s="25">
        <v>0</v>
      </c>
      <c r="F785" s="17"/>
      <c r="G785" s="25"/>
    </row>
    <row r="786">
      <c r="A786" s="25">
        <v>773</v>
      </c>
      <c r="B786" s="25" t="s">
        <v>1213</v>
      </c>
      <c r="C786" s="25" t="s">
        <v>2860</v>
      </c>
      <c r="D786" s="25">
        <v>0</v>
      </c>
      <c r="E786" s="25">
        <v>9953.87</v>
      </c>
      <c r="F786" s="17"/>
      <c r="G786" s="25"/>
    </row>
    <row r="787">
      <c r="A787" s="25">
        <v>774</v>
      </c>
      <c r="B787" s="25" t="s">
        <v>1215</v>
      </c>
      <c r="C787" s="25" t="s">
        <v>2861</v>
      </c>
      <c r="D787" s="25">
        <v>0</v>
      </c>
      <c r="E787" s="25">
        <v>9953.87</v>
      </c>
      <c r="F787" s="17"/>
      <c r="G787" s="25"/>
    </row>
    <row r="788">
      <c r="A788" s="25">
        <v>775</v>
      </c>
      <c r="B788" s="25" t="s">
        <v>1218</v>
      </c>
      <c r="C788" s="25" t="s">
        <v>3066</v>
      </c>
      <c r="D788" s="25">
        <v>0</v>
      </c>
      <c r="E788" s="25">
        <v>0</v>
      </c>
      <c r="F788" s="17"/>
      <c r="G788" s="25"/>
    </row>
    <row r="789">
      <c r="A789" s="25">
        <v>776</v>
      </c>
      <c r="B789" s="25" t="s">
        <v>1220</v>
      </c>
      <c r="C789" s="25" t="s">
        <v>2863</v>
      </c>
      <c r="D789" s="25">
        <v>0</v>
      </c>
      <c r="E789" s="25">
        <v>0</v>
      </c>
      <c r="F789" s="17"/>
      <c r="G789" s="25"/>
    </row>
    <row r="790">
      <c r="A790" s="25">
        <v>777</v>
      </c>
      <c r="B790" s="25" t="s">
        <v>1222</v>
      </c>
      <c r="C790" s="25" t="s">
        <v>2864</v>
      </c>
      <c r="D790" s="25">
        <v>42.9</v>
      </c>
      <c r="E790" s="25">
        <v>42.9</v>
      </c>
      <c r="F790" s="17"/>
      <c r="G790" s="25"/>
    </row>
    <row r="791">
      <c r="A791" s="25">
        <v>778</v>
      </c>
      <c r="B791" s="25" t="s">
        <v>1224</v>
      </c>
      <c r="C791" s="25" t="s">
        <v>2865</v>
      </c>
      <c r="D791" s="25">
        <v>42.9</v>
      </c>
      <c r="E791" s="25">
        <v>42.9</v>
      </c>
      <c r="F791" s="17"/>
      <c r="G791" s="25"/>
    </row>
    <row r="792">
      <c r="A792" s="25">
        <v>779</v>
      </c>
      <c r="B792" s="25" t="s">
        <v>1226</v>
      </c>
      <c r="C792" s="25" t="s">
        <v>2866</v>
      </c>
      <c r="D792" s="25">
        <v>47774.05</v>
      </c>
      <c r="E792" s="25">
        <v>191090.02</v>
      </c>
      <c r="F792" s="17"/>
      <c r="G792" s="25"/>
    </row>
    <row r="793">
      <c r="A793" s="25">
        <v>780</v>
      </c>
      <c r="B793" s="25" t="s">
        <v>1228</v>
      </c>
      <c r="C793" s="25" t="s">
        <v>2867</v>
      </c>
      <c r="D793" s="25">
        <v>0</v>
      </c>
      <c r="E793" s="25">
        <v>526.01</v>
      </c>
      <c r="F793" s="17"/>
      <c r="G793" s="25"/>
    </row>
    <row r="794">
      <c r="A794" s="25">
        <v>781</v>
      </c>
      <c r="B794" s="25" t="s">
        <v>1230</v>
      </c>
      <c r="C794" s="25" t="s">
        <v>3067</v>
      </c>
      <c r="D794" s="25">
        <v>864.65</v>
      </c>
      <c r="E794" s="25">
        <v>3553.93</v>
      </c>
      <c r="F794" s="17"/>
      <c r="G794" s="25"/>
    </row>
    <row r="795">
      <c r="A795" s="25">
        <v>782</v>
      </c>
      <c r="B795" s="25" t="s">
        <v>1232</v>
      </c>
      <c r="C795" s="25" t="s">
        <v>2869</v>
      </c>
      <c r="D795" s="25">
        <v>524.88</v>
      </c>
      <c r="E795" s="25">
        <v>20416.73</v>
      </c>
      <c r="F795" s="17"/>
      <c r="G795" s="25"/>
    </row>
    <row r="796">
      <c r="A796" s="25">
        <v>783</v>
      </c>
      <c r="B796" s="25" t="s">
        <v>1234</v>
      </c>
      <c r="C796" s="25" t="s">
        <v>2870</v>
      </c>
      <c r="D796" s="25">
        <v>1389.53</v>
      </c>
      <c r="E796" s="25">
        <v>24496.67</v>
      </c>
      <c r="F796" s="17"/>
      <c r="G796" s="25"/>
    </row>
    <row r="797">
      <c r="A797" s="25">
        <v>784</v>
      </c>
      <c r="B797" s="25" t="s">
        <v>1236</v>
      </c>
      <c r="C797" s="25" t="s">
        <v>2871</v>
      </c>
      <c r="D797" s="25">
        <v>46384.52</v>
      </c>
      <c r="E797" s="25">
        <v>166593.35</v>
      </c>
      <c r="F797" s="17"/>
      <c r="G797" s="25"/>
    </row>
    <row r="798">
      <c r="A798" s="25">
        <v>785</v>
      </c>
      <c r="B798" s="25" t="s">
        <v>1238</v>
      </c>
      <c r="C798" s="25" t="s">
        <v>2872</v>
      </c>
      <c r="D798" s="25">
        <v>0</v>
      </c>
      <c r="E798" s="25">
        <v>0</v>
      </c>
      <c r="F798" s="17"/>
      <c r="G798" s="25"/>
    </row>
    <row r="799">
      <c r="A799" s="25">
        <v>786</v>
      </c>
      <c r="B799" s="25" t="s">
        <v>1240</v>
      </c>
      <c r="C799" s="25" t="s">
        <v>2873</v>
      </c>
      <c r="D799" s="25">
        <v>4.91</v>
      </c>
      <c r="E799" s="25">
        <v>1369.68</v>
      </c>
      <c r="F799" s="17"/>
      <c r="G799" s="25"/>
    </row>
    <row r="800">
      <c r="A800" s="25">
        <v>787</v>
      </c>
      <c r="B800" s="25" t="s">
        <v>1242</v>
      </c>
      <c r="C800" s="25" t="s">
        <v>2874</v>
      </c>
      <c r="D800" s="25">
        <v>0</v>
      </c>
      <c r="E800" s="25">
        <v>0</v>
      </c>
      <c r="F800" s="17"/>
      <c r="G800" s="25"/>
    </row>
    <row r="801">
      <c r="A801" s="25">
        <v>788</v>
      </c>
      <c r="B801" s="25" t="s">
        <v>1244</v>
      </c>
      <c r="C801" s="25" t="s">
        <v>2875</v>
      </c>
      <c r="D801" s="25">
        <v>461.14</v>
      </c>
      <c r="E801" s="25">
        <v>504.41</v>
      </c>
      <c r="F801" s="17"/>
      <c r="G801" s="25"/>
    </row>
    <row r="802">
      <c r="A802" s="25">
        <v>789</v>
      </c>
      <c r="B802" s="25" t="s">
        <v>1247</v>
      </c>
      <c r="C802" s="25" t="s">
        <v>3068</v>
      </c>
      <c r="D802" s="25">
        <v>46840.75</v>
      </c>
      <c r="E802" s="25">
        <v>165728.08</v>
      </c>
      <c r="F802" s="17"/>
      <c r="G802" s="25"/>
    </row>
    <row r="803">
      <c r="A803" s="25">
        <v>790</v>
      </c>
      <c r="B803" s="25" t="s">
        <v>1252</v>
      </c>
      <c r="C803" s="25" t="s">
        <v>3069</v>
      </c>
      <c r="D803" s="25">
        <v>76447.03</v>
      </c>
      <c r="E803" s="25">
        <v>312630.1</v>
      </c>
      <c r="F803" s="17"/>
      <c r="G803" s="25"/>
    </row>
    <row r="804">
      <c r="A804" s="25">
        <v>791</v>
      </c>
      <c r="B804" s="25" t="s">
        <v>1255</v>
      </c>
      <c r="C804" s="25" t="s">
        <v>3070</v>
      </c>
      <c r="D804" s="25">
        <v>0</v>
      </c>
      <c r="E804" s="25">
        <v>0</v>
      </c>
      <c r="F804" s="17"/>
      <c r="G804" s="25"/>
    </row>
    <row r="805">
      <c r="A805" s="25">
        <v>792</v>
      </c>
      <c r="B805" s="25" t="s">
        <v>1258</v>
      </c>
      <c r="C805" s="25" t="s">
        <v>3071</v>
      </c>
      <c r="D805" s="25">
        <v>0</v>
      </c>
      <c r="E805" s="25">
        <v>0</v>
      </c>
      <c r="F805" s="17"/>
      <c r="G805" s="25"/>
    </row>
    <row r="806">
      <c r="A806" s="25">
        <v>793</v>
      </c>
      <c r="B806" s="25" t="s">
        <v>1261</v>
      </c>
      <c r="C806" s="25" t="s">
        <v>3072</v>
      </c>
      <c r="D806" s="25">
        <v>0</v>
      </c>
      <c r="E806" s="25">
        <v>0</v>
      </c>
      <c r="F806" s="17"/>
      <c r="G806" s="25"/>
    </row>
    <row r="807">
      <c r="A807" s="25">
        <v>794</v>
      </c>
      <c r="B807" s="25" t="s">
        <v>1264</v>
      </c>
      <c r="C807" s="25" t="s">
        <v>3073</v>
      </c>
      <c r="D807" s="25">
        <v>0</v>
      </c>
      <c r="E807" s="25">
        <v>0</v>
      </c>
      <c r="F807" s="17"/>
      <c r="G807" s="25"/>
    </row>
    <row r="808">
      <c r="A808" s="25">
        <v>795</v>
      </c>
      <c r="B808" s="25" t="s">
        <v>1267</v>
      </c>
      <c r="C808" s="25" t="s">
        <v>3074</v>
      </c>
      <c r="D808" s="25">
        <v>0</v>
      </c>
      <c r="E808" s="25">
        <v>0</v>
      </c>
      <c r="F808" s="17"/>
      <c r="G808" s="25"/>
    </row>
    <row r="809">
      <c r="A809" s="25">
        <v>796</v>
      </c>
      <c r="B809" s="25" t="s">
        <v>1270</v>
      </c>
      <c r="C809" s="25" t="s">
        <v>3075</v>
      </c>
      <c r="D809" s="25">
        <v>76447.03</v>
      </c>
      <c r="E809" s="25">
        <v>312630.1</v>
      </c>
      <c r="F809" s="17"/>
      <c r="G809" s="25"/>
    </row>
    <row r="810">
      <c r="A810" s="25">
        <v>797</v>
      </c>
      <c r="B810" s="25" t="s">
        <v>1272</v>
      </c>
      <c r="C810" s="25" t="s">
        <v>2862</v>
      </c>
      <c r="D810" s="25">
        <v>0</v>
      </c>
      <c r="E810" s="25">
        <v>0</v>
      </c>
      <c r="F810" s="17"/>
      <c r="G810" s="25"/>
    </row>
    <row r="811">
      <c r="A811" s="25">
        <v>798</v>
      </c>
      <c r="B811" s="25" t="s">
        <v>1274</v>
      </c>
      <c r="C811" s="25" t="s">
        <v>2863</v>
      </c>
      <c r="D811" s="25">
        <v>10107.9</v>
      </c>
      <c r="E811" s="25">
        <v>41368.12</v>
      </c>
      <c r="F811" s="17"/>
      <c r="G811" s="25"/>
    </row>
    <row r="812">
      <c r="A812" s="25">
        <v>799</v>
      </c>
      <c r="B812" s="25" t="s">
        <v>1276</v>
      </c>
      <c r="C812" s="25" t="s">
        <v>2864</v>
      </c>
      <c r="D812" s="25">
        <v>54644.8</v>
      </c>
      <c r="E812" s="25">
        <v>93402.5</v>
      </c>
      <c r="F812" s="17"/>
      <c r="G812" s="25"/>
    </row>
    <row r="813">
      <c r="A813" s="25">
        <v>800</v>
      </c>
      <c r="B813" s="25" t="s">
        <v>1278</v>
      </c>
      <c r="C813" s="25" t="s">
        <v>2865</v>
      </c>
      <c r="D813" s="25">
        <v>64752.7</v>
      </c>
      <c r="E813" s="25">
        <v>134770.62</v>
      </c>
      <c r="F813" s="17"/>
      <c r="G813" s="25"/>
    </row>
    <row r="814">
      <c r="A814" s="25">
        <v>801</v>
      </c>
      <c r="B814" s="25" t="s">
        <v>1280</v>
      </c>
      <c r="C814" s="25" t="s">
        <v>2866</v>
      </c>
      <c r="D814" s="25">
        <v>11694.33</v>
      </c>
      <c r="E814" s="25">
        <v>177859.48</v>
      </c>
      <c r="F814" s="17"/>
      <c r="G814" s="25"/>
    </row>
    <row r="815">
      <c r="A815" s="25">
        <v>802</v>
      </c>
      <c r="B815" s="25" t="s">
        <v>1283</v>
      </c>
      <c r="C815" s="25" t="s">
        <v>2867</v>
      </c>
      <c r="D815" s="25">
        <v>0</v>
      </c>
      <c r="E815" s="25">
        <v>0</v>
      </c>
      <c r="F815" s="17"/>
      <c r="G815" s="25"/>
    </row>
    <row r="816">
      <c r="A816" s="25">
        <v>803</v>
      </c>
      <c r="B816" s="25" t="s">
        <v>1285</v>
      </c>
      <c r="C816" s="25" t="s">
        <v>2868</v>
      </c>
      <c r="D816" s="25">
        <v>0</v>
      </c>
      <c r="E816" s="25">
        <v>0</v>
      </c>
      <c r="F816" s="17"/>
      <c r="G816" s="25"/>
    </row>
    <row r="817">
      <c r="A817" s="25">
        <v>804</v>
      </c>
      <c r="B817" s="25" t="s">
        <v>1287</v>
      </c>
      <c r="C817" s="25" t="s">
        <v>2869</v>
      </c>
      <c r="D817" s="25">
        <v>0</v>
      </c>
      <c r="E817" s="25">
        <v>0</v>
      </c>
      <c r="F817" s="17"/>
      <c r="G817" s="25"/>
    </row>
    <row r="818">
      <c r="A818" s="25">
        <v>805</v>
      </c>
      <c r="B818" s="25" t="s">
        <v>1289</v>
      </c>
      <c r="C818" s="25" t="s">
        <v>2870</v>
      </c>
      <c r="D818" s="25">
        <v>0</v>
      </c>
      <c r="E818" s="25">
        <v>0</v>
      </c>
      <c r="F818" s="17"/>
      <c r="G818" s="25"/>
    </row>
    <row r="819">
      <c r="A819" s="25">
        <v>806</v>
      </c>
      <c r="B819" s="25" t="s">
        <v>1291</v>
      </c>
      <c r="C819" s="25" t="s">
        <v>2871</v>
      </c>
      <c r="D819" s="25">
        <v>11694.33</v>
      </c>
      <c r="E819" s="25">
        <v>177859.48</v>
      </c>
      <c r="F819" s="17"/>
      <c r="G819" s="25"/>
    </row>
    <row r="820">
      <c r="A820" s="25">
        <v>807</v>
      </c>
      <c r="B820" s="25" t="s">
        <v>1293</v>
      </c>
      <c r="C820" s="25" t="s">
        <v>2872</v>
      </c>
      <c r="D820" s="25">
        <v>0</v>
      </c>
      <c r="E820" s="25">
        <v>0</v>
      </c>
      <c r="F820" s="17"/>
      <c r="G820" s="25"/>
    </row>
    <row r="821">
      <c r="A821" s="25">
        <v>808</v>
      </c>
      <c r="B821" s="25" t="s">
        <v>1295</v>
      </c>
      <c r="C821" s="25" t="s">
        <v>2873</v>
      </c>
      <c r="D821" s="25">
        <v>0</v>
      </c>
      <c r="E821" s="25">
        <v>0</v>
      </c>
      <c r="F821" s="17"/>
      <c r="G821" s="25"/>
    </row>
    <row r="822">
      <c r="A822" s="25">
        <v>809</v>
      </c>
      <c r="B822" s="25" t="s">
        <v>1297</v>
      </c>
      <c r="C822" s="25" t="s">
        <v>2874</v>
      </c>
      <c r="D822" s="25">
        <v>0</v>
      </c>
      <c r="E822" s="25">
        <v>0</v>
      </c>
      <c r="F822" s="17"/>
      <c r="G822" s="25"/>
    </row>
    <row r="823">
      <c r="A823" s="25">
        <v>810</v>
      </c>
      <c r="B823" s="25" t="s">
        <v>1299</v>
      </c>
      <c r="C823" s="25" t="s">
        <v>2875</v>
      </c>
      <c r="D823" s="25">
        <v>0</v>
      </c>
      <c r="E823" s="25">
        <v>0</v>
      </c>
      <c r="F823" s="17"/>
      <c r="G823" s="25"/>
    </row>
    <row r="824">
      <c r="A824" s="25">
        <v>811</v>
      </c>
      <c r="B824" s="25" t="s">
        <v>1302</v>
      </c>
      <c r="C824" s="25" t="s">
        <v>3076</v>
      </c>
      <c r="D824" s="25">
        <v>11694.33</v>
      </c>
      <c r="E824" s="25">
        <v>177859.48</v>
      </c>
      <c r="F824" s="17"/>
      <c r="G824" s="25"/>
    </row>
    <row r="825">
      <c r="A825" s="25">
        <v>812</v>
      </c>
      <c r="B825" s="25" t="s">
        <v>1314</v>
      </c>
      <c r="C825" s="25" t="s">
        <v>3077</v>
      </c>
      <c r="D825" s="25">
        <v>0</v>
      </c>
      <c r="E825" s="25">
        <v>0</v>
      </c>
      <c r="F825" s="17"/>
      <c r="G825" s="25"/>
    </row>
    <row r="826">
      <c r="A826" s="25">
        <v>813</v>
      </c>
      <c r="B826" s="25" t="s">
        <v>1315</v>
      </c>
      <c r="C826" s="25" t="s">
        <v>3078</v>
      </c>
      <c r="D826" s="25">
        <v>0</v>
      </c>
      <c r="E826" s="25">
        <v>0</v>
      </c>
      <c r="F826" s="17"/>
      <c r="G826" s="25"/>
    </row>
    <row r="827">
      <c r="A827" s="25">
        <v>814</v>
      </c>
      <c r="B827" s="25" t="s">
        <v>1316</v>
      </c>
      <c r="C827" s="25" t="s">
        <v>3079</v>
      </c>
      <c r="D827" s="25">
        <v>0</v>
      </c>
      <c r="E827" s="25">
        <v>0</v>
      </c>
      <c r="F827" s="17"/>
      <c r="G827" s="25"/>
    </row>
    <row r="828">
      <c r="A828" s="25">
        <v>815</v>
      </c>
      <c r="B828" s="25" t="s">
        <v>1317</v>
      </c>
      <c r="C828" s="25" t="s">
        <v>3080</v>
      </c>
      <c r="D828" s="25">
        <v>0</v>
      </c>
      <c r="E828" s="25">
        <v>0</v>
      </c>
      <c r="F828" s="17"/>
      <c r="G828" s="25"/>
    </row>
    <row r="829">
      <c r="A829" s="25">
        <v>816</v>
      </c>
      <c r="B829" s="25" t="s">
        <v>1318</v>
      </c>
      <c r="C829" s="25" t="s">
        <v>3081</v>
      </c>
      <c r="D829" s="25">
        <v>0</v>
      </c>
      <c r="E829" s="25">
        <v>0</v>
      </c>
      <c r="F829" s="17"/>
      <c r="G829" s="25"/>
    </row>
    <row r="830">
      <c r="A830" s="25">
        <v>817</v>
      </c>
      <c r="B830" s="25" t="s">
        <v>1319</v>
      </c>
      <c r="C830" s="25" t="s">
        <v>3082</v>
      </c>
      <c r="D830" s="25">
        <v>135834.36</v>
      </c>
      <c r="E830" s="25">
        <v>515313.4</v>
      </c>
      <c r="F830" s="17"/>
      <c r="G830" s="25"/>
    </row>
    <row r="831">
      <c r="A831" s="25">
        <v>818</v>
      </c>
      <c r="B831" s="25" t="s">
        <v>1320</v>
      </c>
      <c r="C831" s="25" t="s">
        <v>3083</v>
      </c>
      <c r="D831" s="25">
        <v>135834.36</v>
      </c>
      <c r="E831" s="25">
        <v>515313.4</v>
      </c>
      <c r="F831" s="17"/>
      <c r="G831" s="25"/>
    </row>
    <row r="832">
      <c r="A832" s="25">
        <v>819</v>
      </c>
      <c r="B832" s="25" t="s">
        <v>1323</v>
      </c>
      <c r="C832" s="25" t="s">
        <v>3084</v>
      </c>
      <c r="D832" s="25">
        <v>0</v>
      </c>
      <c r="E832" s="25">
        <v>0</v>
      </c>
      <c r="F832" s="17"/>
      <c r="G832" s="25"/>
    </row>
    <row r="833">
      <c r="A833" s="25">
        <v>820</v>
      </c>
      <c r="B833" s="25" t="s">
        <v>1324</v>
      </c>
      <c r="C833" s="25" t="s">
        <v>3085</v>
      </c>
      <c r="D833" s="25">
        <v>0</v>
      </c>
      <c r="E833" s="25">
        <v>0</v>
      </c>
      <c r="F833" s="17"/>
      <c r="G833" s="25"/>
    </row>
    <row r="834">
      <c r="A834" s="25">
        <v>821</v>
      </c>
      <c r="B834" s="25" t="s">
        <v>1325</v>
      </c>
      <c r="C834" s="25" t="s">
        <v>3086</v>
      </c>
      <c r="D834" s="25">
        <v>0</v>
      </c>
      <c r="E834" s="25">
        <v>0</v>
      </c>
      <c r="F834" s="17"/>
      <c r="G834" s="25"/>
    </row>
    <row r="835">
      <c r="A835" s="25">
        <v>822</v>
      </c>
      <c r="B835" s="25" t="s">
        <v>1326</v>
      </c>
      <c r="C835" s="25" t="s">
        <v>3087</v>
      </c>
      <c r="D835" s="25">
        <v>0</v>
      </c>
      <c r="E835" s="25">
        <v>0</v>
      </c>
      <c r="F835" s="17"/>
      <c r="G835" s="25"/>
    </row>
    <row r="836">
      <c r="A836" s="25">
        <v>823</v>
      </c>
      <c r="B836" s="25" t="s">
        <v>1327</v>
      </c>
      <c r="C836" s="25" t="s">
        <v>3088</v>
      </c>
      <c r="D836" s="25">
        <v>0</v>
      </c>
      <c r="E836" s="25">
        <v>0</v>
      </c>
      <c r="F836" s="17"/>
      <c r="G836" s="25"/>
    </row>
    <row r="837">
      <c r="A837" s="25">
        <v>824</v>
      </c>
      <c r="B837" s="25" t="s">
        <v>1328</v>
      </c>
      <c r="C837" s="25" t="s">
        <v>3089</v>
      </c>
      <c r="D837" s="25">
        <v>99876.9</v>
      </c>
      <c r="E837" s="25">
        <v>161778.44</v>
      </c>
      <c r="F837" s="17"/>
      <c r="G837" s="25"/>
    </row>
    <row r="838">
      <c r="A838" s="25">
        <v>825</v>
      </c>
      <c r="B838" s="25" t="s">
        <v>1329</v>
      </c>
      <c r="C838" s="25" t="s">
        <v>3090</v>
      </c>
      <c r="D838" s="25">
        <v>99876.9</v>
      </c>
      <c r="E838" s="25">
        <v>161778.44</v>
      </c>
      <c r="F838" s="17"/>
      <c r="G838" s="25"/>
    </row>
    <row r="839">
      <c r="A839" s="25">
        <v>826</v>
      </c>
      <c r="B839" s="25" t="s">
        <v>1332</v>
      </c>
      <c r="C839" s="25" t="s">
        <v>3091</v>
      </c>
      <c r="D839" s="25">
        <v>0</v>
      </c>
      <c r="E839" s="25">
        <v>0</v>
      </c>
      <c r="F839" s="17"/>
      <c r="G839" s="25"/>
    </row>
    <row r="840">
      <c r="A840" s="25">
        <v>827</v>
      </c>
      <c r="B840" s="25" t="s">
        <v>1333</v>
      </c>
      <c r="C840" s="25" t="s">
        <v>3092</v>
      </c>
      <c r="D840" s="25">
        <v>0</v>
      </c>
      <c r="E840" s="25">
        <v>0</v>
      </c>
      <c r="F840" s="17"/>
      <c r="G840" s="25"/>
    </row>
    <row r="841">
      <c r="A841" s="25">
        <v>828</v>
      </c>
      <c r="B841" s="25" t="s">
        <v>1334</v>
      </c>
      <c r="C841" s="25" t="s">
        <v>3093</v>
      </c>
      <c r="D841" s="25">
        <v>0</v>
      </c>
      <c r="E841" s="25">
        <v>0</v>
      </c>
      <c r="F841" s="17"/>
      <c r="G841" s="25"/>
    </row>
    <row r="842">
      <c r="A842" s="25">
        <v>829</v>
      </c>
      <c r="B842" s="25" t="s">
        <v>1335</v>
      </c>
      <c r="C842" s="25" t="s">
        <v>3094</v>
      </c>
      <c r="D842" s="25">
        <v>0</v>
      </c>
      <c r="E842" s="25">
        <v>0</v>
      </c>
      <c r="F842" s="17"/>
      <c r="G842" s="25"/>
    </row>
    <row r="843">
      <c r="A843" s="25">
        <v>830</v>
      </c>
      <c r="B843" s="25" t="s">
        <v>1336</v>
      </c>
      <c r="C843" s="25" t="s">
        <v>3095</v>
      </c>
      <c r="D843" s="25">
        <v>0</v>
      </c>
      <c r="E843" s="25">
        <v>0</v>
      </c>
      <c r="F843" s="17"/>
      <c r="G843" s="25"/>
    </row>
    <row r="844">
      <c r="A844" s="25">
        <v>831</v>
      </c>
      <c r="B844" s="25" t="s">
        <v>1337</v>
      </c>
      <c r="C844" s="25" t="s">
        <v>3096</v>
      </c>
      <c r="D844" s="25">
        <v>0</v>
      </c>
      <c r="E844" s="25">
        <v>0</v>
      </c>
      <c r="F844" s="17"/>
      <c r="G844" s="25"/>
    </row>
    <row r="845">
      <c r="A845" s="25">
        <v>832</v>
      </c>
      <c r="B845" s="25" t="s">
        <v>1338</v>
      </c>
      <c r="C845" s="25" t="s">
        <v>3097</v>
      </c>
      <c r="D845" s="25">
        <v>0</v>
      </c>
      <c r="E845" s="25">
        <v>0</v>
      </c>
      <c r="F845" s="17"/>
      <c r="G845" s="25"/>
    </row>
    <row r="846">
      <c r="A846" s="25">
        <v>833</v>
      </c>
      <c r="B846" s="25" t="s">
        <v>1341</v>
      </c>
      <c r="C846" s="25" t="s">
        <v>3098</v>
      </c>
      <c r="D846" s="25">
        <v>0</v>
      </c>
      <c r="E846" s="25">
        <v>0</v>
      </c>
      <c r="F846" s="17"/>
      <c r="G846" s="25"/>
    </row>
    <row r="847">
      <c r="A847" s="25">
        <v>834</v>
      </c>
      <c r="B847" s="25" t="s">
        <v>1342</v>
      </c>
      <c r="C847" s="25" t="s">
        <v>3099</v>
      </c>
      <c r="D847" s="25">
        <v>0</v>
      </c>
      <c r="E847" s="25">
        <v>0</v>
      </c>
      <c r="F847" s="17"/>
      <c r="G847" s="25"/>
    </row>
    <row r="848">
      <c r="A848" s="25">
        <v>835</v>
      </c>
      <c r="B848" s="25" t="s">
        <v>1343</v>
      </c>
      <c r="C848" s="25" t="s">
        <v>3100</v>
      </c>
      <c r="D848" s="25">
        <v>0</v>
      </c>
      <c r="E848" s="25">
        <v>0</v>
      </c>
      <c r="F848" s="17"/>
      <c r="G848" s="25"/>
    </row>
    <row r="849">
      <c r="A849" s="25">
        <v>836</v>
      </c>
      <c r="B849" s="25" t="s">
        <v>1344</v>
      </c>
      <c r="C849" s="25" t="s">
        <v>3101</v>
      </c>
      <c r="D849" s="25">
        <v>0</v>
      </c>
      <c r="E849" s="25">
        <v>0</v>
      </c>
      <c r="F849" s="17"/>
      <c r="G849" s="25"/>
    </row>
    <row r="850">
      <c r="A850" s="25">
        <v>837</v>
      </c>
      <c r="B850" s="25" t="s">
        <v>1345</v>
      </c>
      <c r="C850" s="25" t="s">
        <v>3102</v>
      </c>
      <c r="D850" s="25">
        <v>0</v>
      </c>
      <c r="E850" s="25">
        <v>0</v>
      </c>
      <c r="F850" s="17"/>
      <c r="G850" s="25"/>
    </row>
    <row r="851">
      <c r="A851" s="25">
        <v>838</v>
      </c>
      <c r="B851" s="25" t="s">
        <v>1346</v>
      </c>
      <c r="C851" s="25" t="s">
        <v>3103</v>
      </c>
      <c r="D851" s="25">
        <v>0</v>
      </c>
      <c r="E851" s="25">
        <v>0</v>
      </c>
      <c r="F851" s="17"/>
      <c r="G851" s="25"/>
    </row>
    <row r="852">
      <c r="A852" s="25">
        <v>839</v>
      </c>
      <c r="B852" s="25" t="s">
        <v>1347</v>
      </c>
      <c r="C852" s="25" t="s">
        <v>3104</v>
      </c>
      <c r="D852" s="25">
        <v>0</v>
      </c>
      <c r="E852" s="25">
        <v>0</v>
      </c>
      <c r="F852" s="17"/>
      <c r="G852" s="25"/>
    </row>
    <row r="853">
      <c r="A853" s="25">
        <v>840</v>
      </c>
      <c r="B853" s="25" t="s">
        <v>1350</v>
      </c>
      <c r="C853" s="25" t="s">
        <v>3105</v>
      </c>
      <c r="D853" s="25">
        <v>0</v>
      </c>
      <c r="E853" s="25">
        <v>0</v>
      </c>
      <c r="F853" s="17"/>
      <c r="G853" s="25"/>
    </row>
    <row r="854">
      <c r="A854" s="25">
        <v>841</v>
      </c>
      <c r="B854" s="25" t="s">
        <v>1351</v>
      </c>
      <c r="C854" s="25" t="s">
        <v>3106</v>
      </c>
      <c r="D854" s="25">
        <v>0</v>
      </c>
      <c r="E854" s="25">
        <v>0</v>
      </c>
      <c r="F854" s="17"/>
      <c r="G854" s="25"/>
    </row>
    <row r="855">
      <c r="A855" s="25">
        <v>842</v>
      </c>
      <c r="B855" s="25" t="s">
        <v>1352</v>
      </c>
      <c r="C855" s="25" t="s">
        <v>3107</v>
      </c>
      <c r="D855" s="25">
        <v>0</v>
      </c>
      <c r="E855" s="25">
        <v>0</v>
      </c>
      <c r="F855" s="17"/>
      <c r="G855" s="25"/>
    </row>
    <row r="856">
      <c r="A856" s="25">
        <v>843</v>
      </c>
      <c r="B856" s="25" t="s">
        <v>1353</v>
      </c>
      <c r="C856" s="25" t="s">
        <v>3108</v>
      </c>
      <c r="D856" s="25">
        <v>0</v>
      </c>
      <c r="E856" s="25">
        <v>0</v>
      </c>
      <c r="F856" s="17"/>
      <c r="G856" s="25"/>
    </row>
    <row r="857">
      <c r="A857" s="25">
        <v>844</v>
      </c>
      <c r="B857" s="25" t="s">
        <v>1354</v>
      </c>
      <c r="C857" s="25" t="s">
        <v>3109</v>
      </c>
      <c r="D857" s="25">
        <v>0</v>
      </c>
      <c r="E857" s="25">
        <v>0</v>
      </c>
      <c r="F857" s="17"/>
      <c r="G857" s="25"/>
    </row>
    <row r="858">
      <c r="A858" s="25">
        <v>845</v>
      </c>
      <c r="B858" s="25" t="s">
        <v>1355</v>
      </c>
      <c r="C858" s="25" t="s">
        <v>3110</v>
      </c>
      <c r="D858" s="25">
        <v>0</v>
      </c>
      <c r="E858" s="25">
        <v>0</v>
      </c>
      <c r="F858" s="17"/>
      <c r="G858" s="25"/>
    </row>
    <row r="859">
      <c r="A859" s="25">
        <v>846</v>
      </c>
      <c r="B859" s="25" t="s">
        <v>1356</v>
      </c>
      <c r="C859" s="25" t="s">
        <v>3111</v>
      </c>
      <c r="D859" s="25">
        <v>0</v>
      </c>
      <c r="E859" s="25">
        <v>0</v>
      </c>
      <c r="F859" s="17"/>
      <c r="G859" s="25"/>
    </row>
    <row r="860">
      <c r="A860" s="25">
        <v>847</v>
      </c>
      <c r="B860" s="25" t="s">
        <v>1359</v>
      </c>
      <c r="C860" s="25" t="s">
        <v>3112</v>
      </c>
      <c r="D860" s="25">
        <v>0</v>
      </c>
      <c r="E860" s="25">
        <v>0</v>
      </c>
      <c r="F860" s="17"/>
      <c r="G860" s="25"/>
    </row>
    <row r="861">
      <c r="A861" s="25">
        <v>848</v>
      </c>
      <c r="B861" s="25" t="s">
        <v>1360</v>
      </c>
      <c r="C861" s="25" t="s">
        <v>3113</v>
      </c>
      <c r="D861" s="25">
        <v>0</v>
      </c>
      <c r="E861" s="25">
        <v>0</v>
      </c>
      <c r="F861" s="17"/>
      <c r="G861" s="25"/>
    </row>
    <row r="862">
      <c r="A862" s="25">
        <v>849</v>
      </c>
      <c r="B862" s="25" t="s">
        <v>1361</v>
      </c>
      <c r="C862" s="25" t="s">
        <v>3114</v>
      </c>
      <c r="D862" s="25">
        <v>0</v>
      </c>
      <c r="E862" s="25">
        <v>0</v>
      </c>
      <c r="F862" s="17"/>
      <c r="G862" s="25"/>
    </row>
    <row r="863">
      <c r="A863" s="25">
        <v>850</v>
      </c>
      <c r="B863" s="25" t="s">
        <v>1362</v>
      </c>
      <c r="C863" s="25" t="s">
        <v>3115</v>
      </c>
      <c r="D863" s="25">
        <v>0</v>
      </c>
      <c r="E863" s="25">
        <v>0</v>
      </c>
      <c r="F863" s="17"/>
      <c r="G863" s="25"/>
    </row>
    <row r="864">
      <c r="A864" s="25">
        <v>851</v>
      </c>
      <c r="B864" s="25" t="s">
        <v>1363</v>
      </c>
      <c r="C864" s="25" t="s">
        <v>3116</v>
      </c>
      <c r="D864" s="25">
        <v>0</v>
      </c>
      <c r="E864" s="25">
        <v>0</v>
      </c>
      <c r="F864" s="17"/>
      <c r="G864" s="25"/>
    </row>
    <row r="865">
      <c r="A865" s="25">
        <v>852</v>
      </c>
      <c r="B865" s="25" t="s">
        <v>1364</v>
      </c>
      <c r="C865" s="25" t="s">
        <v>3117</v>
      </c>
      <c r="D865" s="25">
        <v>0</v>
      </c>
      <c r="E865" s="25">
        <v>0</v>
      </c>
      <c r="F865" s="17"/>
      <c r="G865" s="25"/>
    </row>
    <row r="866">
      <c r="A866" s="25">
        <v>853</v>
      </c>
      <c r="B866" s="25" t="s">
        <v>1365</v>
      </c>
      <c r="C866" s="25" t="s">
        <v>3118</v>
      </c>
      <c r="D866" s="25">
        <v>0</v>
      </c>
      <c r="E866" s="25">
        <v>0</v>
      </c>
      <c r="F866" s="17"/>
      <c r="G866" s="25"/>
    </row>
    <row r="867">
      <c r="A867" s="25">
        <v>854</v>
      </c>
      <c r="B867" s="25" t="s">
        <v>1368</v>
      </c>
      <c r="C867" s="25" t="s">
        <v>3119</v>
      </c>
      <c r="D867" s="25">
        <v>0</v>
      </c>
      <c r="E867" s="25">
        <v>0</v>
      </c>
      <c r="F867" s="17"/>
      <c r="G867" s="25"/>
    </row>
    <row r="868">
      <c r="A868" s="25">
        <v>855</v>
      </c>
      <c r="B868" s="25" t="s">
        <v>1369</v>
      </c>
      <c r="C868" s="25" t="s">
        <v>3120</v>
      </c>
      <c r="D868" s="25">
        <v>0</v>
      </c>
      <c r="E868" s="25">
        <v>0</v>
      </c>
      <c r="F868" s="17"/>
      <c r="G868" s="25"/>
    </row>
    <row r="869">
      <c r="A869" s="25">
        <v>856</v>
      </c>
      <c r="B869" s="25" t="s">
        <v>1370</v>
      </c>
      <c r="C869" s="25" t="s">
        <v>3121</v>
      </c>
      <c r="D869" s="25">
        <v>0</v>
      </c>
      <c r="E869" s="25">
        <v>0</v>
      </c>
      <c r="F869" s="17"/>
      <c r="G869" s="25"/>
    </row>
    <row r="870">
      <c r="A870" s="25">
        <v>857</v>
      </c>
      <c r="B870" s="25" t="s">
        <v>1371</v>
      </c>
      <c r="C870" s="25" t="s">
        <v>3122</v>
      </c>
      <c r="D870" s="25">
        <v>0</v>
      </c>
      <c r="E870" s="25">
        <v>0</v>
      </c>
      <c r="F870" s="17"/>
      <c r="G870" s="25"/>
    </row>
    <row r="871">
      <c r="A871" s="25">
        <v>858</v>
      </c>
      <c r="B871" s="25" t="s">
        <v>1372</v>
      </c>
      <c r="C871" s="25" t="s">
        <v>3123</v>
      </c>
      <c r="D871" s="25">
        <v>0</v>
      </c>
      <c r="E871" s="25">
        <v>0</v>
      </c>
      <c r="F871" s="17"/>
      <c r="G871" s="25"/>
    </row>
    <row r="872">
      <c r="A872" s="25">
        <v>859</v>
      </c>
      <c r="B872" s="25" t="s">
        <v>1373</v>
      </c>
      <c r="C872" s="25" t="s">
        <v>3124</v>
      </c>
      <c r="D872" s="25">
        <v>4231.92</v>
      </c>
      <c r="E872" s="25">
        <v>18222.27</v>
      </c>
      <c r="F872" s="17"/>
      <c r="G872" s="25"/>
    </row>
    <row r="873">
      <c r="A873" s="25">
        <v>860</v>
      </c>
      <c r="B873" s="25" t="s">
        <v>1374</v>
      </c>
      <c r="C873" s="25" t="s">
        <v>3125</v>
      </c>
      <c r="D873" s="25">
        <v>4231.92</v>
      </c>
      <c r="E873" s="25">
        <v>18222.27</v>
      </c>
      <c r="F873" s="17"/>
      <c r="G873" s="25"/>
    </row>
    <row r="874">
      <c r="A874" s="25">
        <v>861</v>
      </c>
      <c r="B874" s="25" t="s">
        <v>1377</v>
      </c>
      <c r="C874" s="25" t="s">
        <v>3126</v>
      </c>
      <c r="D874" s="25">
        <v>0</v>
      </c>
      <c r="E874" s="25">
        <v>427.61</v>
      </c>
      <c r="F874" s="17"/>
      <c r="G874" s="25"/>
    </row>
    <row r="875">
      <c r="A875" s="25">
        <v>862</v>
      </c>
      <c r="B875" s="25" t="s">
        <v>1378</v>
      </c>
      <c r="C875" s="25" t="s">
        <v>3127</v>
      </c>
      <c r="D875" s="25">
        <v>0</v>
      </c>
      <c r="E875" s="25">
        <v>0</v>
      </c>
      <c r="F875" s="17"/>
      <c r="G875" s="25"/>
    </row>
    <row r="876">
      <c r="A876" s="25">
        <v>863</v>
      </c>
      <c r="B876" s="25" t="s">
        <v>1379</v>
      </c>
      <c r="C876" s="25" t="s">
        <v>3128</v>
      </c>
      <c r="D876" s="25">
        <v>0</v>
      </c>
      <c r="E876" s="25">
        <v>0</v>
      </c>
      <c r="F876" s="17"/>
      <c r="G876" s="25"/>
    </row>
    <row r="877">
      <c r="A877" s="25">
        <v>864</v>
      </c>
      <c r="B877" s="25" t="s">
        <v>1380</v>
      </c>
      <c r="C877" s="25" t="s">
        <v>3129</v>
      </c>
      <c r="D877" s="25">
        <v>0</v>
      </c>
      <c r="E877" s="25">
        <v>0</v>
      </c>
      <c r="F877" s="17"/>
      <c r="G877" s="25"/>
    </row>
    <row r="878">
      <c r="A878" s="25">
        <v>865</v>
      </c>
      <c r="B878" s="25" t="s">
        <v>1381</v>
      </c>
      <c r="C878" s="25" t="s">
        <v>3130</v>
      </c>
      <c r="D878" s="25">
        <v>0</v>
      </c>
      <c r="E878" s="25">
        <v>0</v>
      </c>
      <c r="F878" s="17"/>
      <c r="G878" s="25"/>
    </row>
    <row r="879">
      <c r="A879" s="25">
        <v>866</v>
      </c>
      <c r="B879" s="25" t="s">
        <v>1382</v>
      </c>
      <c r="C879" s="25" t="s">
        <v>3131</v>
      </c>
      <c r="D879" s="25">
        <v>762.23</v>
      </c>
      <c r="E879" s="25">
        <v>40907.02</v>
      </c>
      <c r="F879" s="17"/>
      <c r="G879" s="25"/>
    </row>
    <row r="880">
      <c r="A880" s="25">
        <v>867</v>
      </c>
      <c r="B880" s="25" t="s">
        <v>1383</v>
      </c>
      <c r="C880" s="25" t="s">
        <v>3132</v>
      </c>
      <c r="D880" s="25">
        <v>762.23</v>
      </c>
      <c r="E880" s="25">
        <v>41334.63</v>
      </c>
      <c r="F880" s="17"/>
      <c r="G880" s="25"/>
    </row>
    <row r="881">
      <c r="A881" s="25">
        <v>868</v>
      </c>
      <c r="B881" s="25" t="s">
        <v>1386</v>
      </c>
      <c r="C881" s="25" t="s">
        <v>3133</v>
      </c>
      <c r="D881" s="25">
        <v>0</v>
      </c>
      <c r="E881" s="25">
        <v>0</v>
      </c>
      <c r="F881" s="17"/>
      <c r="G881" s="25"/>
    </row>
    <row r="882">
      <c r="A882" s="25">
        <v>869</v>
      </c>
      <c r="B882" s="25" t="s">
        <v>1387</v>
      </c>
      <c r="C882" s="25" t="s">
        <v>3134</v>
      </c>
      <c r="D882" s="25">
        <v>0</v>
      </c>
      <c r="E882" s="25">
        <v>0</v>
      </c>
      <c r="F882" s="17"/>
      <c r="G882" s="25"/>
    </row>
    <row r="883">
      <c r="A883" s="25">
        <v>870</v>
      </c>
      <c r="B883" s="25" t="s">
        <v>1388</v>
      </c>
      <c r="C883" s="25" t="s">
        <v>3135</v>
      </c>
      <c r="D883" s="25">
        <v>0</v>
      </c>
      <c r="E883" s="25">
        <v>0</v>
      </c>
      <c r="F883" s="17"/>
      <c r="G883" s="25"/>
    </row>
    <row r="884">
      <c r="A884" s="25">
        <v>871</v>
      </c>
      <c r="B884" s="25" t="s">
        <v>1389</v>
      </c>
      <c r="C884" s="25" t="s">
        <v>3136</v>
      </c>
      <c r="D884" s="25">
        <v>0</v>
      </c>
      <c r="E884" s="25">
        <v>0</v>
      </c>
      <c r="F884" s="17"/>
      <c r="G884" s="25"/>
    </row>
    <row r="885">
      <c r="A885" s="25">
        <v>872</v>
      </c>
      <c r="B885" s="25" t="s">
        <v>1390</v>
      </c>
      <c r="C885" s="25" t="s">
        <v>3137</v>
      </c>
      <c r="D885" s="25">
        <v>0</v>
      </c>
      <c r="E885" s="25">
        <v>526.01</v>
      </c>
      <c r="F885" s="17"/>
      <c r="G885" s="25"/>
    </row>
    <row r="886">
      <c r="A886" s="25">
        <v>873</v>
      </c>
      <c r="B886" s="25" t="s">
        <v>1391</v>
      </c>
      <c r="C886" s="25" t="s">
        <v>3138</v>
      </c>
      <c r="D886" s="25">
        <v>5538.84</v>
      </c>
      <c r="E886" s="25">
        <v>14510.8</v>
      </c>
      <c r="F886" s="17"/>
      <c r="G886" s="25"/>
    </row>
    <row r="887">
      <c r="A887" s="25">
        <v>874</v>
      </c>
      <c r="B887" s="25" t="s">
        <v>1392</v>
      </c>
      <c r="C887" s="25" t="s">
        <v>3139</v>
      </c>
      <c r="D887" s="25">
        <v>5538.84</v>
      </c>
      <c r="E887" s="25">
        <v>15036.81</v>
      </c>
      <c r="F887" s="17"/>
      <c r="G887" s="25"/>
    </row>
    <row r="888">
      <c r="A888" s="25">
        <v>875</v>
      </c>
      <c r="B888" s="25" t="s">
        <v>1394</v>
      </c>
      <c r="C888" s="25" t="s">
        <v>3140</v>
      </c>
      <c r="D888" s="25">
        <v>0</v>
      </c>
      <c r="E888" s="25">
        <v>427.61</v>
      </c>
      <c r="F888" s="17"/>
      <c r="G888" s="25"/>
    </row>
    <row r="889">
      <c r="A889" s="25">
        <v>876</v>
      </c>
      <c r="B889" s="25" t="s">
        <v>1395</v>
      </c>
      <c r="C889" s="25" t="s">
        <v>3141</v>
      </c>
      <c r="D889" s="25">
        <v>0</v>
      </c>
      <c r="E889" s="25">
        <v>0</v>
      </c>
      <c r="F889" s="17"/>
      <c r="G889" s="25"/>
    </row>
    <row r="890">
      <c r="A890" s="25">
        <v>877</v>
      </c>
      <c r="B890" s="25" t="s">
        <v>1396</v>
      </c>
      <c r="C890" s="25" t="s">
        <v>3142</v>
      </c>
      <c r="D890" s="25">
        <v>0</v>
      </c>
      <c r="E890" s="25">
        <v>0</v>
      </c>
      <c r="F890" s="17"/>
      <c r="G890" s="25"/>
    </row>
    <row r="891">
      <c r="A891" s="25">
        <v>878</v>
      </c>
      <c r="B891" s="25" t="s">
        <v>1397</v>
      </c>
      <c r="C891" s="25" t="s">
        <v>3143</v>
      </c>
      <c r="D891" s="25">
        <v>0</v>
      </c>
      <c r="E891" s="25">
        <v>0</v>
      </c>
      <c r="F891" s="17"/>
      <c r="G891" s="25"/>
    </row>
    <row r="892">
      <c r="A892" s="25">
        <v>879</v>
      </c>
      <c r="B892" s="25" t="s">
        <v>1398</v>
      </c>
      <c r="C892" s="25" t="s">
        <v>3144</v>
      </c>
      <c r="D892" s="25">
        <v>0</v>
      </c>
      <c r="E892" s="25">
        <v>526.01</v>
      </c>
      <c r="F892" s="17"/>
      <c r="G892" s="25"/>
    </row>
    <row r="893">
      <c r="A893" s="25">
        <v>880</v>
      </c>
      <c r="B893" s="25" t="s">
        <v>1399</v>
      </c>
      <c r="C893" s="25" t="s">
        <v>3145</v>
      </c>
      <c r="D893" s="25">
        <v>246244.25</v>
      </c>
      <c r="E893" s="25">
        <v>750731.93</v>
      </c>
      <c r="F893" s="17"/>
      <c r="G893" s="25"/>
    </row>
    <row r="894">
      <c r="A894" s="25">
        <v>881</v>
      </c>
      <c r="B894" s="25" t="s">
        <v>1400</v>
      </c>
      <c r="C894" s="25" t="s">
        <v>3146</v>
      </c>
      <c r="D894" s="25">
        <v>246244.25</v>
      </c>
      <c r="E894" s="25">
        <v>751685.55</v>
      </c>
      <c r="F894" s="17"/>
      <c r="G894" s="25"/>
    </row>
    <row r="895">
      <c r="A895" s="25">
        <v>882</v>
      </c>
      <c r="B895" s="25" t="s">
        <v>1403</v>
      </c>
      <c r="C895" s="25" t="s">
        <v>3147</v>
      </c>
      <c r="D895" s="25">
        <v>361.29</v>
      </c>
      <c r="E895" s="25">
        <v>1475.45</v>
      </c>
      <c r="F895" s="17"/>
      <c r="G895" s="25"/>
    </row>
    <row r="896">
      <c r="A896" s="25">
        <v>883</v>
      </c>
      <c r="B896" s="25" t="s">
        <v>1404</v>
      </c>
      <c r="C896" s="25" t="s">
        <v>3148</v>
      </c>
      <c r="D896" s="25">
        <v>0</v>
      </c>
      <c r="E896" s="25">
        <v>0</v>
      </c>
      <c r="F896" s="17"/>
      <c r="G896" s="25"/>
    </row>
    <row r="897">
      <c r="A897" s="25">
        <v>884</v>
      </c>
      <c r="B897" s="25" t="s">
        <v>1405</v>
      </c>
      <c r="C897" s="25" t="s">
        <v>3149</v>
      </c>
      <c r="D897" s="25">
        <v>0</v>
      </c>
      <c r="E897" s="25">
        <v>0</v>
      </c>
      <c r="F897" s="17"/>
      <c r="G897" s="25"/>
    </row>
    <row r="898">
      <c r="A898" s="25">
        <v>885</v>
      </c>
      <c r="B898" s="25" t="s">
        <v>1406</v>
      </c>
      <c r="C898" s="25" t="s">
        <v>3150</v>
      </c>
      <c r="D898" s="25">
        <v>227.65</v>
      </c>
      <c r="E898" s="25">
        <v>924.67</v>
      </c>
      <c r="F898" s="17"/>
      <c r="G898" s="25"/>
    </row>
    <row r="899">
      <c r="A899" s="25">
        <v>886</v>
      </c>
      <c r="B899" s="25" t="s">
        <v>1407</v>
      </c>
      <c r="C899" s="25" t="s">
        <v>3151</v>
      </c>
      <c r="D899" s="25">
        <v>864.65</v>
      </c>
      <c r="E899" s="25">
        <v>3553.93</v>
      </c>
      <c r="F899" s="17"/>
      <c r="G899" s="25"/>
    </row>
    <row r="900">
      <c r="A900" s="25">
        <v>887</v>
      </c>
      <c r="B900" s="25" t="s">
        <v>1408</v>
      </c>
      <c r="C900" s="25" t="s">
        <v>3152</v>
      </c>
      <c r="D900" s="25">
        <v>2772.74</v>
      </c>
      <c r="E900" s="25">
        <v>12155.82</v>
      </c>
      <c r="F900" s="17"/>
      <c r="G900" s="25"/>
    </row>
    <row r="901">
      <c r="A901" s="25">
        <v>888</v>
      </c>
      <c r="B901" s="25" t="s">
        <v>1409</v>
      </c>
      <c r="C901" s="25" t="s">
        <v>3153</v>
      </c>
      <c r="D901" s="25">
        <v>4226.33</v>
      </c>
      <c r="E901" s="25">
        <v>18109.87</v>
      </c>
      <c r="F901" s="17"/>
      <c r="G901" s="25"/>
    </row>
    <row r="902">
      <c r="A902" s="25">
        <v>889</v>
      </c>
      <c r="B902" s="25" t="s">
        <v>1412</v>
      </c>
      <c r="C902" s="25" t="s">
        <v>3154</v>
      </c>
      <c r="D902" s="25">
        <v>0</v>
      </c>
      <c r="E902" s="25">
        <v>0</v>
      </c>
      <c r="F902" s="17"/>
      <c r="G902" s="25"/>
    </row>
    <row r="903">
      <c r="A903" s="25">
        <v>890</v>
      </c>
      <c r="B903" s="25" t="s">
        <v>1413</v>
      </c>
      <c r="C903" s="25" t="s">
        <v>3155</v>
      </c>
      <c r="D903" s="25">
        <v>0</v>
      </c>
      <c r="E903" s="25">
        <v>0</v>
      </c>
      <c r="F903" s="17"/>
      <c r="G903" s="25"/>
    </row>
    <row r="904">
      <c r="A904" s="25">
        <v>891</v>
      </c>
      <c r="B904" s="25" t="s">
        <v>1414</v>
      </c>
      <c r="C904" s="25" t="s">
        <v>3156</v>
      </c>
      <c r="D904" s="25">
        <v>0</v>
      </c>
      <c r="E904" s="25">
        <v>0</v>
      </c>
      <c r="F904" s="17"/>
      <c r="G904" s="25"/>
    </row>
    <row r="905">
      <c r="A905" s="25">
        <v>892</v>
      </c>
      <c r="B905" s="25" t="s">
        <v>1415</v>
      </c>
      <c r="C905" s="25" t="s">
        <v>3157</v>
      </c>
      <c r="D905" s="25">
        <v>0</v>
      </c>
      <c r="E905" s="25">
        <v>0</v>
      </c>
      <c r="F905" s="17"/>
      <c r="G905" s="25"/>
    </row>
    <row r="906">
      <c r="A906" s="25">
        <v>893</v>
      </c>
      <c r="B906" s="25" t="s">
        <v>1416</v>
      </c>
      <c r="C906" s="25" t="s">
        <v>3158</v>
      </c>
      <c r="D906" s="25">
        <v>0</v>
      </c>
      <c r="E906" s="25">
        <v>0</v>
      </c>
      <c r="F906" s="17"/>
      <c r="G906" s="25"/>
    </row>
    <row r="907">
      <c r="A907" s="25">
        <v>894</v>
      </c>
      <c r="B907" s="25" t="s">
        <v>1417</v>
      </c>
      <c r="C907" s="25" t="s">
        <v>3159</v>
      </c>
      <c r="D907" s="25">
        <v>739.56</v>
      </c>
      <c r="E907" s="25">
        <v>254569.95</v>
      </c>
      <c r="F907" s="17"/>
      <c r="G907" s="25"/>
    </row>
    <row r="908">
      <c r="A908" s="25">
        <v>895</v>
      </c>
      <c r="B908" s="25" t="s">
        <v>1418</v>
      </c>
      <c r="C908" s="25" t="s">
        <v>3160</v>
      </c>
      <c r="D908" s="25">
        <v>739.56</v>
      </c>
      <c r="E908" s="25">
        <v>254569.95</v>
      </c>
      <c r="F908" s="17"/>
      <c r="G908" s="25"/>
    </row>
    <row r="909">
      <c r="A909" s="25">
        <v>896</v>
      </c>
      <c r="B909" s="25" t="s">
        <v>1421</v>
      </c>
      <c r="C909" s="25" t="s">
        <v>3161</v>
      </c>
      <c r="D909" s="25">
        <v>0</v>
      </c>
      <c r="E909" s="25">
        <v>0</v>
      </c>
      <c r="F909" s="17"/>
      <c r="G909" s="25"/>
    </row>
    <row r="910">
      <c r="A910" s="25">
        <v>897</v>
      </c>
      <c r="B910" s="25" t="s">
        <v>1422</v>
      </c>
      <c r="C910" s="25" t="s">
        <v>3162</v>
      </c>
      <c r="D910" s="25">
        <v>0</v>
      </c>
      <c r="E910" s="25">
        <v>0</v>
      </c>
      <c r="F910" s="17"/>
      <c r="G910" s="25"/>
    </row>
    <row r="911">
      <c r="A911" s="25">
        <v>898</v>
      </c>
      <c r="B911" s="25" t="s">
        <v>1423</v>
      </c>
      <c r="C911" s="25" t="s">
        <v>3163</v>
      </c>
      <c r="D911" s="25">
        <v>0</v>
      </c>
      <c r="E911" s="25">
        <v>0</v>
      </c>
      <c r="F911" s="17"/>
      <c r="G911" s="25"/>
    </row>
    <row r="912">
      <c r="A912" s="25">
        <v>899</v>
      </c>
      <c r="B912" s="25" t="s">
        <v>1424</v>
      </c>
      <c r="C912" s="25" t="s">
        <v>3164</v>
      </c>
      <c r="D912" s="25">
        <v>0</v>
      </c>
      <c r="E912" s="25">
        <v>0</v>
      </c>
      <c r="F912" s="17"/>
      <c r="G912" s="25"/>
    </row>
    <row r="913">
      <c r="A913" s="25">
        <v>900</v>
      </c>
      <c r="B913" s="25" t="s">
        <v>1425</v>
      </c>
      <c r="C913" s="25" t="s">
        <v>3165</v>
      </c>
      <c r="D913" s="25">
        <v>0</v>
      </c>
      <c r="E913" s="25">
        <v>0</v>
      </c>
      <c r="F913" s="17"/>
      <c r="G913" s="25"/>
    </row>
    <row r="914">
      <c r="A914" s="25">
        <v>901</v>
      </c>
      <c r="B914" s="25" t="s">
        <v>1426</v>
      </c>
      <c r="C914" s="25" t="s">
        <v>3166</v>
      </c>
      <c r="D914" s="25">
        <v>9411.31</v>
      </c>
      <c r="E914" s="25">
        <v>47100.7</v>
      </c>
      <c r="F914" s="17"/>
      <c r="G914" s="25"/>
    </row>
    <row r="915">
      <c r="A915" s="25">
        <v>902</v>
      </c>
      <c r="B915" s="25" t="s">
        <v>1427</v>
      </c>
      <c r="C915" s="25" t="s">
        <v>3167</v>
      </c>
      <c r="D915" s="25">
        <v>9411.31</v>
      </c>
      <c r="E915" s="25">
        <v>47100.7</v>
      </c>
      <c r="F915" s="17"/>
      <c r="G915" s="25"/>
    </row>
    <row r="916">
      <c r="A916" s="25">
        <v>903</v>
      </c>
      <c r="B916" s="25" t="s">
        <v>1430</v>
      </c>
      <c r="C916" s="25" t="s">
        <v>3168</v>
      </c>
      <c r="D916" s="25">
        <v>135</v>
      </c>
      <c r="E916" s="25">
        <v>540</v>
      </c>
      <c r="F916" s="17"/>
      <c r="G916" s="25"/>
    </row>
    <row r="917">
      <c r="A917" s="25">
        <v>904</v>
      </c>
      <c r="B917" s="25" t="s">
        <v>1431</v>
      </c>
      <c r="C917" s="25" t="s">
        <v>3169</v>
      </c>
      <c r="D917" s="25">
        <v>0</v>
      </c>
      <c r="E917" s="25">
        <v>0</v>
      </c>
      <c r="F917" s="17"/>
      <c r="G917" s="25"/>
    </row>
    <row r="918">
      <c r="A918" s="25">
        <v>905</v>
      </c>
      <c r="B918" s="25" t="s">
        <v>1432</v>
      </c>
      <c r="C918" s="25" t="s">
        <v>3170</v>
      </c>
      <c r="D918" s="25">
        <v>0</v>
      </c>
      <c r="E918" s="25">
        <v>0</v>
      </c>
      <c r="F918" s="17"/>
      <c r="G918" s="25"/>
    </row>
    <row r="919">
      <c r="A919" s="25">
        <v>906</v>
      </c>
      <c r="B919" s="25" t="s">
        <v>1433</v>
      </c>
      <c r="C919" s="25" t="s">
        <v>3171</v>
      </c>
      <c r="D919" s="25">
        <v>0</v>
      </c>
      <c r="E919" s="25">
        <v>0</v>
      </c>
      <c r="F919" s="17"/>
      <c r="G919" s="25"/>
    </row>
    <row r="920">
      <c r="A920" s="25">
        <v>907</v>
      </c>
      <c r="B920" s="25" t="s">
        <v>1434</v>
      </c>
      <c r="C920" s="25" t="s">
        <v>3172</v>
      </c>
      <c r="D920" s="25">
        <v>0</v>
      </c>
      <c r="E920" s="25">
        <v>0</v>
      </c>
      <c r="F920" s="17"/>
      <c r="G920" s="25"/>
    </row>
    <row r="921">
      <c r="A921" s="25">
        <v>908</v>
      </c>
      <c r="B921" s="25" t="s">
        <v>1435</v>
      </c>
      <c r="C921" s="25" t="s">
        <v>3173</v>
      </c>
      <c r="D921" s="25">
        <v>1061.41</v>
      </c>
      <c r="E921" s="25">
        <v>4245.64</v>
      </c>
      <c r="F921" s="17"/>
      <c r="G921" s="25"/>
    </row>
    <row r="922">
      <c r="A922" s="25">
        <v>909</v>
      </c>
      <c r="B922" s="25" t="s">
        <v>1436</v>
      </c>
      <c r="C922" s="25" t="s">
        <v>3174</v>
      </c>
      <c r="D922" s="25">
        <v>1196.41</v>
      </c>
      <c r="E922" s="25">
        <v>4785.64</v>
      </c>
      <c r="F922" s="17"/>
      <c r="G922" s="25"/>
    </row>
    <row r="923">
      <c r="A923" s="25">
        <v>910</v>
      </c>
      <c r="B923" s="25" t="s">
        <v>1439</v>
      </c>
      <c r="C923" s="25" t="s">
        <v>3175</v>
      </c>
      <c r="D923" s="25">
        <v>0</v>
      </c>
      <c r="E923" s="25">
        <v>0</v>
      </c>
      <c r="F923" s="17"/>
      <c r="G923" s="25"/>
    </row>
    <row r="924">
      <c r="A924" s="25">
        <v>911</v>
      </c>
      <c r="B924" s="25" t="s">
        <v>1440</v>
      </c>
      <c r="C924" s="25" t="s">
        <v>3176</v>
      </c>
      <c r="D924" s="25">
        <v>0</v>
      </c>
      <c r="E924" s="25">
        <v>0</v>
      </c>
      <c r="F924" s="17"/>
      <c r="G924" s="25"/>
    </row>
    <row r="925">
      <c r="A925" s="25">
        <v>912</v>
      </c>
      <c r="B925" s="25" t="s">
        <v>1441</v>
      </c>
      <c r="C925" s="25" t="s">
        <v>3177</v>
      </c>
      <c r="D925" s="25">
        <v>0</v>
      </c>
      <c r="E925" s="25">
        <v>0</v>
      </c>
      <c r="F925" s="17"/>
      <c r="G925" s="25"/>
    </row>
    <row r="926">
      <c r="A926" s="25">
        <v>913</v>
      </c>
      <c r="B926" s="25" t="s">
        <v>1442</v>
      </c>
      <c r="C926" s="25" t="s">
        <v>3178</v>
      </c>
      <c r="D926" s="25">
        <v>0</v>
      </c>
      <c r="E926" s="25">
        <v>0</v>
      </c>
      <c r="F926" s="17"/>
      <c r="G926" s="25"/>
    </row>
    <row r="927">
      <c r="A927" s="25">
        <v>914</v>
      </c>
      <c r="B927" s="25" t="s">
        <v>1443</v>
      </c>
      <c r="C927" s="25" t="s">
        <v>3179</v>
      </c>
      <c r="D927" s="25">
        <v>0</v>
      </c>
      <c r="E927" s="25">
        <v>0</v>
      </c>
      <c r="F927" s="17"/>
      <c r="G927" s="25"/>
    </row>
    <row r="928">
      <c r="A928" s="25">
        <v>915</v>
      </c>
      <c r="B928" s="25" t="s">
        <v>1444</v>
      </c>
      <c r="C928" s="25" t="s">
        <v>3180</v>
      </c>
      <c r="D928" s="25">
        <v>0</v>
      </c>
      <c r="E928" s="25">
        <v>0</v>
      </c>
      <c r="F928" s="17"/>
      <c r="G928" s="25"/>
    </row>
    <row r="929">
      <c r="A929" s="25">
        <v>916</v>
      </c>
      <c r="B929" s="25" t="s">
        <v>1445</v>
      </c>
      <c r="C929" s="25" t="s">
        <v>3181</v>
      </c>
      <c r="D929" s="25">
        <v>0</v>
      </c>
      <c r="E929" s="25">
        <v>0</v>
      </c>
      <c r="F929" s="17"/>
      <c r="G929" s="25"/>
    </row>
    <row r="930">
      <c r="A930" s="25">
        <v>917</v>
      </c>
      <c r="B930" s="25" t="s">
        <v>1448</v>
      </c>
      <c r="C930" s="25" t="s">
        <v>3182</v>
      </c>
      <c r="D930" s="25">
        <v>0</v>
      </c>
      <c r="E930" s="25">
        <v>0</v>
      </c>
      <c r="F930" s="17"/>
      <c r="G930" s="25"/>
    </row>
    <row r="931">
      <c r="A931" s="25">
        <v>918</v>
      </c>
      <c r="B931" s="25" t="s">
        <v>1449</v>
      </c>
      <c r="C931" s="25" t="s">
        <v>3183</v>
      </c>
      <c r="D931" s="25">
        <v>0</v>
      </c>
      <c r="E931" s="25">
        <v>0</v>
      </c>
      <c r="F931" s="17"/>
      <c r="G931" s="25"/>
    </row>
    <row r="932">
      <c r="A932" s="25">
        <v>919</v>
      </c>
      <c r="B932" s="25" t="s">
        <v>1450</v>
      </c>
      <c r="C932" s="25" t="s">
        <v>3184</v>
      </c>
      <c r="D932" s="25">
        <v>0</v>
      </c>
      <c r="E932" s="25">
        <v>0</v>
      </c>
      <c r="F932" s="17"/>
      <c r="G932" s="25"/>
    </row>
    <row r="933">
      <c r="A933" s="25">
        <v>920</v>
      </c>
      <c r="B933" s="25" t="s">
        <v>1451</v>
      </c>
      <c r="C933" s="25" t="s">
        <v>3185</v>
      </c>
      <c r="D933" s="25">
        <v>0</v>
      </c>
      <c r="E933" s="25">
        <v>0</v>
      </c>
      <c r="F933" s="17"/>
      <c r="G933" s="25"/>
    </row>
    <row r="934">
      <c r="A934" s="25">
        <v>921</v>
      </c>
      <c r="B934" s="25" t="s">
        <v>1452</v>
      </c>
      <c r="C934" s="25" t="s">
        <v>3186</v>
      </c>
      <c r="D934" s="25">
        <v>0</v>
      </c>
      <c r="E934" s="25">
        <v>0</v>
      </c>
      <c r="F934" s="17"/>
      <c r="G934" s="25"/>
    </row>
    <row r="935">
      <c r="A935" s="25">
        <v>922</v>
      </c>
      <c r="B935" s="25" t="s">
        <v>1453</v>
      </c>
      <c r="C935" s="25" t="s">
        <v>3187</v>
      </c>
      <c r="D935" s="25">
        <v>0</v>
      </c>
      <c r="E935" s="25">
        <v>0</v>
      </c>
      <c r="F935" s="17"/>
      <c r="G935" s="25"/>
    </row>
    <row r="936">
      <c r="A936" s="25">
        <v>923</v>
      </c>
      <c r="B936" s="25" t="s">
        <v>1454</v>
      </c>
      <c r="C936" s="25" t="s">
        <v>3188</v>
      </c>
      <c r="D936" s="25">
        <v>0</v>
      </c>
      <c r="E936" s="25">
        <v>0</v>
      </c>
      <c r="F936" s="17"/>
      <c r="G936" s="25"/>
    </row>
    <row r="937">
      <c r="A937" s="25">
        <v>924</v>
      </c>
      <c r="B937" s="25" t="s">
        <v>1457</v>
      </c>
      <c r="C937" s="25" t="s">
        <v>3189</v>
      </c>
      <c r="D937" s="25">
        <v>0</v>
      </c>
      <c r="E937" s="25">
        <v>0</v>
      </c>
      <c r="F937" s="17"/>
      <c r="G937" s="25"/>
    </row>
    <row r="938">
      <c r="A938" s="25">
        <v>925</v>
      </c>
      <c r="B938" s="25" t="s">
        <v>1458</v>
      </c>
      <c r="C938" s="25" t="s">
        <v>3190</v>
      </c>
      <c r="D938" s="25">
        <v>0</v>
      </c>
      <c r="E938" s="25">
        <v>0</v>
      </c>
      <c r="F938" s="17"/>
      <c r="G938" s="25"/>
    </row>
    <row r="939">
      <c r="A939" s="25">
        <v>926</v>
      </c>
      <c r="B939" s="25" t="s">
        <v>1459</v>
      </c>
      <c r="C939" s="25" t="s">
        <v>3191</v>
      </c>
      <c r="D939" s="25">
        <v>0</v>
      </c>
      <c r="E939" s="25">
        <v>0</v>
      </c>
      <c r="F939" s="17"/>
      <c r="G939" s="25"/>
    </row>
    <row r="940">
      <c r="A940" s="25">
        <v>927</v>
      </c>
      <c r="B940" s="25" t="s">
        <v>1460</v>
      </c>
      <c r="C940" s="25" t="s">
        <v>3192</v>
      </c>
      <c r="D940" s="25">
        <v>0</v>
      </c>
      <c r="E940" s="25">
        <v>0</v>
      </c>
      <c r="F940" s="17"/>
      <c r="G940" s="25"/>
    </row>
    <row r="941">
      <c r="A941" s="25">
        <v>928</v>
      </c>
      <c r="B941" s="25" t="s">
        <v>1461</v>
      </c>
      <c r="C941" s="25" t="s">
        <v>3193</v>
      </c>
      <c r="D941" s="25">
        <v>0</v>
      </c>
      <c r="E941" s="25">
        <v>0</v>
      </c>
      <c r="F941" s="17"/>
      <c r="G941" s="25"/>
    </row>
    <row r="942">
      <c r="A942" s="25">
        <v>929</v>
      </c>
      <c r="B942" s="25" t="s">
        <v>1462</v>
      </c>
      <c r="C942" s="25" t="s">
        <v>3194</v>
      </c>
      <c r="D942" s="25">
        <v>1844.65</v>
      </c>
      <c r="E942" s="25">
        <v>8471.71</v>
      </c>
      <c r="F942" s="17"/>
      <c r="G942" s="25"/>
    </row>
    <row r="943">
      <c r="A943" s="25">
        <v>930</v>
      </c>
      <c r="B943" s="25" t="s">
        <v>1463</v>
      </c>
      <c r="C943" s="25" t="s">
        <v>3195</v>
      </c>
      <c r="D943" s="25">
        <v>1844.65</v>
      </c>
      <c r="E943" s="25">
        <v>8471.71</v>
      </c>
      <c r="F943" s="17"/>
      <c r="G943" s="25"/>
    </row>
    <row r="944">
      <c r="A944" s="25">
        <v>931</v>
      </c>
      <c r="B944" s="25" t="s">
        <v>1465</v>
      </c>
      <c r="C944" s="25" t="s">
        <v>3196</v>
      </c>
      <c r="D944" s="25">
        <v>496.29</v>
      </c>
      <c r="E944" s="25">
        <v>2015.45</v>
      </c>
      <c r="F944" s="17"/>
      <c r="G944" s="25"/>
    </row>
    <row r="945">
      <c r="A945" s="25">
        <v>932</v>
      </c>
      <c r="B945" s="25" t="s">
        <v>1466</v>
      </c>
      <c r="C945" s="25" t="s">
        <v>3197</v>
      </c>
      <c r="D945" s="25">
        <v>0</v>
      </c>
      <c r="E945" s="25">
        <v>0</v>
      </c>
      <c r="F945" s="17"/>
      <c r="G945" s="25"/>
    </row>
    <row r="946">
      <c r="A946" s="25">
        <v>933</v>
      </c>
      <c r="B946" s="25" t="s">
        <v>1467</v>
      </c>
      <c r="C946" s="25" t="s">
        <v>3198</v>
      </c>
      <c r="D946" s="25">
        <v>0</v>
      </c>
      <c r="E946" s="25">
        <v>0</v>
      </c>
      <c r="F946" s="17"/>
      <c r="G946" s="25"/>
    </row>
    <row r="947">
      <c r="A947" s="25">
        <v>934</v>
      </c>
      <c r="B947" s="25" t="s">
        <v>1468</v>
      </c>
      <c r="C947" s="25" t="s">
        <v>3199</v>
      </c>
      <c r="D947" s="25">
        <v>227.65</v>
      </c>
      <c r="E947" s="25">
        <v>924.67</v>
      </c>
      <c r="F947" s="17"/>
      <c r="G947" s="25"/>
    </row>
    <row r="948">
      <c r="A948" s="25">
        <v>935</v>
      </c>
      <c r="B948" s="25" t="s">
        <v>1469</v>
      </c>
      <c r="C948" s="25" t="s">
        <v>3200</v>
      </c>
      <c r="D948" s="25">
        <v>864.65</v>
      </c>
      <c r="E948" s="25">
        <v>3553.93</v>
      </c>
      <c r="F948" s="17"/>
      <c r="G948" s="25"/>
    </row>
    <row r="949">
      <c r="A949" s="25">
        <v>936</v>
      </c>
      <c r="B949" s="25" t="s">
        <v>1470</v>
      </c>
      <c r="C949" s="25" t="s">
        <v>3201</v>
      </c>
      <c r="D949" s="25">
        <v>15829.67</v>
      </c>
      <c r="E949" s="25">
        <v>326543.82</v>
      </c>
      <c r="F949" s="17"/>
      <c r="G949" s="25"/>
    </row>
    <row r="950">
      <c r="A950" s="25">
        <v>937</v>
      </c>
      <c r="B950" s="25" t="s">
        <v>1471</v>
      </c>
      <c r="C950" s="25" t="s">
        <v>3202</v>
      </c>
      <c r="D950" s="25">
        <v>17418.26</v>
      </c>
      <c r="E950" s="25">
        <v>333037.87</v>
      </c>
      <c r="F950" s="17"/>
      <c r="G950" s="25"/>
    </row>
    <row r="951">
      <c r="A951" s="25">
        <v>938</v>
      </c>
      <c r="B951" s="25" t="s">
        <v>1474</v>
      </c>
      <c r="C951" s="25" t="s">
        <v>3203</v>
      </c>
      <c r="D951" s="25">
        <v>0</v>
      </c>
      <c r="E951" s="25">
        <v>0</v>
      </c>
      <c r="F951" s="17"/>
      <c r="G951" s="25"/>
    </row>
    <row r="952">
      <c r="A952" s="25">
        <v>939</v>
      </c>
      <c r="B952" s="25" t="s">
        <v>1475</v>
      </c>
      <c r="C952" s="25" t="s">
        <v>3204</v>
      </c>
      <c r="D952" s="25">
        <v>0</v>
      </c>
      <c r="E952" s="25">
        <v>0</v>
      </c>
      <c r="F952" s="17"/>
      <c r="G952" s="25"/>
    </row>
    <row r="953">
      <c r="A953" s="25">
        <v>940</v>
      </c>
      <c r="B953" s="25" t="s">
        <v>1476</v>
      </c>
      <c r="C953" s="25" t="s">
        <v>3205</v>
      </c>
      <c r="D953" s="25">
        <v>0</v>
      </c>
      <c r="E953" s="25">
        <v>0</v>
      </c>
      <c r="F953" s="17"/>
      <c r="G953" s="25"/>
    </row>
    <row r="954">
      <c r="A954" s="25">
        <v>941</v>
      </c>
      <c r="B954" s="25" t="s">
        <v>1477</v>
      </c>
      <c r="C954" s="25" t="s">
        <v>3206</v>
      </c>
      <c r="D954" s="25">
        <v>0</v>
      </c>
      <c r="E954" s="25">
        <v>0</v>
      </c>
      <c r="F954" s="17"/>
      <c r="G954" s="25"/>
    </row>
    <row r="955">
      <c r="A955" s="25">
        <v>942</v>
      </c>
      <c r="B955" s="25" t="s">
        <v>1478</v>
      </c>
      <c r="C955" s="25" t="s">
        <v>3207</v>
      </c>
      <c r="D955" s="25">
        <v>0</v>
      </c>
      <c r="E955" s="25">
        <v>0</v>
      </c>
      <c r="F955" s="17"/>
      <c r="G955" s="25"/>
    </row>
    <row r="956">
      <c r="A956" s="25">
        <v>943</v>
      </c>
      <c r="B956" s="25" t="s">
        <v>1479</v>
      </c>
      <c r="C956" s="25" t="s">
        <v>3208</v>
      </c>
      <c r="D956" s="25">
        <v>9883.47</v>
      </c>
      <c r="E956" s="25">
        <v>144036.32</v>
      </c>
      <c r="F956" s="17"/>
      <c r="G956" s="25"/>
    </row>
    <row r="957">
      <c r="A957" s="25">
        <v>944</v>
      </c>
      <c r="B957" s="25" t="s">
        <v>1480</v>
      </c>
      <c r="C957" s="25" t="s">
        <v>3209</v>
      </c>
      <c r="D957" s="25">
        <v>9883.47</v>
      </c>
      <c r="E957" s="25">
        <v>144036.32</v>
      </c>
      <c r="F957" s="17"/>
      <c r="G957" s="25"/>
    </row>
    <row r="958">
      <c r="A958" s="25">
        <v>945</v>
      </c>
      <c r="B958" s="25" t="s">
        <v>1483</v>
      </c>
      <c r="C958" s="25" t="s">
        <v>3210</v>
      </c>
      <c r="D958" s="25">
        <v>0</v>
      </c>
      <c r="E958" s="25">
        <v>0</v>
      </c>
      <c r="F958" s="17"/>
      <c r="G958" s="25"/>
    </row>
    <row r="959">
      <c r="A959" s="25">
        <v>946</v>
      </c>
      <c r="B959" s="25" t="s">
        <v>1484</v>
      </c>
      <c r="C959" s="25" t="s">
        <v>3211</v>
      </c>
      <c r="D959" s="25">
        <v>0</v>
      </c>
      <c r="E959" s="25">
        <v>0</v>
      </c>
      <c r="F959" s="17"/>
      <c r="G959" s="25"/>
    </row>
    <row r="960">
      <c r="A960" s="25">
        <v>947</v>
      </c>
      <c r="B960" s="25" t="s">
        <v>1485</v>
      </c>
      <c r="C960" s="25" t="s">
        <v>3212</v>
      </c>
      <c r="D960" s="25">
        <v>0</v>
      </c>
      <c r="E960" s="25">
        <v>0</v>
      </c>
      <c r="F960" s="17"/>
      <c r="G960" s="25"/>
    </row>
    <row r="961">
      <c r="A961" s="25">
        <v>948</v>
      </c>
      <c r="B961" s="25" t="s">
        <v>1486</v>
      </c>
      <c r="C961" s="25" t="s">
        <v>3213</v>
      </c>
      <c r="D961" s="25">
        <v>0</v>
      </c>
      <c r="E961" s="25">
        <v>0</v>
      </c>
      <c r="F961" s="17"/>
      <c r="G961" s="25"/>
    </row>
    <row r="962">
      <c r="A962" s="25">
        <v>949</v>
      </c>
      <c r="B962" s="25" t="s">
        <v>1487</v>
      </c>
      <c r="C962" s="25" t="s">
        <v>3214</v>
      </c>
      <c r="D962" s="25">
        <v>0</v>
      </c>
      <c r="E962" s="25">
        <v>0</v>
      </c>
      <c r="F962" s="17"/>
      <c r="G962" s="25"/>
    </row>
    <row r="963">
      <c r="A963" s="25">
        <v>950</v>
      </c>
      <c r="B963" s="25" t="s">
        <v>1488</v>
      </c>
      <c r="C963" s="25" t="s">
        <v>3215</v>
      </c>
      <c r="D963" s="25">
        <v>11790.31</v>
      </c>
      <c r="E963" s="25">
        <v>46471.36</v>
      </c>
      <c r="F963" s="17"/>
      <c r="G963" s="25"/>
    </row>
    <row r="964">
      <c r="A964" s="25">
        <v>951</v>
      </c>
      <c r="B964" s="25" t="s">
        <v>1489</v>
      </c>
      <c r="C964" s="25" t="s">
        <v>3216</v>
      </c>
      <c r="D964" s="25">
        <v>11790.31</v>
      </c>
      <c r="E964" s="25">
        <v>46471.36</v>
      </c>
      <c r="F964" s="17"/>
      <c r="G964" s="25"/>
    </row>
    <row r="965">
      <c r="A965" s="25">
        <v>952</v>
      </c>
      <c r="B965" s="25" t="s">
        <v>1492</v>
      </c>
      <c r="C965" s="25" t="s">
        <v>3217</v>
      </c>
      <c r="D965" s="25">
        <v>0</v>
      </c>
      <c r="E965" s="25">
        <v>0</v>
      </c>
      <c r="F965" s="17"/>
      <c r="G965" s="25"/>
    </row>
    <row r="966">
      <c r="A966" s="25">
        <v>953</v>
      </c>
      <c r="B966" s="25" t="s">
        <v>1493</v>
      </c>
      <c r="C966" s="25" t="s">
        <v>3218</v>
      </c>
      <c r="D966" s="25">
        <v>0</v>
      </c>
      <c r="E966" s="25">
        <v>0</v>
      </c>
      <c r="F966" s="17"/>
      <c r="G966" s="25"/>
    </row>
    <row r="967">
      <c r="A967" s="25">
        <v>954</v>
      </c>
      <c r="B967" s="25" t="s">
        <v>1494</v>
      </c>
      <c r="C967" s="25" t="s">
        <v>3219</v>
      </c>
      <c r="D967" s="25">
        <v>0</v>
      </c>
      <c r="E967" s="25">
        <v>0</v>
      </c>
      <c r="F967" s="17"/>
      <c r="G967" s="25"/>
    </row>
    <row r="968">
      <c r="A968" s="25">
        <v>955</v>
      </c>
      <c r="B968" s="25" t="s">
        <v>1495</v>
      </c>
      <c r="C968" s="25" t="s">
        <v>3220</v>
      </c>
      <c r="D968" s="25">
        <v>0</v>
      </c>
      <c r="E968" s="25">
        <v>0</v>
      </c>
      <c r="F968" s="17"/>
      <c r="G968" s="25"/>
    </row>
    <row r="969">
      <c r="A969" s="25">
        <v>956</v>
      </c>
      <c r="B969" s="25" t="s">
        <v>1496</v>
      </c>
      <c r="C969" s="25" t="s">
        <v>3221</v>
      </c>
      <c r="D969" s="25">
        <v>0</v>
      </c>
      <c r="E969" s="25">
        <v>0</v>
      </c>
      <c r="F969" s="17"/>
      <c r="G969" s="25"/>
    </row>
    <row r="970">
      <c r="A970" s="25">
        <v>957</v>
      </c>
      <c r="B970" s="25" t="s">
        <v>1497</v>
      </c>
      <c r="C970" s="25" t="s">
        <v>3222</v>
      </c>
      <c r="D970" s="25">
        <v>0</v>
      </c>
      <c r="E970" s="25">
        <v>0</v>
      </c>
      <c r="F970" s="17"/>
      <c r="G970" s="25"/>
    </row>
    <row r="971">
      <c r="A971" s="25">
        <v>958</v>
      </c>
      <c r="B971" s="25" t="s">
        <v>1498</v>
      </c>
      <c r="C971" s="25" t="s">
        <v>3223</v>
      </c>
      <c r="D971" s="25">
        <v>0</v>
      </c>
      <c r="E971" s="25">
        <v>0</v>
      </c>
      <c r="F971" s="17"/>
      <c r="G971" s="25"/>
    </row>
    <row r="972">
      <c r="A972" s="25">
        <v>959</v>
      </c>
      <c r="B972" s="25" t="s">
        <v>1501</v>
      </c>
      <c r="C972" s="25" t="s">
        <v>3224</v>
      </c>
      <c r="D972" s="25">
        <v>0</v>
      </c>
      <c r="E972" s="25">
        <v>0</v>
      </c>
      <c r="F972" s="17"/>
      <c r="G972" s="25"/>
    </row>
    <row r="973">
      <c r="A973" s="25">
        <v>960</v>
      </c>
      <c r="B973" s="25" t="s">
        <v>1502</v>
      </c>
      <c r="C973" s="25" t="s">
        <v>3225</v>
      </c>
      <c r="D973" s="25">
        <v>0</v>
      </c>
      <c r="E973" s="25">
        <v>0</v>
      </c>
      <c r="F973" s="17"/>
      <c r="G973" s="25"/>
    </row>
    <row r="974">
      <c r="A974" s="25">
        <v>961</v>
      </c>
      <c r="B974" s="25" t="s">
        <v>1503</v>
      </c>
      <c r="C974" s="25" t="s">
        <v>3226</v>
      </c>
      <c r="D974" s="25">
        <v>0</v>
      </c>
      <c r="E974" s="25">
        <v>0</v>
      </c>
      <c r="F974" s="17"/>
      <c r="G974" s="25"/>
    </row>
    <row r="975">
      <c r="A975" s="25">
        <v>962</v>
      </c>
      <c r="B975" s="25" t="s">
        <v>1504</v>
      </c>
      <c r="C975" s="25" t="s">
        <v>3227</v>
      </c>
      <c r="D975" s="25">
        <v>0</v>
      </c>
      <c r="E975" s="25">
        <v>0</v>
      </c>
      <c r="F975" s="17"/>
      <c r="G975" s="25"/>
    </row>
    <row r="976">
      <c r="A976" s="25">
        <v>963</v>
      </c>
      <c r="B976" s="25" t="s">
        <v>1505</v>
      </c>
      <c r="C976" s="25" t="s">
        <v>3228</v>
      </c>
      <c r="D976" s="25">
        <v>0</v>
      </c>
      <c r="E976" s="25">
        <v>0</v>
      </c>
      <c r="F976" s="17"/>
      <c r="G976" s="25"/>
    </row>
    <row r="977">
      <c r="A977" s="25">
        <v>964</v>
      </c>
      <c r="B977" s="25" t="s">
        <v>1506</v>
      </c>
      <c r="C977" s="25" t="s">
        <v>3229</v>
      </c>
      <c r="D977" s="25">
        <v>0</v>
      </c>
      <c r="E977" s="25">
        <v>0</v>
      </c>
      <c r="F977" s="17"/>
      <c r="G977" s="25"/>
    </row>
    <row r="978">
      <c r="A978" s="25">
        <v>965</v>
      </c>
      <c r="B978" s="25" t="s">
        <v>1507</v>
      </c>
      <c r="C978" s="25" t="s">
        <v>3230</v>
      </c>
      <c r="D978" s="25">
        <v>0</v>
      </c>
      <c r="E978" s="25">
        <v>0</v>
      </c>
      <c r="F978" s="17"/>
      <c r="G978" s="25"/>
    </row>
    <row r="979">
      <c r="A979" s="25">
        <v>966</v>
      </c>
      <c r="B979" s="25" t="s">
        <v>1510</v>
      </c>
      <c r="C979" s="25" t="s">
        <v>3231</v>
      </c>
      <c r="D979" s="25">
        <v>4221.24</v>
      </c>
      <c r="E979" s="25">
        <v>12847.52</v>
      </c>
      <c r="F979" s="17"/>
      <c r="G979" s="25"/>
    </row>
    <row r="980">
      <c r="A980" s="25">
        <v>967</v>
      </c>
      <c r="B980" s="25" t="s">
        <v>1511</v>
      </c>
      <c r="C980" s="25" t="s">
        <v>3232</v>
      </c>
      <c r="D980" s="25">
        <v>0</v>
      </c>
      <c r="E980" s="25">
        <v>0</v>
      </c>
      <c r="F980" s="17"/>
      <c r="G980" s="25"/>
    </row>
    <row r="981">
      <c r="A981" s="25">
        <v>968</v>
      </c>
      <c r="B981" s="25" t="s">
        <v>1512</v>
      </c>
      <c r="C981" s="25" t="s">
        <v>3233</v>
      </c>
      <c r="D981" s="25">
        <v>0</v>
      </c>
      <c r="E981" s="25">
        <v>0</v>
      </c>
      <c r="F981" s="17"/>
      <c r="G981" s="25"/>
    </row>
    <row r="982">
      <c r="A982" s="25">
        <v>969</v>
      </c>
      <c r="B982" s="25" t="s">
        <v>1513</v>
      </c>
      <c r="C982" s="25" t="s">
        <v>3234</v>
      </c>
      <c r="D982" s="25">
        <v>1626.99</v>
      </c>
      <c r="E982" s="25">
        <v>4532.87</v>
      </c>
      <c r="F982" s="17"/>
      <c r="G982" s="25"/>
    </row>
    <row r="983">
      <c r="A983" s="25">
        <v>970</v>
      </c>
      <c r="B983" s="25" t="s">
        <v>1514</v>
      </c>
      <c r="C983" s="25" t="s">
        <v>3235</v>
      </c>
      <c r="D983" s="25">
        <v>1547.96</v>
      </c>
      <c r="E983" s="25">
        <v>4245.8</v>
      </c>
      <c r="F983" s="17"/>
      <c r="G983" s="25"/>
    </row>
    <row r="984">
      <c r="A984" s="25">
        <v>971</v>
      </c>
      <c r="B984" s="25" t="s">
        <v>1515</v>
      </c>
      <c r="C984" s="25" t="s">
        <v>3236</v>
      </c>
      <c r="D984" s="25">
        <v>20864.6</v>
      </c>
      <c r="E984" s="25">
        <v>127369.3</v>
      </c>
      <c r="F984" s="17"/>
      <c r="G984" s="25"/>
    </row>
    <row r="985">
      <c r="A985" s="25">
        <v>972</v>
      </c>
      <c r="B985" s="25" t="s">
        <v>1516</v>
      </c>
      <c r="C985" s="25" t="s">
        <v>3237</v>
      </c>
      <c r="D985" s="25">
        <v>28260.79</v>
      </c>
      <c r="E985" s="25">
        <v>148995.49</v>
      </c>
      <c r="F985" s="17"/>
      <c r="G985" s="25"/>
    </row>
    <row r="986">
      <c r="A986" s="25">
        <v>973</v>
      </c>
      <c r="B986" s="25" t="s">
        <v>1519</v>
      </c>
      <c r="C986" s="25" t="s">
        <v>3238</v>
      </c>
      <c r="D986" s="25">
        <v>0</v>
      </c>
      <c r="E986" s="25">
        <v>0</v>
      </c>
      <c r="F986" s="17"/>
      <c r="G986" s="25"/>
    </row>
    <row r="987">
      <c r="A987" s="25">
        <v>974</v>
      </c>
      <c r="B987" s="25" t="s">
        <v>1520</v>
      </c>
      <c r="C987" s="25" t="s">
        <v>3239</v>
      </c>
      <c r="D987" s="25">
        <v>0</v>
      </c>
      <c r="E987" s="25">
        <v>0</v>
      </c>
      <c r="F987" s="17"/>
      <c r="G987" s="25"/>
    </row>
    <row r="988">
      <c r="A988" s="25">
        <v>975</v>
      </c>
      <c r="B988" s="25" t="s">
        <v>1521</v>
      </c>
      <c r="C988" s="25" t="s">
        <v>3240</v>
      </c>
      <c r="D988" s="25">
        <v>0</v>
      </c>
      <c r="E988" s="25">
        <v>0</v>
      </c>
      <c r="F988" s="17"/>
      <c r="G988" s="25"/>
    </row>
    <row r="989">
      <c r="A989" s="25">
        <v>976</v>
      </c>
      <c r="B989" s="25" t="s">
        <v>1522</v>
      </c>
      <c r="C989" s="25" t="s">
        <v>3241</v>
      </c>
      <c r="D989" s="25">
        <v>0</v>
      </c>
      <c r="E989" s="25">
        <v>0</v>
      </c>
      <c r="F989" s="17"/>
      <c r="G989" s="25"/>
    </row>
    <row r="990">
      <c r="A990" s="25">
        <v>977</v>
      </c>
      <c r="B990" s="25" t="s">
        <v>1523</v>
      </c>
      <c r="C990" s="25" t="s">
        <v>3242</v>
      </c>
      <c r="D990" s="25">
        <v>0</v>
      </c>
      <c r="E990" s="25">
        <v>226.8</v>
      </c>
      <c r="F990" s="17"/>
      <c r="G990" s="25"/>
    </row>
    <row r="991">
      <c r="A991" s="25">
        <v>978</v>
      </c>
      <c r="B991" s="25" t="s">
        <v>1524</v>
      </c>
      <c r="C991" s="25" t="s">
        <v>3243</v>
      </c>
      <c r="D991" s="25">
        <v>150</v>
      </c>
      <c r="E991" s="25">
        <v>1971.6</v>
      </c>
      <c r="F991" s="17"/>
      <c r="G991" s="25"/>
    </row>
    <row r="992">
      <c r="A992" s="25">
        <v>979</v>
      </c>
      <c r="B992" s="25" t="s">
        <v>1525</v>
      </c>
      <c r="C992" s="25" t="s">
        <v>3244</v>
      </c>
      <c r="D992" s="25">
        <v>150</v>
      </c>
      <c r="E992" s="25">
        <v>2198.4</v>
      </c>
      <c r="F992" s="17"/>
      <c r="G992" s="25"/>
    </row>
    <row r="993">
      <c r="A993" s="25">
        <v>980</v>
      </c>
      <c r="B993" s="25" t="s">
        <v>1528</v>
      </c>
      <c r="C993" s="25" t="s">
        <v>3245</v>
      </c>
      <c r="D993" s="25">
        <v>0</v>
      </c>
      <c r="E993" s="25">
        <v>0</v>
      </c>
      <c r="F993" s="17"/>
      <c r="G993" s="25"/>
    </row>
    <row r="994">
      <c r="A994" s="25">
        <v>981</v>
      </c>
      <c r="B994" s="25" t="s">
        <v>1529</v>
      </c>
      <c r="C994" s="25" t="s">
        <v>3246</v>
      </c>
      <c r="D994" s="25">
        <v>0</v>
      </c>
      <c r="E994" s="25">
        <v>0</v>
      </c>
      <c r="F994" s="17"/>
      <c r="G994" s="25"/>
    </row>
    <row r="995">
      <c r="A995" s="25">
        <v>982</v>
      </c>
      <c r="B995" s="25" t="s">
        <v>1530</v>
      </c>
      <c r="C995" s="25" t="s">
        <v>3247</v>
      </c>
      <c r="D995" s="25">
        <v>0</v>
      </c>
      <c r="E995" s="25">
        <v>0</v>
      </c>
      <c r="F995" s="17"/>
      <c r="G995" s="25"/>
    </row>
    <row r="996">
      <c r="A996" s="25">
        <v>983</v>
      </c>
      <c r="B996" s="25" t="s">
        <v>1531</v>
      </c>
      <c r="C996" s="25" t="s">
        <v>3248</v>
      </c>
      <c r="D996" s="25">
        <v>0</v>
      </c>
      <c r="E996" s="25">
        <v>0</v>
      </c>
      <c r="F996" s="17"/>
      <c r="G996" s="25"/>
    </row>
    <row r="997">
      <c r="A997" s="25">
        <v>984</v>
      </c>
      <c r="B997" s="25" t="s">
        <v>1532</v>
      </c>
      <c r="C997" s="25" t="s">
        <v>3249</v>
      </c>
      <c r="D997" s="25">
        <v>0</v>
      </c>
      <c r="E997" s="25">
        <v>0</v>
      </c>
      <c r="F997" s="17"/>
      <c r="G997" s="25"/>
    </row>
    <row r="998">
      <c r="A998" s="25">
        <v>985</v>
      </c>
      <c r="B998" s="25" t="s">
        <v>1533</v>
      </c>
      <c r="C998" s="25" t="s">
        <v>3250</v>
      </c>
      <c r="D998" s="25">
        <v>0</v>
      </c>
      <c r="E998" s="25">
        <v>0</v>
      </c>
      <c r="F998" s="17"/>
      <c r="G998" s="25"/>
    </row>
    <row r="999">
      <c r="A999" s="25">
        <v>986</v>
      </c>
      <c r="B999" s="25" t="s">
        <v>1534</v>
      </c>
      <c r="C999" s="25" t="s">
        <v>3251</v>
      </c>
      <c r="D999" s="25">
        <v>0</v>
      </c>
      <c r="E999" s="25">
        <v>0</v>
      </c>
      <c r="F999" s="17"/>
      <c r="G999" s="25"/>
    </row>
    <row r="1000">
      <c r="A1000" s="25">
        <v>987</v>
      </c>
      <c r="B1000" s="25" t="s">
        <v>1537</v>
      </c>
      <c r="C1000" s="25" t="s">
        <v>3252</v>
      </c>
      <c r="D1000" s="25">
        <v>0</v>
      </c>
      <c r="E1000" s="25">
        <v>0</v>
      </c>
      <c r="F1000" s="17"/>
      <c r="G1000" s="25"/>
    </row>
    <row r="1001">
      <c r="A1001" s="25">
        <v>988</v>
      </c>
      <c r="B1001" s="25" t="s">
        <v>1538</v>
      </c>
      <c r="C1001" s="25" t="s">
        <v>3253</v>
      </c>
      <c r="D1001" s="25">
        <v>0</v>
      </c>
      <c r="E1001" s="25">
        <v>0</v>
      </c>
      <c r="F1001" s="17"/>
      <c r="G1001" s="25"/>
    </row>
    <row r="1002">
      <c r="A1002" s="25">
        <v>989</v>
      </c>
      <c r="B1002" s="25" t="s">
        <v>1539</v>
      </c>
      <c r="C1002" s="25" t="s">
        <v>3254</v>
      </c>
      <c r="D1002" s="25">
        <v>0</v>
      </c>
      <c r="E1002" s="25">
        <v>0</v>
      </c>
      <c r="F1002" s="17"/>
      <c r="G1002" s="25"/>
    </row>
    <row r="1003">
      <c r="A1003" s="25">
        <v>990</v>
      </c>
      <c r="B1003" s="25" t="s">
        <v>1540</v>
      </c>
      <c r="C1003" s="25" t="s">
        <v>3255</v>
      </c>
      <c r="D1003" s="25">
        <v>0</v>
      </c>
      <c r="E1003" s="25">
        <v>0</v>
      </c>
      <c r="F1003" s="17"/>
      <c r="G1003" s="25"/>
    </row>
    <row r="1004">
      <c r="A1004" s="25">
        <v>991</v>
      </c>
      <c r="B1004" s="25" t="s">
        <v>1541</v>
      </c>
      <c r="C1004" s="25" t="s">
        <v>3256</v>
      </c>
      <c r="D1004" s="25">
        <v>0</v>
      </c>
      <c r="E1004" s="25">
        <v>0</v>
      </c>
      <c r="F1004" s="17"/>
      <c r="G1004" s="25"/>
    </row>
    <row r="1005">
      <c r="A1005" s="25">
        <v>992</v>
      </c>
      <c r="B1005" s="25" t="s">
        <v>1542</v>
      </c>
      <c r="C1005" s="25" t="s">
        <v>3257</v>
      </c>
      <c r="D1005" s="25">
        <v>0</v>
      </c>
      <c r="E1005" s="25">
        <v>122.9</v>
      </c>
      <c r="F1005" s="17"/>
      <c r="G1005" s="25"/>
    </row>
    <row r="1006">
      <c r="A1006" s="25">
        <v>993</v>
      </c>
      <c r="B1006" s="25" t="s">
        <v>1543</v>
      </c>
      <c r="C1006" s="25" t="s">
        <v>3258</v>
      </c>
      <c r="D1006" s="25">
        <v>0</v>
      </c>
      <c r="E1006" s="25">
        <v>122.9</v>
      </c>
      <c r="F1006" s="17"/>
      <c r="G1006" s="25"/>
    </row>
    <row r="1007">
      <c r="A1007" s="25">
        <v>994</v>
      </c>
      <c r="B1007" s="25" t="s">
        <v>1546</v>
      </c>
      <c r="C1007" s="25" t="s">
        <v>3259</v>
      </c>
      <c r="D1007" s="25">
        <v>0</v>
      </c>
      <c r="E1007" s="25">
        <v>0</v>
      </c>
      <c r="F1007" s="17"/>
      <c r="G1007" s="25"/>
    </row>
    <row r="1008">
      <c r="A1008" s="25">
        <v>995</v>
      </c>
      <c r="B1008" s="25" t="s">
        <v>1547</v>
      </c>
      <c r="C1008" s="25" t="s">
        <v>3260</v>
      </c>
      <c r="D1008" s="25">
        <v>0</v>
      </c>
      <c r="E1008" s="25">
        <v>0</v>
      </c>
      <c r="F1008" s="17"/>
      <c r="G1008" s="25"/>
    </row>
    <row r="1009">
      <c r="A1009" s="25">
        <v>996</v>
      </c>
      <c r="B1009" s="25" t="s">
        <v>1548</v>
      </c>
      <c r="C1009" s="25" t="s">
        <v>3261</v>
      </c>
      <c r="D1009" s="25">
        <v>0</v>
      </c>
      <c r="E1009" s="25">
        <v>0</v>
      </c>
      <c r="F1009" s="17"/>
      <c r="G1009" s="25"/>
    </row>
    <row r="1010">
      <c r="A1010" s="25">
        <v>997</v>
      </c>
      <c r="B1010" s="25" t="s">
        <v>1549</v>
      </c>
      <c r="C1010" s="25" t="s">
        <v>3262</v>
      </c>
      <c r="D1010" s="25">
        <v>0</v>
      </c>
      <c r="E1010" s="25">
        <v>0</v>
      </c>
      <c r="F1010" s="17"/>
      <c r="G1010" s="25"/>
    </row>
    <row r="1011">
      <c r="A1011" s="25">
        <v>998</v>
      </c>
      <c r="B1011" s="25" t="s">
        <v>1550</v>
      </c>
      <c r="C1011" s="25" t="s">
        <v>3263</v>
      </c>
      <c r="D1011" s="25">
        <v>0</v>
      </c>
      <c r="E1011" s="25">
        <v>0</v>
      </c>
      <c r="F1011" s="17"/>
      <c r="G1011" s="25"/>
    </row>
    <row r="1012">
      <c r="A1012" s="25">
        <v>999</v>
      </c>
      <c r="B1012" s="25" t="s">
        <v>1551</v>
      </c>
      <c r="C1012" s="25" t="s">
        <v>3264</v>
      </c>
      <c r="D1012" s="25">
        <v>0</v>
      </c>
      <c r="E1012" s="25">
        <v>0</v>
      </c>
      <c r="F1012" s="17"/>
      <c r="G1012" s="25"/>
    </row>
    <row r="1013">
      <c r="A1013" s="25">
        <v>1000</v>
      </c>
      <c r="B1013" s="25" t="s">
        <v>1552</v>
      </c>
      <c r="C1013" s="25" t="s">
        <v>3265</v>
      </c>
      <c r="D1013" s="25">
        <v>0</v>
      </c>
      <c r="E1013" s="25">
        <v>0</v>
      </c>
      <c r="F1013" s="17"/>
      <c r="G1013" s="25"/>
    </row>
    <row r="1014">
      <c r="A1014" s="25">
        <v>1001</v>
      </c>
      <c r="B1014" s="25" t="s">
        <v>1555</v>
      </c>
      <c r="C1014" s="25" t="s">
        <v>3266</v>
      </c>
      <c r="D1014" s="25">
        <v>0</v>
      </c>
      <c r="E1014" s="25">
        <v>0</v>
      </c>
      <c r="F1014" s="17"/>
      <c r="G1014" s="25"/>
    </row>
    <row r="1015">
      <c r="A1015" s="25">
        <v>1002</v>
      </c>
      <c r="B1015" s="25" t="s">
        <v>1556</v>
      </c>
      <c r="C1015" s="25" t="s">
        <v>3267</v>
      </c>
      <c r="D1015" s="25">
        <v>0</v>
      </c>
      <c r="E1015" s="25">
        <v>0</v>
      </c>
      <c r="F1015" s="17"/>
      <c r="G1015" s="25"/>
    </row>
    <row r="1016">
      <c r="A1016" s="25">
        <v>1003</v>
      </c>
      <c r="B1016" s="25" t="s">
        <v>1557</v>
      </c>
      <c r="C1016" s="25" t="s">
        <v>3268</v>
      </c>
      <c r="D1016" s="25">
        <v>0</v>
      </c>
      <c r="E1016" s="25">
        <v>0</v>
      </c>
      <c r="F1016" s="17"/>
      <c r="G1016" s="25"/>
    </row>
    <row r="1017">
      <c r="A1017" s="25">
        <v>1004</v>
      </c>
      <c r="B1017" s="25" t="s">
        <v>1558</v>
      </c>
      <c r="C1017" s="25" t="s">
        <v>3269</v>
      </c>
      <c r="D1017" s="25">
        <v>0</v>
      </c>
      <c r="E1017" s="25">
        <v>0</v>
      </c>
      <c r="F1017" s="17"/>
      <c r="G1017" s="25"/>
    </row>
    <row r="1018">
      <c r="A1018" s="25">
        <v>1005</v>
      </c>
      <c r="B1018" s="25" t="s">
        <v>1559</v>
      </c>
      <c r="C1018" s="25" t="s">
        <v>3270</v>
      </c>
      <c r="D1018" s="25">
        <v>0</v>
      </c>
      <c r="E1018" s="25">
        <v>0</v>
      </c>
      <c r="F1018" s="17"/>
      <c r="G1018" s="25"/>
    </row>
    <row r="1019">
      <c r="A1019" s="25">
        <v>1006</v>
      </c>
      <c r="B1019" s="25" t="s">
        <v>1560</v>
      </c>
      <c r="C1019" s="25" t="s">
        <v>3271</v>
      </c>
      <c r="D1019" s="25">
        <v>4860.36</v>
      </c>
      <c r="E1019" s="25">
        <v>27529.66</v>
      </c>
      <c r="F1019" s="17"/>
      <c r="G1019" s="25"/>
    </row>
    <row r="1020">
      <c r="A1020" s="25">
        <v>1007</v>
      </c>
      <c r="B1020" s="25" t="s">
        <v>1561</v>
      </c>
      <c r="C1020" s="25" t="s">
        <v>3272</v>
      </c>
      <c r="D1020" s="25">
        <v>4860.36</v>
      </c>
      <c r="E1020" s="25">
        <v>27529.66</v>
      </c>
      <c r="F1020" s="17"/>
      <c r="G1020" s="25"/>
    </row>
    <row r="1021">
      <c r="A1021" s="25">
        <v>1008</v>
      </c>
      <c r="B1021" s="25" t="s">
        <v>1564</v>
      </c>
      <c r="C1021" s="25" t="s">
        <v>3273</v>
      </c>
      <c r="D1021" s="25">
        <v>0</v>
      </c>
      <c r="E1021" s="25">
        <v>0</v>
      </c>
      <c r="F1021" s="17"/>
      <c r="G1021" s="25"/>
    </row>
    <row r="1022">
      <c r="A1022" s="25">
        <v>1009</v>
      </c>
      <c r="B1022" s="25" t="s">
        <v>1565</v>
      </c>
      <c r="C1022" s="25" t="s">
        <v>3274</v>
      </c>
      <c r="D1022" s="25">
        <v>0</v>
      </c>
      <c r="E1022" s="25">
        <v>0</v>
      </c>
      <c r="F1022" s="17"/>
      <c r="G1022" s="25"/>
    </row>
    <row r="1023">
      <c r="A1023" s="25">
        <v>1010</v>
      </c>
      <c r="B1023" s="25" t="s">
        <v>1566</v>
      </c>
      <c r="C1023" s="25" t="s">
        <v>3275</v>
      </c>
      <c r="D1023" s="25">
        <v>0</v>
      </c>
      <c r="E1023" s="25">
        <v>0</v>
      </c>
      <c r="F1023" s="17"/>
      <c r="G1023" s="25"/>
    </row>
    <row r="1024">
      <c r="A1024" s="25">
        <v>1011</v>
      </c>
      <c r="B1024" s="25" t="s">
        <v>1567</v>
      </c>
      <c r="C1024" s="25" t="s">
        <v>3276</v>
      </c>
      <c r="D1024" s="25">
        <v>0</v>
      </c>
      <c r="E1024" s="25">
        <v>0</v>
      </c>
      <c r="F1024" s="17"/>
      <c r="G1024" s="25"/>
    </row>
    <row r="1025">
      <c r="A1025" s="25">
        <v>1012</v>
      </c>
      <c r="B1025" s="25" t="s">
        <v>1568</v>
      </c>
      <c r="C1025" s="25" t="s">
        <v>3277</v>
      </c>
      <c r="D1025" s="25">
        <v>0</v>
      </c>
      <c r="E1025" s="25">
        <v>0</v>
      </c>
      <c r="F1025" s="17"/>
      <c r="G1025" s="25"/>
    </row>
    <row r="1026">
      <c r="A1026" s="25">
        <v>1013</v>
      </c>
      <c r="B1026" s="25" t="s">
        <v>1569</v>
      </c>
      <c r="C1026" s="25" t="s">
        <v>3278</v>
      </c>
      <c r="D1026" s="25">
        <v>0</v>
      </c>
      <c r="E1026" s="25">
        <v>2663.29</v>
      </c>
      <c r="F1026" s="17"/>
      <c r="G1026" s="25"/>
    </row>
    <row r="1027">
      <c r="A1027" s="25">
        <v>1014</v>
      </c>
      <c r="B1027" s="25" t="s">
        <v>1570</v>
      </c>
      <c r="C1027" s="25" t="s">
        <v>3279</v>
      </c>
      <c r="D1027" s="25">
        <v>0</v>
      </c>
      <c r="E1027" s="25">
        <v>2663.29</v>
      </c>
      <c r="F1027" s="17"/>
      <c r="G1027" s="25"/>
    </row>
    <row r="1028">
      <c r="A1028" s="25">
        <v>1015</v>
      </c>
      <c r="B1028" s="25" t="s">
        <v>1573</v>
      </c>
      <c r="C1028" s="25" t="s">
        <v>3280</v>
      </c>
      <c r="D1028" s="25">
        <v>0</v>
      </c>
      <c r="E1028" s="25">
        <v>4386.47</v>
      </c>
      <c r="F1028" s="17"/>
      <c r="G1028" s="25"/>
    </row>
    <row r="1029">
      <c r="A1029" s="25">
        <v>1016</v>
      </c>
      <c r="B1029" s="25" t="s">
        <v>1574</v>
      </c>
      <c r="C1029" s="25" t="s">
        <v>3281</v>
      </c>
      <c r="D1029" s="25">
        <v>0</v>
      </c>
      <c r="E1029" s="25">
        <v>0</v>
      </c>
      <c r="F1029" s="17"/>
      <c r="G1029" s="25"/>
    </row>
    <row r="1030">
      <c r="A1030" s="25">
        <v>1017</v>
      </c>
      <c r="B1030" s="25" t="s">
        <v>1575</v>
      </c>
      <c r="C1030" s="25" t="s">
        <v>3282</v>
      </c>
      <c r="D1030" s="25">
        <v>0</v>
      </c>
      <c r="E1030" s="25">
        <v>0</v>
      </c>
      <c r="F1030" s="17"/>
      <c r="G1030" s="25"/>
    </row>
    <row r="1031">
      <c r="A1031" s="25">
        <v>1018</v>
      </c>
      <c r="B1031" s="25" t="s">
        <v>1576</v>
      </c>
      <c r="C1031" s="25" t="s">
        <v>3283</v>
      </c>
      <c r="D1031" s="25">
        <v>0</v>
      </c>
      <c r="E1031" s="25">
        <v>0</v>
      </c>
      <c r="F1031" s="17"/>
      <c r="G1031" s="25"/>
    </row>
    <row r="1032">
      <c r="A1032" s="25">
        <v>1019</v>
      </c>
      <c r="B1032" s="25" t="s">
        <v>1577</v>
      </c>
      <c r="C1032" s="25" t="s">
        <v>3284</v>
      </c>
      <c r="D1032" s="25">
        <v>950</v>
      </c>
      <c r="E1032" s="25">
        <v>6400</v>
      </c>
      <c r="F1032" s="17"/>
      <c r="G1032" s="25"/>
    </row>
    <row r="1033">
      <c r="A1033" s="25">
        <v>1020</v>
      </c>
      <c r="B1033" s="25" t="s">
        <v>1578</v>
      </c>
      <c r="C1033" s="25" t="s">
        <v>3285</v>
      </c>
      <c r="D1033" s="25">
        <v>520</v>
      </c>
      <c r="E1033" s="25">
        <v>10792.93</v>
      </c>
      <c r="F1033" s="17"/>
      <c r="G1033" s="25"/>
    </row>
    <row r="1034">
      <c r="A1034" s="25">
        <v>1021</v>
      </c>
      <c r="B1034" s="25" t="s">
        <v>1579</v>
      </c>
      <c r="C1034" s="25" t="s">
        <v>3286</v>
      </c>
      <c r="D1034" s="25">
        <v>1470</v>
      </c>
      <c r="E1034" s="25">
        <v>21579.4</v>
      </c>
      <c r="F1034" s="17"/>
      <c r="G1034" s="25"/>
    </row>
    <row r="1035">
      <c r="A1035" s="25">
        <v>1022</v>
      </c>
      <c r="B1035" s="25" t="s">
        <v>1582</v>
      </c>
      <c r="C1035" s="25" t="s">
        <v>3287</v>
      </c>
      <c r="D1035" s="25">
        <v>0</v>
      </c>
      <c r="E1035" s="25">
        <v>0</v>
      </c>
      <c r="F1035" s="17"/>
      <c r="G1035" s="25"/>
    </row>
    <row r="1036">
      <c r="A1036" s="25">
        <v>1023</v>
      </c>
      <c r="B1036" s="25" t="s">
        <v>1583</v>
      </c>
      <c r="C1036" s="25" t="s">
        <v>3288</v>
      </c>
      <c r="D1036" s="25">
        <v>0</v>
      </c>
      <c r="E1036" s="25">
        <v>0</v>
      </c>
      <c r="F1036" s="17"/>
      <c r="G1036" s="25"/>
    </row>
    <row r="1037">
      <c r="A1037" s="25">
        <v>1024</v>
      </c>
      <c r="B1037" s="25" t="s">
        <v>1584</v>
      </c>
      <c r="C1037" s="25" t="s">
        <v>3289</v>
      </c>
      <c r="D1037" s="25">
        <v>0</v>
      </c>
      <c r="E1037" s="25">
        <v>0</v>
      </c>
      <c r="F1037" s="17"/>
      <c r="G1037" s="25"/>
    </row>
    <row r="1038">
      <c r="A1038" s="25">
        <v>1025</v>
      </c>
      <c r="B1038" s="25" t="s">
        <v>1585</v>
      </c>
      <c r="C1038" s="25" t="s">
        <v>3290</v>
      </c>
      <c r="D1038" s="25">
        <v>0</v>
      </c>
      <c r="E1038" s="25">
        <v>0</v>
      </c>
      <c r="F1038" s="17"/>
      <c r="G1038" s="25"/>
    </row>
    <row r="1039">
      <c r="A1039" s="25">
        <v>1026</v>
      </c>
      <c r="B1039" s="25" t="s">
        <v>1586</v>
      </c>
      <c r="C1039" s="25" t="s">
        <v>3291</v>
      </c>
      <c r="D1039" s="25">
        <v>0</v>
      </c>
      <c r="E1039" s="25">
        <v>0</v>
      </c>
      <c r="F1039" s="17"/>
      <c r="G1039" s="25"/>
    </row>
    <row r="1040">
      <c r="A1040" s="25">
        <v>1027</v>
      </c>
      <c r="B1040" s="25" t="s">
        <v>1587</v>
      </c>
      <c r="C1040" s="25" t="s">
        <v>3292</v>
      </c>
      <c r="D1040" s="25">
        <v>0</v>
      </c>
      <c r="E1040" s="25">
        <v>0</v>
      </c>
      <c r="F1040" s="17"/>
      <c r="G1040" s="25"/>
    </row>
    <row r="1041">
      <c r="A1041" s="25">
        <v>1028</v>
      </c>
      <c r="B1041" s="25" t="s">
        <v>1588</v>
      </c>
      <c r="C1041" s="25" t="s">
        <v>3293</v>
      </c>
      <c r="D1041" s="25">
        <v>0</v>
      </c>
      <c r="E1041" s="25">
        <v>0</v>
      </c>
      <c r="F1041" s="17"/>
      <c r="G1041" s="25"/>
    </row>
    <row r="1042">
      <c r="A1042" s="25">
        <v>1029</v>
      </c>
      <c r="B1042" s="25" t="s">
        <v>1591</v>
      </c>
      <c r="C1042" s="25" t="s">
        <v>3294</v>
      </c>
      <c r="D1042" s="25">
        <v>0</v>
      </c>
      <c r="E1042" s="25">
        <v>0</v>
      </c>
      <c r="F1042" s="17"/>
      <c r="G1042" s="25"/>
    </row>
    <row r="1043">
      <c r="A1043" s="25">
        <v>1030</v>
      </c>
      <c r="B1043" s="25" t="s">
        <v>1592</v>
      </c>
      <c r="C1043" s="25" t="s">
        <v>3295</v>
      </c>
      <c r="D1043" s="25">
        <v>0</v>
      </c>
      <c r="E1043" s="25">
        <v>0</v>
      </c>
      <c r="F1043" s="17"/>
      <c r="G1043" s="25"/>
    </row>
    <row r="1044">
      <c r="A1044" s="25">
        <v>1031</v>
      </c>
      <c r="B1044" s="25" t="s">
        <v>1593</v>
      </c>
      <c r="C1044" s="25" t="s">
        <v>3296</v>
      </c>
      <c r="D1044" s="25">
        <v>0</v>
      </c>
      <c r="E1044" s="25">
        <v>0</v>
      </c>
      <c r="F1044" s="17"/>
      <c r="G1044" s="25"/>
    </row>
    <row r="1045">
      <c r="A1045" s="25">
        <v>1032</v>
      </c>
      <c r="B1045" s="25" t="s">
        <v>1594</v>
      </c>
      <c r="C1045" s="25" t="s">
        <v>3297</v>
      </c>
      <c r="D1045" s="25">
        <v>0</v>
      </c>
      <c r="E1045" s="25">
        <v>0</v>
      </c>
      <c r="F1045" s="17"/>
      <c r="G1045" s="25"/>
    </row>
    <row r="1046">
      <c r="A1046" s="25">
        <v>1033</v>
      </c>
      <c r="B1046" s="25" t="s">
        <v>1595</v>
      </c>
      <c r="C1046" s="25" t="s">
        <v>3298</v>
      </c>
      <c r="D1046" s="25">
        <v>0</v>
      </c>
      <c r="E1046" s="25">
        <v>0</v>
      </c>
      <c r="F1046" s="17"/>
      <c r="G1046" s="25"/>
    </row>
    <row r="1047">
      <c r="A1047" s="25">
        <v>1034</v>
      </c>
      <c r="B1047" s="25" t="s">
        <v>1596</v>
      </c>
      <c r="C1047" s="25" t="s">
        <v>3299</v>
      </c>
      <c r="D1047" s="25">
        <v>0</v>
      </c>
      <c r="E1047" s="25">
        <v>0</v>
      </c>
      <c r="F1047" s="17"/>
      <c r="G1047" s="25"/>
    </row>
    <row r="1048">
      <c r="A1048" s="25">
        <v>1035</v>
      </c>
      <c r="B1048" s="25" t="s">
        <v>1597</v>
      </c>
      <c r="C1048" s="25" t="s">
        <v>3300</v>
      </c>
      <c r="D1048" s="25">
        <v>0</v>
      </c>
      <c r="E1048" s="25">
        <v>0</v>
      </c>
      <c r="F1048" s="17"/>
      <c r="G1048" s="25"/>
    </row>
    <row r="1049">
      <c r="A1049" s="25">
        <v>1036</v>
      </c>
      <c r="B1049" s="25" t="s">
        <v>1600</v>
      </c>
      <c r="C1049" s="25" t="s">
        <v>3301</v>
      </c>
      <c r="D1049" s="25">
        <v>0</v>
      </c>
      <c r="E1049" s="25">
        <v>0</v>
      </c>
      <c r="F1049" s="17"/>
      <c r="G1049" s="25"/>
    </row>
    <row r="1050">
      <c r="A1050" s="25">
        <v>1037</v>
      </c>
      <c r="B1050" s="25" t="s">
        <v>1601</v>
      </c>
      <c r="C1050" s="25" t="s">
        <v>3302</v>
      </c>
      <c r="D1050" s="25">
        <v>0</v>
      </c>
      <c r="E1050" s="25">
        <v>0</v>
      </c>
      <c r="F1050" s="17"/>
      <c r="G1050" s="25"/>
    </row>
    <row r="1051">
      <c r="A1051" s="25">
        <v>1038</v>
      </c>
      <c r="B1051" s="25" t="s">
        <v>1602</v>
      </c>
      <c r="C1051" s="25" t="s">
        <v>3303</v>
      </c>
      <c r="D1051" s="25">
        <v>0</v>
      </c>
      <c r="E1051" s="25">
        <v>0</v>
      </c>
      <c r="F1051" s="17"/>
      <c r="G1051" s="25"/>
    </row>
    <row r="1052">
      <c r="A1052" s="25">
        <v>1039</v>
      </c>
      <c r="B1052" s="25" t="s">
        <v>1603</v>
      </c>
      <c r="C1052" s="25" t="s">
        <v>3304</v>
      </c>
      <c r="D1052" s="25">
        <v>0</v>
      </c>
      <c r="E1052" s="25">
        <v>0</v>
      </c>
      <c r="F1052" s="17"/>
      <c r="G1052" s="25"/>
    </row>
    <row r="1053">
      <c r="A1053" s="25">
        <v>1040</v>
      </c>
      <c r="B1053" s="25" t="s">
        <v>1604</v>
      </c>
      <c r="C1053" s="25" t="s">
        <v>3305</v>
      </c>
      <c r="D1053" s="25">
        <v>0</v>
      </c>
      <c r="E1053" s="25">
        <v>0</v>
      </c>
      <c r="F1053" s="17"/>
      <c r="G1053" s="25"/>
    </row>
    <row r="1054">
      <c r="A1054" s="25">
        <v>1041</v>
      </c>
      <c r="B1054" s="25" t="s">
        <v>1605</v>
      </c>
      <c r="C1054" s="25" t="s">
        <v>3306</v>
      </c>
      <c r="D1054" s="25">
        <v>0</v>
      </c>
      <c r="E1054" s="25">
        <v>0</v>
      </c>
      <c r="F1054" s="17"/>
      <c r="G1054" s="25"/>
    </row>
    <row r="1055">
      <c r="A1055" s="25">
        <v>1042</v>
      </c>
      <c r="B1055" s="25" t="s">
        <v>1606</v>
      </c>
      <c r="C1055" s="25" t="s">
        <v>3307</v>
      </c>
      <c r="D1055" s="25">
        <v>0</v>
      </c>
      <c r="E1055" s="25">
        <v>0</v>
      </c>
      <c r="F1055" s="17"/>
      <c r="G1055" s="25"/>
    </row>
    <row r="1056">
      <c r="A1056" s="25">
        <v>1043</v>
      </c>
      <c r="B1056" s="25" t="s">
        <v>1609</v>
      </c>
      <c r="C1056" s="25" t="s">
        <v>3308</v>
      </c>
      <c r="D1056" s="25">
        <v>0</v>
      </c>
      <c r="E1056" s="25">
        <v>0</v>
      </c>
      <c r="F1056" s="17"/>
      <c r="G1056" s="25"/>
    </row>
    <row r="1057">
      <c r="A1057" s="25">
        <v>1044</v>
      </c>
      <c r="B1057" s="25" t="s">
        <v>1610</v>
      </c>
      <c r="C1057" s="25" t="s">
        <v>3309</v>
      </c>
      <c r="D1057" s="25">
        <v>0</v>
      </c>
      <c r="E1057" s="25">
        <v>0</v>
      </c>
      <c r="F1057" s="17"/>
      <c r="G1057" s="25"/>
    </row>
    <row r="1058">
      <c r="A1058" s="25">
        <v>1045</v>
      </c>
      <c r="B1058" s="25" t="s">
        <v>1611</v>
      </c>
      <c r="C1058" s="25" t="s">
        <v>3310</v>
      </c>
      <c r="D1058" s="25">
        <v>0</v>
      </c>
      <c r="E1058" s="25">
        <v>0</v>
      </c>
      <c r="F1058" s="17"/>
      <c r="G1058" s="25"/>
    </row>
    <row r="1059">
      <c r="A1059" s="25">
        <v>1046</v>
      </c>
      <c r="B1059" s="25" t="s">
        <v>1612</v>
      </c>
      <c r="C1059" s="25" t="s">
        <v>3311</v>
      </c>
      <c r="D1059" s="25">
        <v>0</v>
      </c>
      <c r="E1059" s="25">
        <v>0</v>
      </c>
      <c r="F1059" s="17"/>
      <c r="G1059" s="25"/>
    </row>
    <row r="1060">
      <c r="A1060" s="25">
        <v>1047</v>
      </c>
      <c r="B1060" s="25" t="s">
        <v>1613</v>
      </c>
      <c r="C1060" s="25" t="s">
        <v>3312</v>
      </c>
      <c r="D1060" s="25">
        <v>0</v>
      </c>
      <c r="E1060" s="25">
        <v>0</v>
      </c>
      <c r="F1060" s="17"/>
      <c r="G1060" s="25"/>
    </row>
    <row r="1061">
      <c r="A1061" s="25">
        <v>1048</v>
      </c>
      <c r="B1061" s="25" t="s">
        <v>1614</v>
      </c>
      <c r="C1061" s="25" t="s">
        <v>3313</v>
      </c>
      <c r="D1061" s="25">
        <v>0</v>
      </c>
      <c r="E1061" s="25">
        <v>0</v>
      </c>
      <c r="F1061" s="17"/>
      <c r="G1061" s="25"/>
    </row>
    <row r="1062">
      <c r="A1062" s="25">
        <v>1049</v>
      </c>
      <c r="B1062" s="25" t="s">
        <v>1615</v>
      </c>
      <c r="C1062" s="25" t="s">
        <v>3314</v>
      </c>
      <c r="D1062" s="25">
        <v>0</v>
      </c>
      <c r="E1062" s="25">
        <v>0</v>
      </c>
      <c r="F1062" s="17"/>
      <c r="G1062" s="25"/>
    </row>
    <row r="1063">
      <c r="A1063" s="25">
        <v>1050</v>
      </c>
      <c r="B1063" s="25" t="s">
        <v>1618</v>
      </c>
      <c r="C1063" s="25" t="s">
        <v>3315</v>
      </c>
      <c r="D1063" s="25">
        <v>0</v>
      </c>
      <c r="E1063" s="25">
        <v>0</v>
      </c>
      <c r="F1063" s="17"/>
      <c r="G1063" s="25"/>
    </row>
    <row r="1064">
      <c r="A1064" s="25">
        <v>1051</v>
      </c>
      <c r="B1064" s="25" t="s">
        <v>1619</v>
      </c>
      <c r="C1064" s="25" t="s">
        <v>3316</v>
      </c>
      <c r="D1064" s="25">
        <v>0</v>
      </c>
      <c r="E1064" s="25">
        <v>0</v>
      </c>
      <c r="F1064" s="17"/>
      <c r="G1064" s="25"/>
    </row>
    <row r="1065">
      <c r="A1065" s="25">
        <v>1052</v>
      </c>
      <c r="B1065" s="25" t="s">
        <v>1620</v>
      </c>
      <c r="C1065" s="25" t="s">
        <v>3317</v>
      </c>
      <c r="D1065" s="25">
        <v>0</v>
      </c>
      <c r="E1065" s="25">
        <v>0</v>
      </c>
      <c r="F1065" s="17"/>
      <c r="G1065" s="25"/>
    </row>
    <row r="1066">
      <c r="A1066" s="25">
        <v>1053</v>
      </c>
      <c r="B1066" s="25" t="s">
        <v>1621</v>
      </c>
      <c r="C1066" s="25" t="s">
        <v>3318</v>
      </c>
      <c r="D1066" s="25">
        <v>0</v>
      </c>
      <c r="E1066" s="25">
        <v>14889.29</v>
      </c>
      <c r="F1066" s="17"/>
      <c r="G1066" s="25"/>
    </row>
    <row r="1067">
      <c r="A1067" s="25">
        <v>1054</v>
      </c>
      <c r="B1067" s="25" t="s">
        <v>1622</v>
      </c>
      <c r="C1067" s="25" t="s">
        <v>3319</v>
      </c>
      <c r="D1067" s="25">
        <v>-3540</v>
      </c>
      <c r="E1067" s="25">
        <v>5157.98</v>
      </c>
      <c r="F1067" s="17"/>
      <c r="G1067" s="25"/>
    </row>
    <row r="1068">
      <c r="A1068" s="25">
        <v>1055</v>
      </c>
      <c r="B1068" s="25" t="s">
        <v>1623</v>
      </c>
      <c r="C1068" s="25" t="s">
        <v>3320</v>
      </c>
      <c r="D1068" s="25">
        <v>0</v>
      </c>
      <c r="E1068" s="25">
        <v>3920</v>
      </c>
      <c r="F1068" s="17"/>
      <c r="G1068" s="25"/>
    </row>
    <row r="1069">
      <c r="A1069" s="25">
        <v>1056</v>
      </c>
      <c r="B1069" s="25" t="s">
        <v>1624</v>
      </c>
      <c r="C1069" s="25" t="s">
        <v>3321</v>
      </c>
      <c r="D1069" s="25">
        <v>-3540</v>
      </c>
      <c r="E1069" s="25">
        <v>23967.27</v>
      </c>
      <c r="F1069" s="17"/>
      <c r="G1069" s="25"/>
    </row>
    <row r="1070">
      <c r="A1070" s="25">
        <v>1057</v>
      </c>
      <c r="B1070" s="25" t="s">
        <v>1627</v>
      </c>
      <c r="C1070" s="25" t="s">
        <v>3322</v>
      </c>
      <c r="D1070" s="25">
        <v>0</v>
      </c>
      <c r="E1070" s="25">
        <v>0</v>
      </c>
      <c r="F1070" s="17"/>
      <c r="G1070" s="25"/>
    </row>
    <row r="1071">
      <c r="A1071" s="25">
        <v>1058</v>
      </c>
      <c r="B1071" s="25" t="s">
        <v>1628</v>
      </c>
      <c r="C1071" s="25" t="s">
        <v>3323</v>
      </c>
      <c r="D1071" s="25">
        <v>0</v>
      </c>
      <c r="E1071" s="25">
        <v>0</v>
      </c>
      <c r="F1071" s="17"/>
      <c r="G1071" s="25"/>
    </row>
    <row r="1072">
      <c r="A1072" s="25">
        <v>1059</v>
      </c>
      <c r="B1072" s="25" t="s">
        <v>1629</v>
      </c>
      <c r="C1072" s="25" t="s">
        <v>3324</v>
      </c>
      <c r="D1072" s="25">
        <v>0</v>
      </c>
      <c r="E1072" s="25">
        <v>0</v>
      </c>
      <c r="F1072" s="17"/>
      <c r="G1072" s="25"/>
    </row>
    <row r="1073">
      <c r="A1073" s="25">
        <v>1060</v>
      </c>
      <c r="B1073" s="25" t="s">
        <v>1630</v>
      </c>
      <c r="C1073" s="25" t="s">
        <v>3325</v>
      </c>
      <c r="D1073" s="25">
        <v>0</v>
      </c>
      <c r="E1073" s="25">
        <v>0</v>
      </c>
      <c r="F1073" s="17"/>
      <c r="G1073" s="25"/>
    </row>
    <row r="1074">
      <c r="A1074" s="25">
        <v>1061</v>
      </c>
      <c r="B1074" s="25" t="s">
        <v>1631</v>
      </c>
      <c r="C1074" s="25" t="s">
        <v>3326</v>
      </c>
      <c r="D1074" s="25">
        <v>0</v>
      </c>
      <c r="E1074" s="25">
        <v>0</v>
      </c>
      <c r="F1074" s="17"/>
      <c r="G1074" s="25"/>
    </row>
    <row r="1075">
      <c r="A1075" s="25">
        <v>1062</v>
      </c>
      <c r="B1075" s="25" t="s">
        <v>1632</v>
      </c>
      <c r="C1075" s="25" t="s">
        <v>3327</v>
      </c>
      <c r="D1075" s="25">
        <v>0</v>
      </c>
      <c r="E1075" s="25">
        <v>0</v>
      </c>
      <c r="F1075" s="17"/>
      <c r="G1075" s="25"/>
    </row>
    <row r="1076">
      <c r="A1076" s="25">
        <v>1063</v>
      </c>
      <c r="B1076" s="25" t="s">
        <v>1633</v>
      </c>
      <c r="C1076" s="25" t="s">
        <v>3328</v>
      </c>
      <c r="D1076" s="25">
        <v>0</v>
      </c>
      <c r="E1076" s="25">
        <v>0</v>
      </c>
      <c r="F1076" s="17"/>
      <c r="G1076" s="25"/>
    </row>
    <row r="1077">
      <c r="A1077" s="25">
        <v>1064</v>
      </c>
      <c r="B1077" s="25" t="s">
        <v>1636</v>
      </c>
      <c r="C1077" s="25" t="s">
        <v>3329</v>
      </c>
      <c r="D1077" s="25">
        <v>496.72</v>
      </c>
      <c r="E1077" s="25">
        <v>1011.18</v>
      </c>
      <c r="F1077" s="17"/>
      <c r="G1077" s="25"/>
    </row>
    <row r="1078">
      <c r="A1078" s="25">
        <v>1065</v>
      </c>
      <c r="B1078" s="25" t="s">
        <v>1637</v>
      </c>
      <c r="C1078" s="25" t="s">
        <v>3330</v>
      </c>
      <c r="D1078" s="25">
        <v>0</v>
      </c>
      <c r="E1078" s="25">
        <v>0</v>
      </c>
      <c r="F1078" s="17"/>
      <c r="G1078" s="25"/>
    </row>
    <row r="1079">
      <c r="A1079" s="25">
        <v>1066</v>
      </c>
      <c r="B1079" s="25" t="s">
        <v>1638</v>
      </c>
      <c r="C1079" s="25" t="s">
        <v>3331</v>
      </c>
      <c r="D1079" s="25">
        <v>0</v>
      </c>
      <c r="E1079" s="25">
        <v>0</v>
      </c>
      <c r="F1079" s="17"/>
      <c r="G1079" s="25"/>
    </row>
    <row r="1080">
      <c r="A1080" s="25">
        <v>1067</v>
      </c>
      <c r="B1080" s="25" t="s">
        <v>1639</v>
      </c>
      <c r="C1080" s="25" t="s">
        <v>3332</v>
      </c>
      <c r="D1080" s="25">
        <v>7.4</v>
      </c>
      <c r="E1080" s="25">
        <v>82.45</v>
      </c>
      <c r="F1080" s="17"/>
      <c r="G1080" s="25"/>
    </row>
    <row r="1081">
      <c r="A1081" s="25">
        <v>1068</v>
      </c>
      <c r="B1081" s="25" t="s">
        <v>1640</v>
      </c>
      <c r="C1081" s="25" t="s">
        <v>3333</v>
      </c>
      <c r="D1081" s="25">
        <v>1566.92</v>
      </c>
      <c r="E1081" s="25">
        <v>4386.15</v>
      </c>
      <c r="F1081" s="17"/>
      <c r="G1081" s="25"/>
    </row>
    <row r="1082">
      <c r="A1082" s="25">
        <v>1069</v>
      </c>
      <c r="B1082" s="25" t="s">
        <v>1641</v>
      </c>
      <c r="C1082" s="25" t="s">
        <v>3334</v>
      </c>
      <c r="D1082" s="25">
        <v>0</v>
      </c>
      <c r="E1082" s="25">
        <v>337.3</v>
      </c>
      <c r="F1082" s="17"/>
      <c r="G1082" s="25"/>
    </row>
    <row r="1083">
      <c r="A1083" s="25">
        <v>1070</v>
      </c>
      <c r="B1083" s="25" t="s">
        <v>1642</v>
      </c>
      <c r="C1083" s="25" t="s">
        <v>3335</v>
      </c>
      <c r="D1083" s="25">
        <v>2071.04</v>
      </c>
      <c r="E1083" s="25">
        <v>5817.08</v>
      </c>
      <c r="F1083" s="17"/>
      <c r="G1083" s="25"/>
    </row>
    <row r="1084">
      <c r="A1084" s="25">
        <v>1071</v>
      </c>
      <c r="B1084" s="25" t="s">
        <v>1644</v>
      </c>
      <c r="C1084" s="25" t="s">
        <v>3336</v>
      </c>
      <c r="D1084" s="25">
        <v>4717.96</v>
      </c>
      <c r="E1084" s="25">
        <v>18245.17</v>
      </c>
      <c r="F1084" s="17"/>
      <c r="G1084" s="25"/>
    </row>
    <row r="1085">
      <c r="A1085" s="25">
        <v>1072</v>
      </c>
      <c r="B1085" s="25" t="s">
        <v>1645</v>
      </c>
      <c r="C1085" s="25" t="s">
        <v>3337</v>
      </c>
      <c r="D1085" s="25">
        <v>0</v>
      </c>
      <c r="E1085" s="25">
        <v>0</v>
      </c>
      <c r="F1085" s="17"/>
      <c r="G1085" s="25"/>
    </row>
    <row r="1086">
      <c r="A1086" s="25">
        <v>1073</v>
      </c>
      <c r="B1086" s="25" t="s">
        <v>1646</v>
      </c>
      <c r="C1086" s="25" t="s">
        <v>3338</v>
      </c>
      <c r="D1086" s="25">
        <v>0</v>
      </c>
      <c r="E1086" s="25">
        <v>0</v>
      </c>
      <c r="F1086" s="17"/>
      <c r="G1086" s="25"/>
    </row>
    <row r="1087">
      <c r="A1087" s="25">
        <v>1074</v>
      </c>
      <c r="B1087" s="25" t="s">
        <v>1647</v>
      </c>
      <c r="C1087" s="25" t="s">
        <v>3339</v>
      </c>
      <c r="D1087" s="25">
        <v>1634.39</v>
      </c>
      <c r="E1087" s="25">
        <v>19504.61</v>
      </c>
      <c r="F1087" s="17"/>
      <c r="G1087" s="25"/>
    </row>
    <row r="1088">
      <c r="A1088" s="25">
        <v>1075</v>
      </c>
      <c r="B1088" s="25" t="s">
        <v>1648</v>
      </c>
      <c r="C1088" s="25" t="s">
        <v>3340</v>
      </c>
      <c r="D1088" s="25">
        <v>524.88</v>
      </c>
      <c r="E1088" s="25">
        <v>20416.73</v>
      </c>
      <c r="F1088" s="17"/>
      <c r="G1088" s="25"/>
    </row>
    <row r="1089">
      <c r="A1089" s="25">
        <v>1076</v>
      </c>
      <c r="B1089" s="25" t="s">
        <v>1649</v>
      </c>
      <c r="C1089" s="25" t="s">
        <v>3341</v>
      </c>
      <c r="D1089" s="25">
        <v>48068.74</v>
      </c>
      <c r="E1089" s="25">
        <v>365214.66</v>
      </c>
      <c r="F1089" s="17"/>
      <c r="G1089" s="25"/>
    </row>
    <row r="1090">
      <c r="A1090" s="25">
        <v>1077</v>
      </c>
      <c r="B1090" s="25" t="s">
        <v>1650</v>
      </c>
      <c r="C1090" s="25" t="s">
        <v>3342</v>
      </c>
      <c r="D1090" s="25">
        <v>54945.97</v>
      </c>
      <c r="E1090" s="25">
        <v>423381.17</v>
      </c>
      <c r="F1090" s="17"/>
      <c r="G1090" s="25"/>
    </row>
    <row r="1091">
      <c r="A1091" s="25">
        <v>1078</v>
      </c>
      <c r="B1091" s="25" t="s">
        <v>1662</v>
      </c>
      <c r="C1091" s="25" t="s">
        <v>3343</v>
      </c>
      <c r="D1091" s="25">
        <v>-4380.39</v>
      </c>
      <c r="E1091" s="25">
        <v>-23557.46</v>
      </c>
      <c r="F1091" s="17"/>
      <c r="G1091" s="25"/>
    </row>
    <row r="1092">
      <c r="A1092" s="25">
        <v>1079</v>
      </c>
      <c r="B1092" s="25" t="s">
        <v>1663</v>
      </c>
      <c r="C1092" s="25" t="s">
        <v>3344</v>
      </c>
      <c r="D1092" s="25">
        <v>0</v>
      </c>
      <c r="E1092" s="25">
        <v>0</v>
      </c>
      <c r="F1092" s="17"/>
      <c r="G1092" s="25"/>
    </row>
    <row r="1093">
      <c r="A1093" s="25">
        <v>1080</v>
      </c>
      <c r="B1093" s="25" t="s">
        <v>1664</v>
      </c>
      <c r="C1093" s="25" t="s">
        <v>3345</v>
      </c>
      <c r="D1093" s="25">
        <v>0</v>
      </c>
      <c r="E1093" s="25">
        <v>0</v>
      </c>
      <c r="F1093" s="17"/>
      <c r="G1093" s="25"/>
    </row>
    <row r="1094">
      <c r="A1094" s="25">
        <v>1081</v>
      </c>
      <c r="B1094" s="25" t="s">
        <v>1665</v>
      </c>
      <c r="C1094" s="25" t="s">
        <v>3346</v>
      </c>
      <c r="D1094" s="25">
        <v>1862.04</v>
      </c>
      <c r="E1094" s="25">
        <v>20429.28</v>
      </c>
      <c r="F1094" s="17"/>
      <c r="G1094" s="25"/>
    </row>
    <row r="1095">
      <c r="A1095" s="25">
        <v>1082</v>
      </c>
      <c r="B1095" s="25" t="s">
        <v>1666</v>
      </c>
      <c r="C1095" s="25" t="s">
        <v>3347</v>
      </c>
      <c r="D1095" s="25">
        <v>1389.53</v>
      </c>
      <c r="E1095" s="25">
        <v>24496.67</v>
      </c>
      <c r="F1095" s="17"/>
      <c r="G1095" s="25"/>
    </row>
    <row r="1096">
      <c r="A1096" s="25">
        <v>1083</v>
      </c>
      <c r="B1096" s="25" t="s">
        <v>1667</v>
      </c>
      <c r="C1096" s="25" t="s">
        <v>3348</v>
      </c>
      <c r="D1096" s="25">
        <v>310142.66</v>
      </c>
      <c r="E1096" s="25">
        <v>1441814.69</v>
      </c>
      <c r="F1096" s="17"/>
      <c r="G1096" s="25"/>
    </row>
    <row r="1097">
      <c r="A1097" s="25">
        <v>1084</v>
      </c>
      <c r="B1097" s="25" t="s">
        <v>1668</v>
      </c>
      <c r="C1097" s="25" t="s">
        <v>3349</v>
      </c>
      <c r="D1097" s="25">
        <v>309013.84</v>
      </c>
      <c r="E1097" s="25">
        <v>1463183.18</v>
      </c>
      <c r="F1097" s="17"/>
      <c r="G1097" s="25"/>
    </row>
    <row r="1098">
      <c r="A1098" s="25">
        <v>1085</v>
      </c>
      <c r="B1098" s="25" t="s">
        <v>1672</v>
      </c>
      <c r="C1098" s="25" t="s">
        <v>3350</v>
      </c>
      <c r="D1098" s="25">
        <v>0</v>
      </c>
      <c r="E1098" s="25">
        <v>0</v>
      </c>
      <c r="F1098" s="17"/>
      <c r="G1098" s="25"/>
    </row>
    <row r="1099">
      <c r="A1099" s="25">
        <v>1086</v>
      </c>
      <c r="B1099" s="25" t="s">
        <v>1673</v>
      </c>
      <c r="C1099" s="25" t="s">
        <v>3351</v>
      </c>
      <c r="D1099" s="25">
        <v>0</v>
      </c>
      <c r="E1099" s="25">
        <v>0</v>
      </c>
      <c r="F1099" s="17"/>
      <c r="G1099" s="25"/>
    </row>
    <row r="1100">
      <c r="A1100" s="25">
        <v>1087</v>
      </c>
      <c r="B1100" s="25" t="s">
        <v>1674</v>
      </c>
      <c r="C1100" s="25" t="s">
        <v>3352</v>
      </c>
      <c r="D1100" s="25">
        <v>0</v>
      </c>
      <c r="E1100" s="25">
        <v>0</v>
      </c>
      <c r="F1100" s="17"/>
      <c r="G1100" s="25"/>
    </row>
    <row r="1101">
      <c r="A1101" s="25">
        <v>1088</v>
      </c>
      <c r="B1101" s="25" t="s">
        <v>1675</v>
      </c>
      <c r="C1101" s="25" t="s">
        <v>3353</v>
      </c>
      <c r="D1101" s="25">
        <v>0</v>
      </c>
      <c r="E1101" s="25">
        <v>0</v>
      </c>
      <c r="F1101" s="17"/>
      <c r="G1101" s="25"/>
    </row>
    <row r="1102">
      <c r="A1102" s="25">
        <v>1089</v>
      </c>
      <c r="B1102" s="25" t="s">
        <v>1676</v>
      </c>
      <c r="C1102" s="25" t="s">
        <v>3354</v>
      </c>
      <c r="D1102" s="25">
        <v>0</v>
      </c>
      <c r="E1102" s="25">
        <v>0</v>
      </c>
      <c r="F1102" s="17"/>
      <c r="G1102" s="25"/>
    </row>
    <row r="1103">
      <c r="A1103" s="25">
        <v>1090</v>
      </c>
      <c r="B1103" s="25" t="s">
        <v>1677</v>
      </c>
      <c r="C1103" s="25" t="s">
        <v>3355</v>
      </c>
      <c r="D1103" s="25">
        <v>0</v>
      </c>
      <c r="E1103" s="25">
        <v>0</v>
      </c>
      <c r="F1103" s="17"/>
      <c r="G1103" s="25"/>
    </row>
    <row r="1104">
      <c r="A1104" s="25">
        <v>1091</v>
      </c>
      <c r="B1104" s="25" t="s">
        <v>1678</v>
      </c>
      <c r="C1104" s="25" t="s">
        <v>3356</v>
      </c>
      <c r="D1104" s="25">
        <v>0</v>
      </c>
      <c r="E1104" s="25">
        <v>0</v>
      </c>
      <c r="F1104" s="17"/>
      <c r="G1104" s="25"/>
    </row>
    <row r="1105">
      <c r="A1105" s="25">
        <v>1092</v>
      </c>
      <c r="B1105" s="25" t="s">
        <v>1681</v>
      </c>
      <c r="C1105" s="25" t="s">
        <v>3357</v>
      </c>
      <c r="D1105" s="25">
        <v>0</v>
      </c>
      <c r="E1105" s="25">
        <v>0</v>
      </c>
      <c r="F1105" s="17"/>
      <c r="G1105" s="25"/>
    </row>
    <row r="1106">
      <c r="A1106" s="25">
        <v>1093</v>
      </c>
      <c r="B1106" s="25" t="s">
        <v>1682</v>
      </c>
      <c r="C1106" s="25" t="s">
        <v>3358</v>
      </c>
      <c r="D1106" s="25">
        <v>0</v>
      </c>
      <c r="E1106" s="25">
        <v>0</v>
      </c>
      <c r="F1106" s="17"/>
      <c r="G1106" s="25"/>
    </row>
    <row r="1107">
      <c r="A1107" s="25">
        <v>1094</v>
      </c>
      <c r="B1107" s="25" t="s">
        <v>1683</v>
      </c>
      <c r="C1107" s="25" t="s">
        <v>3359</v>
      </c>
      <c r="D1107" s="25">
        <v>0</v>
      </c>
      <c r="E1107" s="25">
        <v>0</v>
      </c>
      <c r="F1107" s="17"/>
      <c r="G1107" s="25"/>
    </row>
    <row r="1108">
      <c r="A1108" s="25">
        <v>1095</v>
      </c>
      <c r="B1108" s="25" t="s">
        <v>1684</v>
      </c>
      <c r="C1108" s="25" t="s">
        <v>3360</v>
      </c>
      <c r="D1108" s="25">
        <v>0</v>
      </c>
      <c r="E1108" s="25">
        <v>0</v>
      </c>
      <c r="F1108" s="17"/>
      <c r="G1108" s="25"/>
    </row>
    <row r="1109">
      <c r="A1109" s="25">
        <v>1096</v>
      </c>
      <c r="B1109" s="25" t="s">
        <v>1685</v>
      </c>
      <c r="C1109" s="25" t="s">
        <v>3361</v>
      </c>
      <c r="D1109" s="25">
        <v>0</v>
      </c>
      <c r="E1109" s="25">
        <v>0</v>
      </c>
      <c r="F1109" s="17"/>
      <c r="G1109" s="25"/>
    </row>
    <row r="1110">
      <c r="A1110" s="25">
        <v>1097</v>
      </c>
      <c r="B1110" s="25" t="s">
        <v>1686</v>
      </c>
      <c r="C1110" s="25" t="s">
        <v>3362</v>
      </c>
      <c r="D1110" s="25">
        <v>0</v>
      </c>
      <c r="E1110" s="25">
        <v>0</v>
      </c>
      <c r="F1110" s="17"/>
      <c r="G1110" s="25"/>
    </row>
    <row r="1111">
      <c r="A1111" s="25">
        <v>1098</v>
      </c>
      <c r="B1111" s="25" t="s">
        <v>1687</v>
      </c>
      <c r="C1111" s="25" t="s">
        <v>3363</v>
      </c>
      <c r="D1111" s="25">
        <v>0</v>
      </c>
      <c r="E1111" s="25">
        <v>0</v>
      </c>
      <c r="F1111" s="17"/>
      <c r="G1111" s="25"/>
    </row>
    <row r="1112">
      <c r="A1112" s="25">
        <v>1099</v>
      </c>
      <c r="B1112" s="25" t="s">
        <v>1690</v>
      </c>
      <c r="C1112" s="25" t="s">
        <v>3364</v>
      </c>
      <c r="D1112" s="25">
        <v>0</v>
      </c>
      <c r="E1112" s="25">
        <v>0</v>
      </c>
      <c r="F1112" s="17"/>
      <c r="G1112" s="25"/>
    </row>
    <row r="1113">
      <c r="A1113" s="25">
        <v>1100</v>
      </c>
      <c r="B1113" s="25" t="s">
        <v>1691</v>
      </c>
      <c r="C1113" s="25" t="s">
        <v>3365</v>
      </c>
      <c r="D1113" s="25">
        <v>0</v>
      </c>
      <c r="E1113" s="25">
        <v>0</v>
      </c>
      <c r="F1113" s="17"/>
      <c r="G1113" s="25"/>
    </row>
    <row r="1114">
      <c r="A1114" s="25">
        <v>1101</v>
      </c>
      <c r="B1114" s="25" t="s">
        <v>1692</v>
      </c>
      <c r="C1114" s="25" t="s">
        <v>3366</v>
      </c>
      <c r="D1114" s="25">
        <v>0</v>
      </c>
      <c r="E1114" s="25">
        <v>0</v>
      </c>
      <c r="F1114" s="17"/>
      <c r="G1114" s="25"/>
    </row>
    <row r="1115">
      <c r="A1115" s="25">
        <v>1102</v>
      </c>
      <c r="B1115" s="25" t="s">
        <v>1693</v>
      </c>
      <c r="C1115" s="25" t="s">
        <v>3367</v>
      </c>
      <c r="D1115" s="25">
        <v>0</v>
      </c>
      <c r="E1115" s="25">
        <v>0</v>
      </c>
      <c r="F1115" s="17"/>
      <c r="G1115" s="25"/>
    </row>
    <row r="1116">
      <c r="A1116" s="25">
        <v>1103</v>
      </c>
      <c r="B1116" s="25" t="s">
        <v>1694</v>
      </c>
      <c r="C1116" s="25" t="s">
        <v>3368</v>
      </c>
      <c r="D1116" s="25">
        <v>0</v>
      </c>
      <c r="E1116" s="25">
        <v>0</v>
      </c>
      <c r="F1116" s="17"/>
      <c r="G1116" s="25"/>
    </row>
    <row r="1117">
      <c r="A1117" s="25">
        <v>1104</v>
      </c>
      <c r="B1117" s="25" t="s">
        <v>1695</v>
      </c>
      <c r="C1117" s="25" t="s">
        <v>3369</v>
      </c>
      <c r="D1117" s="25">
        <v>0</v>
      </c>
      <c r="E1117" s="25">
        <v>0</v>
      </c>
      <c r="F1117" s="17"/>
      <c r="G1117" s="25"/>
    </row>
    <row r="1118">
      <c r="A1118" s="25">
        <v>1105</v>
      </c>
      <c r="B1118" s="25" t="s">
        <v>1696</v>
      </c>
      <c r="C1118" s="25" t="s">
        <v>3370</v>
      </c>
      <c r="D1118" s="25">
        <v>0</v>
      </c>
      <c r="E1118" s="25">
        <v>0</v>
      </c>
      <c r="F1118" s="17"/>
      <c r="G1118" s="25"/>
    </row>
    <row r="1119">
      <c r="A1119" s="25">
        <v>1106</v>
      </c>
      <c r="B1119" s="25" t="s">
        <v>1699</v>
      </c>
      <c r="C1119" s="25" t="s">
        <v>3371</v>
      </c>
      <c r="D1119" s="25">
        <v>0</v>
      </c>
      <c r="E1119" s="25">
        <v>0</v>
      </c>
      <c r="F1119" s="17"/>
      <c r="G1119" s="25"/>
    </row>
    <row r="1120">
      <c r="A1120" s="25">
        <v>1107</v>
      </c>
      <c r="B1120" s="25" t="s">
        <v>1700</v>
      </c>
      <c r="C1120" s="25" t="s">
        <v>3372</v>
      </c>
      <c r="D1120" s="25">
        <v>0</v>
      </c>
      <c r="E1120" s="25">
        <v>0</v>
      </c>
      <c r="F1120" s="17"/>
      <c r="G1120" s="25"/>
    </row>
    <row r="1121">
      <c r="A1121" s="25">
        <v>1108</v>
      </c>
      <c r="B1121" s="25" t="s">
        <v>1701</v>
      </c>
      <c r="C1121" s="25" t="s">
        <v>3373</v>
      </c>
      <c r="D1121" s="25">
        <v>0</v>
      </c>
      <c r="E1121" s="25">
        <v>0</v>
      </c>
      <c r="F1121" s="17"/>
      <c r="G1121" s="25"/>
    </row>
    <row r="1122">
      <c r="A1122" s="25">
        <v>1109</v>
      </c>
      <c r="B1122" s="25" t="s">
        <v>1702</v>
      </c>
      <c r="C1122" s="25" t="s">
        <v>3374</v>
      </c>
      <c r="D1122" s="25">
        <v>0</v>
      </c>
      <c r="E1122" s="25">
        <v>0</v>
      </c>
      <c r="F1122" s="17"/>
      <c r="G1122" s="25"/>
    </row>
    <row r="1123">
      <c r="A1123" s="25">
        <v>1110</v>
      </c>
      <c r="B1123" s="25" t="s">
        <v>1703</v>
      </c>
      <c r="C1123" s="25" t="s">
        <v>3375</v>
      </c>
      <c r="D1123" s="25">
        <v>0</v>
      </c>
      <c r="E1123" s="25">
        <v>0</v>
      </c>
      <c r="F1123" s="17"/>
      <c r="G1123" s="25"/>
    </row>
    <row r="1124">
      <c r="A1124" s="25">
        <v>1111</v>
      </c>
      <c r="B1124" s="25" t="s">
        <v>1704</v>
      </c>
      <c r="C1124" s="25" t="s">
        <v>3376</v>
      </c>
      <c r="D1124" s="25">
        <v>0</v>
      </c>
      <c r="E1124" s="25">
        <v>0</v>
      </c>
      <c r="F1124" s="17"/>
      <c r="G1124" s="25"/>
    </row>
    <row r="1125">
      <c r="A1125" s="25">
        <v>1112</v>
      </c>
      <c r="B1125" s="25" t="s">
        <v>1705</v>
      </c>
      <c r="C1125" s="25" t="s">
        <v>3377</v>
      </c>
      <c r="D1125" s="25">
        <v>0</v>
      </c>
      <c r="E1125" s="25">
        <v>0</v>
      </c>
      <c r="F1125" s="17"/>
      <c r="G1125" s="25"/>
    </row>
    <row r="1126">
      <c r="A1126" s="25">
        <v>1113</v>
      </c>
      <c r="B1126" s="25" t="s">
        <v>1707</v>
      </c>
      <c r="C1126" s="25" t="s">
        <v>3378</v>
      </c>
      <c r="D1126" s="25">
        <v>0</v>
      </c>
      <c r="E1126" s="25">
        <v>0</v>
      </c>
      <c r="F1126" s="17"/>
      <c r="G1126" s="25"/>
    </row>
    <row r="1127">
      <c r="A1127" s="25">
        <v>1114</v>
      </c>
      <c r="B1127" s="25" t="s">
        <v>1708</v>
      </c>
      <c r="C1127" s="25" t="s">
        <v>3379</v>
      </c>
      <c r="D1127" s="25">
        <v>0</v>
      </c>
      <c r="E1127" s="25">
        <v>0</v>
      </c>
      <c r="F1127" s="17"/>
      <c r="G1127" s="25"/>
    </row>
    <row r="1128">
      <c r="A1128" s="25">
        <v>1115</v>
      </c>
      <c r="B1128" s="25" t="s">
        <v>1709</v>
      </c>
      <c r="C1128" s="25" t="s">
        <v>3380</v>
      </c>
      <c r="D1128" s="25">
        <v>0</v>
      </c>
      <c r="E1128" s="25">
        <v>0</v>
      </c>
      <c r="F1128" s="17"/>
      <c r="G1128" s="25"/>
    </row>
    <row r="1129">
      <c r="A1129" s="25">
        <v>1116</v>
      </c>
      <c r="B1129" s="25" t="s">
        <v>1710</v>
      </c>
      <c r="C1129" s="25" t="s">
        <v>3381</v>
      </c>
      <c r="D1129" s="25">
        <v>0</v>
      </c>
      <c r="E1129" s="25">
        <v>0</v>
      </c>
      <c r="F1129" s="17"/>
      <c r="G1129" s="25"/>
    </row>
    <row r="1130">
      <c r="A1130" s="25">
        <v>1117</v>
      </c>
      <c r="B1130" s="25" t="s">
        <v>1711</v>
      </c>
      <c r="C1130" s="25" t="s">
        <v>3382</v>
      </c>
      <c r="D1130" s="25">
        <v>0</v>
      </c>
      <c r="E1130" s="25">
        <v>0</v>
      </c>
      <c r="F1130" s="17"/>
      <c r="G1130" s="25"/>
    </row>
    <row r="1131">
      <c r="A1131" s="25">
        <v>1118</v>
      </c>
      <c r="B1131" s="25" t="s">
        <v>1712</v>
      </c>
      <c r="C1131" s="25" t="s">
        <v>3383</v>
      </c>
      <c r="D1131" s="25">
        <v>0</v>
      </c>
      <c r="E1131" s="25">
        <v>0</v>
      </c>
      <c r="F1131" s="17"/>
      <c r="G1131" s="25"/>
    </row>
    <row r="1132">
      <c r="A1132" s="25">
        <v>1119</v>
      </c>
      <c r="B1132" s="25" t="s">
        <v>1713</v>
      </c>
      <c r="C1132" s="25" t="s">
        <v>3384</v>
      </c>
      <c r="D1132" s="25">
        <v>0</v>
      </c>
      <c r="E1132" s="25">
        <v>0</v>
      </c>
      <c r="F1132" s="17"/>
      <c r="G1132" s="25"/>
    </row>
    <row r="1133">
      <c r="A1133" s="25">
        <v>1120</v>
      </c>
      <c r="B1133" s="25" t="s">
        <v>1717</v>
      </c>
      <c r="C1133" s="25" t="s">
        <v>3385</v>
      </c>
      <c r="D1133" s="25">
        <v>0</v>
      </c>
      <c r="E1133" s="25">
        <v>0</v>
      </c>
      <c r="F1133" s="17"/>
      <c r="G1133" s="25"/>
    </row>
    <row r="1134">
      <c r="A1134" s="25">
        <v>1121</v>
      </c>
      <c r="B1134" s="25" t="s">
        <v>1718</v>
      </c>
      <c r="C1134" s="25" t="s">
        <v>3386</v>
      </c>
      <c r="D1134" s="25">
        <v>0</v>
      </c>
      <c r="E1134" s="25">
        <v>0</v>
      </c>
      <c r="F1134" s="17"/>
      <c r="G1134" s="25"/>
    </row>
    <row r="1135">
      <c r="A1135" s="25">
        <v>1122</v>
      </c>
      <c r="B1135" s="25" t="s">
        <v>1719</v>
      </c>
      <c r="C1135" s="25" t="s">
        <v>3387</v>
      </c>
      <c r="D1135" s="25">
        <v>0</v>
      </c>
      <c r="E1135" s="25">
        <v>0</v>
      </c>
      <c r="F1135" s="17"/>
      <c r="G1135" s="25"/>
    </row>
    <row r="1136">
      <c r="A1136" s="25">
        <v>1123</v>
      </c>
      <c r="B1136" s="25" t="s">
        <v>1720</v>
      </c>
      <c r="C1136" s="25" t="s">
        <v>3388</v>
      </c>
      <c r="D1136" s="25">
        <v>0</v>
      </c>
      <c r="E1136" s="25">
        <v>0</v>
      </c>
      <c r="F1136" s="17"/>
      <c r="G1136" s="25"/>
    </row>
    <row r="1137">
      <c r="A1137" s="25">
        <v>1124</v>
      </c>
      <c r="B1137" s="25" t="s">
        <v>1721</v>
      </c>
      <c r="C1137" s="25" t="s">
        <v>3389</v>
      </c>
      <c r="D1137" s="25">
        <v>0</v>
      </c>
      <c r="E1137" s="25">
        <v>0</v>
      </c>
      <c r="F1137" s="17"/>
      <c r="G1137" s="25"/>
    </row>
    <row r="1138">
      <c r="A1138" s="25">
        <v>1125</v>
      </c>
      <c r="B1138" s="25" t="s">
        <v>1722</v>
      </c>
      <c r="C1138" s="25" t="s">
        <v>3390</v>
      </c>
      <c r="D1138" s="25">
        <v>0</v>
      </c>
      <c r="E1138" s="25">
        <v>0</v>
      </c>
      <c r="F1138" s="17"/>
      <c r="G1138" s="25"/>
    </row>
    <row r="1139">
      <c r="A1139" s="25">
        <v>1126</v>
      </c>
      <c r="B1139" s="25" t="s">
        <v>1723</v>
      </c>
      <c r="C1139" s="25" t="s">
        <v>3391</v>
      </c>
      <c r="D1139" s="25">
        <v>0</v>
      </c>
      <c r="E1139" s="25">
        <v>0</v>
      </c>
      <c r="F1139" s="17"/>
      <c r="G1139" s="25"/>
    </row>
    <row r="1140">
      <c r="A1140" s="25">
        <v>1127</v>
      </c>
      <c r="B1140" s="25" t="s">
        <v>1726</v>
      </c>
      <c r="C1140" s="25" t="s">
        <v>3392</v>
      </c>
      <c r="D1140" s="25">
        <v>0</v>
      </c>
      <c r="E1140" s="25">
        <v>0</v>
      </c>
      <c r="F1140" s="17"/>
      <c r="G1140" s="25"/>
    </row>
    <row r="1141">
      <c r="A1141" s="25">
        <v>1128</v>
      </c>
      <c r="B1141" s="25" t="s">
        <v>1727</v>
      </c>
      <c r="C1141" s="25" t="s">
        <v>3393</v>
      </c>
      <c r="D1141" s="25">
        <v>0</v>
      </c>
      <c r="E1141" s="25">
        <v>0</v>
      </c>
      <c r="F1141" s="17"/>
      <c r="G1141" s="25"/>
    </row>
    <row r="1142">
      <c r="A1142" s="25">
        <v>1129</v>
      </c>
      <c r="B1142" s="25" t="s">
        <v>1728</v>
      </c>
      <c r="C1142" s="25" t="s">
        <v>3394</v>
      </c>
      <c r="D1142" s="25">
        <v>0</v>
      </c>
      <c r="E1142" s="25">
        <v>0</v>
      </c>
      <c r="F1142" s="17"/>
      <c r="G1142" s="25"/>
    </row>
    <row r="1143">
      <c r="A1143" s="25">
        <v>1130</v>
      </c>
      <c r="B1143" s="25" t="s">
        <v>1731</v>
      </c>
      <c r="C1143" s="25" t="s">
        <v>3395</v>
      </c>
      <c r="D1143" s="25">
        <v>29393.77</v>
      </c>
      <c r="E1143" s="25">
        <v>128929.37</v>
      </c>
      <c r="F1143" s="17"/>
      <c r="G1143" s="25"/>
    </row>
    <row r="1144">
      <c r="A1144" s="25">
        <v>1131</v>
      </c>
      <c r="B1144" s="25" t="s">
        <v>1732</v>
      </c>
      <c r="C1144" s="25" t="s">
        <v>3396</v>
      </c>
      <c r="D1144" s="25">
        <v>0</v>
      </c>
      <c r="E1144" s="25">
        <v>0</v>
      </c>
      <c r="F1144" s="17"/>
      <c r="G1144" s="25"/>
    </row>
    <row r="1145">
      <c r="A1145" s="25">
        <v>1132</v>
      </c>
      <c r="B1145" s="25" t="s">
        <v>1733</v>
      </c>
      <c r="C1145" s="25" t="s">
        <v>3397</v>
      </c>
      <c r="D1145" s="25">
        <v>0</v>
      </c>
      <c r="E1145" s="25">
        <v>0</v>
      </c>
      <c r="F1145" s="17"/>
      <c r="G1145" s="25"/>
    </row>
    <row r="1146">
      <c r="A1146" s="25">
        <v>1133</v>
      </c>
      <c r="B1146" s="25" t="s">
        <v>1734</v>
      </c>
      <c r="C1146" s="25" t="s">
        <v>3398</v>
      </c>
      <c r="D1146" s="25">
        <v>0.44</v>
      </c>
      <c r="E1146" s="25">
        <v>415.35</v>
      </c>
      <c r="F1146" s="17"/>
      <c r="G1146" s="25"/>
    </row>
    <row r="1147">
      <c r="A1147" s="25">
        <v>1134</v>
      </c>
      <c r="B1147" s="25" t="s">
        <v>1735</v>
      </c>
      <c r="C1147" s="25" t="s">
        <v>3399</v>
      </c>
      <c r="D1147" s="25">
        <v>0</v>
      </c>
      <c r="E1147" s="25">
        <v>18.05</v>
      </c>
      <c r="F1147" s="17"/>
      <c r="G1147" s="25"/>
    </row>
    <row r="1148">
      <c r="A1148" s="25">
        <v>1135</v>
      </c>
      <c r="B1148" s="25" t="s">
        <v>1736</v>
      </c>
      <c r="C1148" s="25" t="s">
        <v>3400</v>
      </c>
      <c r="D1148" s="25">
        <v>9012.07</v>
      </c>
      <c r="E1148" s="25">
        <v>37469.46</v>
      </c>
      <c r="F1148" s="17"/>
      <c r="G1148" s="25"/>
    </row>
    <row r="1149">
      <c r="A1149" s="25">
        <v>1136</v>
      </c>
      <c r="B1149" s="25" t="s">
        <v>1737</v>
      </c>
      <c r="C1149" s="25" t="s">
        <v>3401</v>
      </c>
      <c r="D1149" s="25">
        <v>38406.28</v>
      </c>
      <c r="E1149" s="25">
        <v>166832.23</v>
      </c>
      <c r="F1149" s="17"/>
      <c r="G1149" s="25"/>
    </row>
    <row r="1150">
      <c r="A1150" s="25">
        <v>1137</v>
      </c>
      <c r="B1150" s="25" t="s">
        <v>1739</v>
      </c>
      <c r="C1150" s="25" t="s">
        <v>3402</v>
      </c>
      <c r="D1150" s="25">
        <v>0</v>
      </c>
      <c r="E1150" s="25">
        <v>0</v>
      </c>
      <c r="F1150" s="17"/>
      <c r="G1150" s="25"/>
    </row>
    <row r="1151">
      <c r="A1151" s="25">
        <v>1138</v>
      </c>
      <c r="B1151" s="25" t="s">
        <v>1740</v>
      </c>
      <c r="C1151" s="25" t="s">
        <v>3403</v>
      </c>
      <c r="D1151" s="25">
        <v>0</v>
      </c>
      <c r="E1151" s="25">
        <v>0</v>
      </c>
      <c r="F1151" s="17"/>
      <c r="G1151" s="25"/>
    </row>
    <row r="1152">
      <c r="A1152" s="25">
        <v>1139</v>
      </c>
      <c r="B1152" s="25" t="s">
        <v>1741</v>
      </c>
      <c r="C1152" s="25" t="s">
        <v>3404</v>
      </c>
      <c r="D1152" s="25">
        <v>0</v>
      </c>
      <c r="E1152" s="25">
        <v>0</v>
      </c>
      <c r="F1152" s="17"/>
      <c r="G1152" s="25"/>
    </row>
    <row r="1153">
      <c r="A1153" s="25">
        <v>1140</v>
      </c>
      <c r="B1153" s="25" t="s">
        <v>1742</v>
      </c>
      <c r="C1153" s="25" t="s">
        <v>3405</v>
      </c>
      <c r="D1153" s="25">
        <v>0</v>
      </c>
      <c r="E1153" s="25">
        <v>0</v>
      </c>
      <c r="F1153" s="17"/>
      <c r="G1153" s="25"/>
    </row>
    <row r="1154">
      <c r="A1154" s="25">
        <v>1141</v>
      </c>
      <c r="B1154" s="25" t="s">
        <v>1743</v>
      </c>
      <c r="C1154" s="25" t="s">
        <v>3406</v>
      </c>
      <c r="D1154" s="25">
        <v>0</v>
      </c>
      <c r="E1154" s="25">
        <v>0</v>
      </c>
      <c r="F1154" s="17"/>
      <c r="G1154" s="25"/>
    </row>
    <row r="1155">
      <c r="A1155" s="25">
        <v>1142</v>
      </c>
      <c r="B1155" s="25" t="s">
        <v>1744</v>
      </c>
      <c r="C1155" s="25" t="s">
        <v>3407</v>
      </c>
      <c r="D1155" s="25">
        <v>0</v>
      </c>
      <c r="E1155" s="25">
        <v>0</v>
      </c>
      <c r="F1155" s="17"/>
      <c r="G1155" s="25"/>
    </row>
    <row r="1156">
      <c r="A1156" s="25">
        <v>1143</v>
      </c>
      <c r="B1156" s="25" t="s">
        <v>1745</v>
      </c>
      <c r="C1156" s="25" t="s">
        <v>3408</v>
      </c>
      <c r="D1156" s="25">
        <v>0</v>
      </c>
      <c r="E1156" s="25">
        <v>0</v>
      </c>
      <c r="F1156" s="17"/>
      <c r="G1156" s="25"/>
    </row>
    <row r="1157">
      <c r="A1157" s="25">
        <v>1144</v>
      </c>
      <c r="B1157" s="25" t="s">
        <v>1748</v>
      </c>
      <c r="C1157" s="25" t="s">
        <v>3409</v>
      </c>
      <c r="D1157" s="25">
        <v>934.8</v>
      </c>
      <c r="E1157" s="25">
        <v>7898.04</v>
      </c>
      <c r="F1157" s="17"/>
      <c r="G1157" s="25"/>
    </row>
    <row r="1158">
      <c r="A1158" s="25">
        <v>1145</v>
      </c>
      <c r="B1158" s="25" t="s">
        <v>1749</v>
      </c>
      <c r="C1158" s="25" t="s">
        <v>3410</v>
      </c>
      <c r="D1158" s="25">
        <v>0</v>
      </c>
      <c r="E1158" s="25">
        <v>0</v>
      </c>
      <c r="F1158" s="17"/>
      <c r="G1158" s="25"/>
    </row>
    <row r="1159">
      <c r="A1159" s="25">
        <v>1146</v>
      </c>
      <c r="B1159" s="25" t="s">
        <v>1750</v>
      </c>
      <c r="C1159" s="25" t="s">
        <v>3411</v>
      </c>
      <c r="D1159" s="25">
        <v>0</v>
      </c>
      <c r="E1159" s="25">
        <v>0</v>
      </c>
      <c r="F1159" s="17"/>
      <c r="G1159" s="25"/>
    </row>
    <row r="1160">
      <c r="A1160" s="25">
        <v>1147</v>
      </c>
      <c r="B1160" s="25" t="s">
        <v>1751</v>
      </c>
      <c r="C1160" s="25" t="s">
        <v>3412</v>
      </c>
      <c r="D1160" s="25">
        <v>236.94</v>
      </c>
      <c r="E1160" s="25">
        <v>287.7</v>
      </c>
      <c r="F1160" s="17"/>
      <c r="G1160" s="25"/>
    </row>
    <row r="1161">
      <c r="A1161" s="25">
        <v>1148</v>
      </c>
      <c r="B1161" s="25" t="s">
        <v>1752</v>
      </c>
      <c r="C1161" s="25" t="s">
        <v>3413</v>
      </c>
      <c r="D1161" s="25">
        <v>4.91</v>
      </c>
      <c r="E1161" s="25">
        <v>1351.63</v>
      </c>
      <c r="F1161" s="17"/>
      <c r="G1161" s="25"/>
    </row>
    <row r="1162">
      <c r="A1162" s="25">
        <v>1149</v>
      </c>
      <c r="B1162" s="25" t="s">
        <v>1753</v>
      </c>
      <c r="C1162" s="25" t="s">
        <v>3414</v>
      </c>
      <c r="D1162" s="25">
        <v>110.21</v>
      </c>
      <c r="E1162" s="25">
        <v>390.62</v>
      </c>
      <c r="F1162" s="17"/>
      <c r="G1162" s="25"/>
    </row>
    <row r="1163">
      <c r="A1163" s="25">
        <v>1150</v>
      </c>
      <c r="B1163" s="25" t="s">
        <v>1754</v>
      </c>
      <c r="C1163" s="25" t="s">
        <v>3415</v>
      </c>
      <c r="D1163" s="25">
        <v>1286.86</v>
      </c>
      <c r="E1163" s="25">
        <v>9927.99</v>
      </c>
      <c r="F1163" s="17"/>
      <c r="G1163" s="25"/>
    </row>
    <row r="1164">
      <c r="A1164" s="25">
        <v>1151</v>
      </c>
      <c r="B1164" s="25" t="s">
        <v>1757</v>
      </c>
      <c r="C1164" s="25" t="s">
        <v>3416</v>
      </c>
      <c r="D1164" s="25">
        <v>0</v>
      </c>
      <c r="E1164" s="25">
        <v>0</v>
      </c>
      <c r="F1164" s="17"/>
      <c r="G1164" s="25"/>
    </row>
    <row r="1165">
      <c r="A1165" s="25">
        <v>1152</v>
      </c>
      <c r="B1165" s="25" t="s">
        <v>1758</v>
      </c>
      <c r="C1165" s="25" t="s">
        <v>3417</v>
      </c>
      <c r="D1165" s="25">
        <v>0</v>
      </c>
      <c r="E1165" s="25">
        <v>0</v>
      </c>
      <c r="F1165" s="17"/>
      <c r="G1165" s="25"/>
    </row>
    <row r="1166">
      <c r="A1166" s="25">
        <v>1153</v>
      </c>
      <c r="B1166" s="25" t="s">
        <v>1759</v>
      </c>
      <c r="C1166" s="25" t="s">
        <v>3418</v>
      </c>
      <c r="D1166" s="25">
        <v>0</v>
      </c>
      <c r="E1166" s="25">
        <v>0</v>
      </c>
      <c r="F1166" s="17"/>
      <c r="G1166" s="25"/>
    </row>
    <row r="1167">
      <c r="A1167" s="25">
        <v>1154</v>
      </c>
      <c r="B1167" s="25" t="s">
        <v>1760</v>
      </c>
      <c r="C1167" s="25" t="s">
        <v>3419</v>
      </c>
      <c r="D1167" s="25">
        <v>0</v>
      </c>
      <c r="E1167" s="25">
        <v>0</v>
      </c>
      <c r="F1167" s="17"/>
      <c r="G1167" s="25"/>
    </row>
    <row r="1168">
      <c r="A1168" s="25">
        <v>1155</v>
      </c>
      <c r="B1168" s="25" t="s">
        <v>1761</v>
      </c>
      <c r="C1168" s="25" t="s">
        <v>3420</v>
      </c>
      <c r="D1168" s="25">
        <v>0</v>
      </c>
      <c r="E1168" s="25">
        <v>0</v>
      </c>
      <c r="F1168" s="17"/>
      <c r="G1168" s="25"/>
    </row>
    <row r="1169">
      <c r="A1169" s="25">
        <v>1156</v>
      </c>
      <c r="B1169" s="25" t="s">
        <v>1762</v>
      </c>
      <c r="C1169" s="25" t="s">
        <v>3421</v>
      </c>
      <c r="D1169" s="25">
        <v>0</v>
      </c>
      <c r="E1169" s="25">
        <v>0</v>
      </c>
      <c r="F1169" s="17"/>
      <c r="G1169" s="25"/>
    </row>
    <row r="1170">
      <c r="A1170" s="25">
        <v>1157</v>
      </c>
      <c r="B1170" s="25" t="s">
        <v>1765</v>
      </c>
      <c r="C1170" s="25" t="s">
        <v>3422</v>
      </c>
      <c r="D1170" s="25">
        <v>0</v>
      </c>
      <c r="E1170" s="25">
        <v>0</v>
      </c>
      <c r="F1170" s="17"/>
      <c r="G1170" s="25"/>
    </row>
    <row r="1171">
      <c r="A1171" s="25">
        <v>1158</v>
      </c>
      <c r="B1171" s="25" t="s">
        <v>1766</v>
      </c>
      <c r="C1171" s="25" t="s">
        <v>3423</v>
      </c>
      <c r="D1171" s="25">
        <v>0</v>
      </c>
      <c r="E1171" s="25">
        <v>0</v>
      </c>
      <c r="F1171" s="17"/>
      <c r="G1171" s="25"/>
    </row>
    <row r="1172">
      <c r="A1172" s="25">
        <v>1159</v>
      </c>
      <c r="B1172" s="25" t="s">
        <v>1767</v>
      </c>
      <c r="C1172" s="25" t="s">
        <v>3424</v>
      </c>
      <c r="D1172" s="25">
        <v>0</v>
      </c>
      <c r="E1172" s="25">
        <v>0</v>
      </c>
      <c r="F1172" s="17"/>
      <c r="G1172" s="25"/>
    </row>
    <row r="1173">
      <c r="A1173" s="25">
        <v>1160</v>
      </c>
      <c r="B1173" s="25" t="s">
        <v>1768</v>
      </c>
      <c r="C1173" s="25" t="s">
        <v>3425</v>
      </c>
      <c r="D1173" s="25">
        <v>0</v>
      </c>
      <c r="E1173" s="25">
        <v>0</v>
      </c>
      <c r="F1173" s="17"/>
      <c r="G1173" s="25"/>
    </row>
    <row r="1174">
      <c r="A1174" s="25">
        <v>1161</v>
      </c>
      <c r="B1174" s="25" t="s">
        <v>1769</v>
      </c>
      <c r="C1174" s="25" t="s">
        <v>3426</v>
      </c>
      <c r="D1174" s="25">
        <v>0</v>
      </c>
      <c r="E1174" s="25">
        <v>0</v>
      </c>
      <c r="F1174" s="17"/>
      <c r="G1174" s="25"/>
    </row>
    <row r="1175">
      <c r="A1175" s="25">
        <v>1162</v>
      </c>
      <c r="B1175" s="25" t="s">
        <v>1770</v>
      </c>
      <c r="C1175" s="25" t="s">
        <v>3427</v>
      </c>
      <c r="D1175" s="25">
        <v>602.65</v>
      </c>
      <c r="E1175" s="25">
        <v>4942.22</v>
      </c>
      <c r="F1175" s="17"/>
      <c r="G1175" s="25"/>
    </row>
    <row r="1176">
      <c r="A1176" s="25">
        <v>1163</v>
      </c>
      <c r="B1176" s="25" t="s">
        <v>1771</v>
      </c>
      <c r="C1176" s="25" t="s">
        <v>3428</v>
      </c>
      <c r="D1176" s="25">
        <v>602.65</v>
      </c>
      <c r="E1176" s="25">
        <v>4942.22</v>
      </c>
      <c r="F1176" s="17"/>
      <c r="G1176" s="25"/>
    </row>
    <row r="1177">
      <c r="A1177" s="25">
        <v>1164</v>
      </c>
      <c r="B1177" s="25" t="s">
        <v>1774</v>
      </c>
      <c r="C1177" s="25" t="s">
        <v>3429</v>
      </c>
      <c r="D1177" s="25">
        <v>0</v>
      </c>
      <c r="E1177" s="25">
        <v>0</v>
      </c>
      <c r="F1177" s="17"/>
      <c r="G1177" s="25"/>
    </row>
    <row r="1178">
      <c r="A1178" s="25">
        <v>1165</v>
      </c>
      <c r="B1178" s="25" t="s">
        <v>1775</v>
      </c>
      <c r="C1178" s="25" t="s">
        <v>3430</v>
      </c>
      <c r="D1178" s="25">
        <v>0</v>
      </c>
      <c r="E1178" s="25">
        <v>0</v>
      </c>
      <c r="F1178" s="17"/>
      <c r="G1178" s="25"/>
    </row>
    <row r="1179">
      <c r="A1179" s="25">
        <v>1166</v>
      </c>
      <c r="B1179" s="25" t="s">
        <v>1776</v>
      </c>
      <c r="C1179" s="25" t="s">
        <v>3431</v>
      </c>
      <c r="D1179" s="25">
        <v>0</v>
      </c>
      <c r="E1179" s="25">
        <v>0</v>
      </c>
      <c r="F1179" s="17"/>
      <c r="G1179" s="25"/>
    </row>
    <row r="1180">
      <c r="A1180" s="25">
        <v>1167</v>
      </c>
      <c r="B1180" s="25" t="s">
        <v>1777</v>
      </c>
      <c r="C1180" s="25" t="s">
        <v>3432</v>
      </c>
      <c r="D1180" s="25">
        <v>0</v>
      </c>
      <c r="E1180" s="25">
        <v>0</v>
      </c>
      <c r="F1180" s="17"/>
      <c r="G1180" s="25"/>
    </row>
    <row r="1181">
      <c r="A1181" s="25">
        <v>1168</v>
      </c>
      <c r="B1181" s="25" t="s">
        <v>1778</v>
      </c>
      <c r="C1181" s="25" t="s">
        <v>3433</v>
      </c>
      <c r="D1181" s="25">
        <v>0</v>
      </c>
      <c r="E1181" s="25">
        <v>0</v>
      </c>
      <c r="F1181" s="17"/>
      <c r="G1181" s="25"/>
    </row>
    <row r="1182">
      <c r="A1182" s="25">
        <v>1169</v>
      </c>
      <c r="B1182" s="25" t="s">
        <v>1779</v>
      </c>
      <c r="C1182" s="25" t="s">
        <v>3434</v>
      </c>
      <c r="D1182" s="25">
        <v>2466.11</v>
      </c>
      <c r="E1182" s="25">
        <v>10149.93</v>
      </c>
      <c r="F1182" s="17"/>
      <c r="G1182" s="25"/>
    </row>
    <row r="1183">
      <c r="A1183" s="25">
        <v>1170</v>
      </c>
      <c r="B1183" s="25" t="s">
        <v>1780</v>
      </c>
      <c r="C1183" s="25" t="s">
        <v>3435</v>
      </c>
      <c r="D1183" s="25">
        <v>2466.11</v>
      </c>
      <c r="E1183" s="25">
        <v>10149.93</v>
      </c>
      <c r="F1183" s="17"/>
      <c r="G1183" s="25"/>
    </row>
    <row r="1184">
      <c r="A1184" s="25">
        <v>1171</v>
      </c>
      <c r="B1184" s="25" t="s">
        <v>1782</v>
      </c>
      <c r="C1184" s="25" t="s">
        <v>3436</v>
      </c>
      <c r="D1184" s="25">
        <v>30328.57</v>
      </c>
      <c r="E1184" s="25">
        <v>136827.41</v>
      </c>
      <c r="F1184" s="17"/>
      <c r="G1184" s="25"/>
    </row>
    <row r="1185">
      <c r="A1185" s="25">
        <v>1172</v>
      </c>
      <c r="B1185" s="25" t="s">
        <v>1783</v>
      </c>
      <c r="C1185" s="25" t="s">
        <v>3437</v>
      </c>
      <c r="D1185" s="25">
        <v>0</v>
      </c>
      <c r="E1185" s="25">
        <v>0</v>
      </c>
      <c r="F1185" s="17"/>
      <c r="G1185" s="25"/>
    </row>
    <row r="1186">
      <c r="A1186" s="25">
        <v>1173</v>
      </c>
      <c r="B1186" s="25" t="s">
        <v>1784</v>
      </c>
      <c r="C1186" s="25" t="s">
        <v>3438</v>
      </c>
      <c r="D1186" s="25">
        <v>0</v>
      </c>
      <c r="E1186" s="25">
        <v>0</v>
      </c>
      <c r="F1186" s="17"/>
      <c r="G1186" s="25"/>
    </row>
    <row r="1187">
      <c r="A1187" s="25">
        <v>1174</v>
      </c>
      <c r="B1187" s="25" t="s">
        <v>1785</v>
      </c>
      <c r="C1187" s="25" t="s">
        <v>3439</v>
      </c>
      <c r="D1187" s="25">
        <v>237.38</v>
      </c>
      <c r="E1187" s="25">
        <v>703.05</v>
      </c>
      <c r="F1187" s="17"/>
      <c r="G1187" s="25"/>
    </row>
    <row r="1188">
      <c r="A1188" s="25">
        <v>1175</v>
      </c>
      <c r="B1188" s="25" t="s">
        <v>1786</v>
      </c>
      <c r="C1188" s="25" t="s">
        <v>3440</v>
      </c>
      <c r="D1188" s="25">
        <v>4.91</v>
      </c>
      <c r="E1188" s="25">
        <v>1369.68</v>
      </c>
      <c r="F1188" s="17"/>
      <c r="G1188" s="25"/>
    </row>
    <row r="1189">
      <c r="A1189" s="25">
        <v>1176</v>
      </c>
      <c r="B1189" s="25" t="s">
        <v>1787</v>
      </c>
      <c r="C1189" s="25" t="s">
        <v>3441</v>
      </c>
      <c r="D1189" s="25">
        <v>12191.04</v>
      </c>
      <c r="E1189" s="25">
        <v>52952.23</v>
      </c>
      <c r="F1189" s="17"/>
      <c r="G1189" s="25"/>
    </row>
    <row r="1190">
      <c r="A1190" s="25">
        <v>1177</v>
      </c>
      <c r="B1190" s="25" t="s">
        <v>1788</v>
      </c>
      <c r="C1190" s="25" t="s">
        <v>3442</v>
      </c>
      <c r="D1190" s="25">
        <v>42761.9</v>
      </c>
      <c r="E1190" s="25">
        <v>191852.37</v>
      </c>
      <c r="F1190" s="17"/>
      <c r="G1190" s="25"/>
    </row>
    <row r="1191">
      <c r="A1191" s="25">
        <v>1178</v>
      </c>
      <c r="B1191" s="25" t="s">
        <v>1792</v>
      </c>
      <c r="C1191" s="25" t="s">
        <v>3443</v>
      </c>
      <c r="D1191" s="25">
        <v>0</v>
      </c>
      <c r="E1191" s="25">
        <v>0</v>
      </c>
      <c r="F1191" s="17"/>
      <c r="G1191" s="25"/>
    </row>
    <row r="1192">
      <c r="A1192" s="25">
        <v>1179</v>
      </c>
      <c r="B1192" s="25" t="s">
        <v>1793</v>
      </c>
      <c r="C1192" s="25" t="s">
        <v>3444</v>
      </c>
      <c r="D1192" s="25">
        <v>0</v>
      </c>
      <c r="E1192" s="25">
        <v>0</v>
      </c>
      <c r="F1192" s="17"/>
      <c r="G1192" s="25"/>
    </row>
    <row r="1193">
      <c r="A1193" s="25">
        <v>1180</v>
      </c>
      <c r="B1193" s="25" t="s">
        <v>1794</v>
      </c>
      <c r="C1193" s="25" t="s">
        <v>3445</v>
      </c>
      <c r="D1193" s="25">
        <v>0</v>
      </c>
      <c r="E1193" s="25">
        <v>0</v>
      </c>
      <c r="F1193" s="17"/>
      <c r="G1193" s="25"/>
    </row>
    <row r="1194">
      <c r="A1194" s="25">
        <v>1181</v>
      </c>
      <c r="B1194" s="25" t="s">
        <v>1795</v>
      </c>
      <c r="C1194" s="25" t="s">
        <v>3446</v>
      </c>
      <c r="D1194" s="25">
        <v>0</v>
      </c>
      <c r="E1194" s="25">
        <v>0</v>
      </c>
      <c r="F1194" s="17"/>
      <c r="G1194" s="25"/>
    </row>
    <row r="1195">
      <c r="A1195" s="25">
        <v>1182</v>
      </c>
      <c r="B1195" s="25" t="s">
        <v>1796</v>
      </c>
      <c r="C1195" s="25" t="s">
        <v>3447</v>
      </c>
      <c r="D1195" s="25">
        <v>0</v>
      </c>
      <c r="E1195" s="25">
        <v>0</v>
      </c>
      <c r="F1195" s="17"/>
      <c r="G1195" s="25"/>
    </row>
    <row r="1196">
      <c r="A1196" s="25">
        <v>1183</v>
      </c>
      <c r="B1196" s="25" t="s">
        <v>1797</v>
      </c>
      <c r="C1196" s="25" t="s">
        <v>3448</v>
      </c>
      <c r="D1196" s="25">
        <v>0</v>
      </c>
      <c r="E1196" s="25">
        <v>0</v>
      </c>
      <c r="F1196" s="17"/>
      <c r="G1196" s="25"/>
    </row>
    <row r="1197">
      <c r="A1197" s="25">
        <v>1184</v>
      </c>
      <c r="B1197" s="25" t="s">
        <v>1798</v>
      </c>
      <c r="C1197" s="25" t="s">
        <v>3449</v>
      </c>
      <c r="D1197" s="25">
        <v>0</v>
      </c>
      <c r="E1197" s="25">
        <v>0</v>
      </c>
      <c r="F1197" s="17"/>
      <c r="G1197" s="25"/>
    </row>
    <row r="1198">
      <c r="A1198" s="25">
        <v>1185</v>
      </c>
      <c r="B1198" s="25" t="s">
        <v>1801</v>
      </c>
      <c r="C1198" s="25" t="s">
        <v>3450</v>
      </c>
      <c r="D1198" s="25">
        <v>0</v>
      </c>
      <c r="E1198" s="25">
        <v>0</v>
      </c>
      <c r="F1198" s="17"/>
      <c r="G1198" s="25"/>
    </row>
    <row r="1199">
      <c r="A1199" s="25">
        <v>1186</v>
      </c>
      <c r="B1199" s="25" t="s">
        <v>1802</v>
      </c>
      <c r="C1199" s="25" t="s">
        <v>3451</v>
      </c>
      <c r="D1199" s="25">
        <v>0</v>
      </c>
      <c r="E1199" s="25">
        <v>0</v>
      </c>
      <c r="F1199" s="17"/>
      <c r="G1199" s="25"/>
    </row>
    <row r="1200">
      <c r="A1200" s="25">
        <v>1187</v>
      </c>
      <c r="B1200" s="25" t="s">
        <v>1803</v>
      </c>
      <c r="C1200" s="25" t="s">
        <v>3452</v>
      </c>
      <c r="D1200" s="25">
        <v>0</v>
      </c>
      <c r="E1200" s="25">
        <v>0</v>
      </c>
      <c r="F1200" s="17"/>
      <c r="G1200" s="25"/>
    </row>
    <row r="1201">
      <c r="A1201" s="25">
        <v>1188</v>
      </c>
      <c r="B1201" s="25" t="s">
        <v>1806</v>
      </c>
      <c r="C1201" s="25" t="s">
        <v>3453</v>
      </c>
      <c r="D1201" s="25">
        <v>0</v>
      </c>
      <c r="E1201" s="25">
        <v>0</v>
      </c>
      <c r="F1201" s="17"/>
      <c r="G1201" s="25"/>
    </row>
    <row r="1202">
      <c r="A1202" s="25">
        <v>1189</v>
      </c>
      <c r="B1202" s="25" t="s">
        <v>1807</v>
      </c>
      <c r="C1202" s="25" t="s">
        <v>3454</v>
      </c>
      <c r="D1202" s="25">
        <v>0</v>
      </c>
      <c r="E1202" s="25">
        <v>0</v>
      </c>
      <c r="F1202" s="17"/>
      <c r="G1202" s="25"/>
    </row>
    <row r="1203">
      <c r="A1203" s="25">
        <v>1190</v>
      </c>
      <c r="B1203" s="25" t="s">
        <v>1808</v>
      </c>
      <c r="C1203" s="25" t="s">
        <v>3455</v>
      </c>
      <c r="D1203" s="25">
        <v>0</v>
      </c>
      <c r="E1203" s="25">
        <v>0</v>
      </c>
      <c r="F1203" s="17"/>
      <c r="G1203" s="25"/>
    </row>
    <row r="1204">
      <c r="A1204" s="25">
        <v>1191</v>
      </c>
      <c r="B1204" s="25" t="s">
        <v>1809</v>
      </c>
      <c r="C1204" s="25" t="s">
        <v>3456</v>
      </c>
      <c r="D1204" s="25">
        <v>0</v>
      </c>
      <c r="E1204" s="25">
        <v>0</v>
      </c>
      <c r="F1204" s="17"/>
      <c r="G1204" s="25"/>
    </row>
    <row r="1205">
      <c r="A1205" s="25">
        <v>1192</v>
      </c>
      <c r="B1205" s="25" t="s">
        <v>1810</v>
      </c>
      <c r="C1205" s="25" t="s">
        <v>3457</v>
      </c>
      <c r="D1205" s="25">
        <v>0</v>
      </c>
      <c r="E1205" s="25">
        <v>0</v>
      </c>
      <c r="F1205" s="17"/>
      <c r="G1205" s="25"/>
    </row>
    <row r="1206">
      <c r="A1206" s="25">
        <v>1193</v>
      </c>
      <c r="B1206" s="25" t="s">
        <v>1811</v>
      </c>
      <c r="C1206" s="25" t="s">
        <v>3458</v>
      </c>
      <c r="D1206" s="25">
        <v>0</v>
      </c>
      <c r="E1206" s="25">
        <v>0</v>
      </c>
      <c r="F1206" s="17"/>
      <c r="G1206" s="25"/>
    </row>
    <row r="1207">
      <c r="A1207" s="25">
        <v>1194</v>
      </c>
      <c r="B1207" s="25" t="s">
        <v>1812</v>
      </c>
      <c r="C1207" s="25" t="s">
        <v>3459</v>
      </c>
      <c r="D1207" s="25">
        <v>0</v>
      </c>
      <c r="E1207" s="25">
        <v>0</v>
      </c>
      <c r="F1207" s="17"/>
      <c r="G1207" s="25"/>
    </row>
    <row r="1208">
      <c r="A1208" s="25">
        <v>1195</v>
      </c>
      <c r="B1208" s="25" t="s">
        <v>1814</v>
      </c>
      <c r="C1208" s="25" t="s">
        <v>3460</v>
      </c>
      <c r="D1208" s="25">
        <v>0</v>
      </c>
      <c r="E1208" s="25">
        <v>0</v>
      </c>
      <c r="F1208" s="17"/>
      <c r="G1208" s="25"/>
    </row>
    <row r="1209">
      <c r="A1209" s="25">
        <v>1196</v>
      </c>
      <c r="B1209" s="25" t="s">
        <v>1815</v>
      </c>
      <c r="C1209" s="25" t="s">
        <v>3461</v>
      </c>
      <c r="D1209" s="25">
        <v>0</v>
      </c>
      <c r="E1209" s="25">
        <v>0</v>
      </c>
      <c r="F1209" s="17"/>
      <c r="G1209" s="25"/>
    </row>
    <row r="1210">
      <c r="A1210" s="25">
        <v>1197</v>
      </c>
      <c r="B1210" s="25" t="s">
        <v>1816</v>
      </c>
      <c r="C1210" s="25" t="s">
        <v>3462</v>
      </c>
      <c r="D1210" s="25">
        <v>0</v>
      </c>
      <c r="E1210" s="25">
        <v>0</v>
      </c>
      <c r="F1210" s="17"/>
      <c r="G1210" s="25"/>
    </row>
    <row r="1211">
      <c r="A1211" s="25">
        <v>1198</v>
      </c>
      <c r="B1211" s="25" t="s">
        <v>1817</v>
      </c>
      <c r="C1211" s="25" t="s">
        <v>3463</v>
      </c>
      <c r="D1211" s="25">
        <v>0</v>
      </c>
      <c r="E1211" s="25">
        <v>0</v>
      </c>
      <c r="F1211" s="17"/>
      <c r="G1211" s="25"/>
    </row>
    <row r="1212">
      <c r="A1212" s="25">
        <v>1199</v>
      </c>
      <c r="B1212" s="25" t="s">
        <v>1818</v>
      </c>
      <c r="C1212" s="25" t="s">
        <v>3464</v>
      </c>
      <c r="D1212" s="25">
        <v>0</v>
      </c>
      <c r="E1212" s="25">
        <v>0</v>
      </c>
      <c r="F1212" s="17"/>
      <c r="G1212" s="25"/>
    </row>
    <row r="1213">
      <c r="A1213" s="25">
        <v>1200</v>
      </c>
      <c r="B1213" s="25" t="s">
        <v>1819</v>
      </c>
      <c r="C1213" s="25" t="s">
        <v>3465</v>
      </c>
      <c r="D1213" s="25">
        <v>0</v>
      </c>
      <c r="E1213" s="25">
        <v>0</v>
      </c>
      <c r="F1213" s="17"/>
      <c r="G1213" s="25"/>
    </row>
    <row r="1214">
      <c r="A1214" s="25">
        <v>1201</v>
      </c>
      <c r="B1214" s="25" t="s">
        <v>1820</v>
      </c>
      <c r="C1214" s="25" t="s">
        <v>3466</v>
      </c>
      <c r="D1214" s="25">
        <v>0</v>
      </c>
      <c r="E1214" s="25">
        <v>0</v>
      </c>
      <c r="F1214" s="17"/>
      <c r="G1214" s="25"/>
    </row>
    <row r="1215">
      <c r="A1215" s="25">
        <v>1202</v>
      </c>
      <c r="B1215" s="25" t="s">
        <v>1824</v>
      </c>
      <c r="C1215" s="25" t="s">
        <v>3467</v>
      </c>
      <c r="D1215" s="25">
        <v>170.77</v>
      </c>
      <c r="E1215" s="25">
        <v>365.79</v>
      </c>
      <c r="F1215" s="17"/>
      <c r="G1215" s="25"/>
    </row>
    <row r="1216">
      <c r="A1216" s="25">
        <v>1203</v>
      </c>
      <c r="B1216" s="25" t="s">
        <v>1825</v>
      </c>
      <c r="C1216" s="25" t="s">
        <v>3468</v>
      </c>
      <c r="D1216" s="25">
        <v>0</v>
      </c>
      <c r="E1216" s="25">
        <v>0</v>
      </c>
      <c r="F1216" s="17"/>
      <c r="G1216" s="25"/>
    </row>
    <row r="1217">
      <c r="A1217" s="25">
        <v>1204</v>
      </c>
      <c r="B1217" s="25" t="s">
        <v>1826</v>
      </c>
      <c r="C1217" s="25" t="s">
        <v>3469</v>
      </c>
      <c r="D1217" s="25">
        <v>0</v>
      </c>
      <c r="E1217" s="25">
        <v>0</v>
      </c>
      <c r="F1217" s="17"/>
      <c r="G1217" s="25"/>
    </row>
    <row r="1218">
      <c r="A1218" s="25">
        <v>1205</v>
      </c>
      <c r="B1218" s="25" t="s">
        <v>1827</v>
      </c>
      <c r="C1218" s="25" t="s">
        <v>3470</v>
      </c>
      <c r="D1218" s="25">
        <v>71.8</v>
      </c>
      <c r="E1218" s="25">
        <v>239.37</v>
      </c>
      <c r="F1218" s="17"/>
      <c r="G1218" s="25"/>
    </row>
    <row r="1219">
      <c r="A1219" s="25">
        <v>1206</v>
      </c>
      <c r="B1219" s="25" t="s">
        <v>1828</v>
      </c>
      <c r="C1219" s="25" t="s">
        <v>3471</v>
      </c>
      <c r="D1219" s="25">
        <v>0.05</v>
      </c>
      <c r="E1219" s="25">
        <v>16.32</v>
      </c>
      <c r="F1219" s="17"/>
      <c r="G1219" s="25"/>
    </row>
    <row r="1220">
      <c r="A1220" s="25">
        <v>1207</v>
      </c>
      <c r="B1220" s="25" t="s">
        <v>1829</v>
      </c>
      <c r="C1220" s="25" t="s">
        <v>3472</v>
      </c>
      <c r="D1220" s="25">
        <v>2926.56</v>
      </c>
      <c r="E1220" s="25">
        <v>10938.43</v>
      </c>
      <c r="F1220" s="17"/>
      <c r="G1220" s="25"/>
    </row>
    <row r="1221">
      <c r="A1221" s="25">
        <v>1208</v>
      </c>
      <c r="B1221" s="25" t="s">
        <v>1830</v>
      </c>
      <c r="C1221" s="25" t="s">
        <v>3473</v>
      </c>
      <c r="D1221" s="25">
        <v>3169.18</v>
      </c>
      <c r="E1221" s="25">
        <v>11559.91</v>
      </c>
      <c r="F1221" s="17"/>
      <c r="G1221" s="25"/>
    </row>
    <row r="1222">
      <c r="A1222" s="25">
        <v>1209</v>
      </c>
      <c r="B1222" s="25" t="s">
        <v>1833</v>
      </c>
      <c r="C1222" s="25" t="s">
        <v>3474</v>
      </c>
      <c r="D1222" s="25">
        <v>375.7</v>
      </c>
      <c r="E1222" s="25">
        <v>857.85</v>
      </c>
      <c r="F1222" s="17"/>
      <c r="G1222" s="25"/>
    </row>
    <row r="1223">
      <c r="A1223" s="25">
        <v>1210</v>
      </c>
      <c r="B1223" s="25" t="s">
        <v>1834</v>
      </c>
      <c r="C1223" s="25" t="s">
        <v>3475</v>
      </c>
      <c r="D1223" s="25">
        <v>0</v>
      </c>
      <c r="E1223" s="25">
        <v>0</v>
      </c>
      <c r="F1223" s="17"/>
      <c r="G1223" s="25"/>
    </row>
    <row r="1224">
      <c r="A1224" s="25">
        <v>1211</v>
      </c>
      <c r="B1224" s="25" t="s">
        <v>1835</v>
      </c>
      <c r="C1224" s="25" t="s">
        <v>3476</v>
      </c>
      <c r="D1224" s="25">
        <v>0</v>
      </c>
      <c r="E1224" s="25">
        <v>0</v>
      </c>
      <c r="F1224" s="17"/>
      <c r="G1224" s="25"/>
    </row>
    <row r="1225">
      <c r="A1225" s="25">
        <v>1212</v>
      </c>
      <c r="B1225" s="25" t="s">
        <v>1836</v>
      </c>
      <c r="C1225" s="25" t="s">
        <v>3477</v>
      </c>
      <c r="D1225" s="25">
        <v>0.41</v>
      </c>
      <c r="E1225" s="25">
        <v>0.48</v>
      </c>
      <c r="F1225" s="17"/>
      <c r="G1225" s="25"/>
    </row>
    <row r="1226">
      <c r="A1226" s="25">
        <v>1213</v>
      </c>
      <c r="B1226" s="25" t="s">
        <v>1837</v>
      </c>
      <c r="C1226" s="25" t="s">
        <v>3478</v>
      </c>
      <c r="D1226" s="25">
        <v>461.09</v>
      </c>
      <c r="E1226" s="25">
        <v>488.09</v>
      </c>
      <c r="F1226" s="17"/>
      <c r="G1226" s="25"/>
    </row>
    <row r="1227">
      <c r="A1227" s="25">
        <v>1214</v>
      </c>
      <c r="B1227" s="25" t="s">
        <v>1838</v>
      </c>
      <c r="C1227" s="25" t="s">
        <v>3479</v>
      </c>
      <c r="D1227" s="25">
        <v>351.9</v>
      </c>
      <c r="E1227" s="25">
        <v>352.16</v>
      </c>
      <c r="F1227" s="17"/>
      <c r="G1227" s="25"/>
    </row>
    <row r="1228">
      <c r="A1228" s="25">
        <v>1215</v>
      </c>
      <c r="B1228" s="25" t="s">
        <v>1839</v>
      </c>
      <c r="C1228" s="25" t="s">
        <v>3480</v>
      </c>
      <c r="D1228" s="25">
        <v>1189.1</v>
      </c>
      <c r="E1228" s="25">
        <v>1698.58</v>
      </c>
      <c r="F1228" s="17"/>
      <c r="G1228" s="25"/>
    </row>
    <row r="1229">
      <c r="A1229" s="25">
        <v>1216</v>
      </c>
      <c r="B1229" s="25" t="s">
        <v>1842</v>
      </c>
      <c r="C1229" s="25" t="s">
        <v>3481</v>
      </c>
      <c r="D1229" s="25">
        <v>0</v>
      </c>
      <c r="E1229" s="25">
        <v>0</v>
      </c>
      <c r="F1229" s="17"/>
      <c r="G1229" s="25"/>
    </row>
    <row r="1230">
      <c r="A1230" s="25">
        <v>1217</v>
      </c>
      <c r="B1230" s="25" t="s">
        <v>1843</v>
      </c>
      <c r="C1230" s="25" t="s">
        <v>3482</v>
      </c>
      <c r="D1230" s="25">
        <v>0</v>
      </c>
      <c r="E1230" s="25">
        <v>0</v>
      </c>
      <c r="F1230" s="17"/>
      <c r="G1230" s="25"/>
    </row>
    <row r="1231">
      <c r="A1231" s="25">
        <v>1218</v>
      </c>
      <c r="B1231" s="25" t="s">
        <v>1844</v>
      </c>
      <c r="C1231" s="25" t="s">
        <v>3483</v>
      </c>
      <c r="D1231" s="25">
        <v>0</v>
      </c>
      <c r="E1231" s="25">
        <v>0</v>
      </c>
      <c r="F1231" s="17"/>
      <c r="G1231" s="25"/>
    </row>
    <row r="1232">
      <c r="A1232" s="25">
        <v>1219</v>
      </c>
      <c r="B1232" s="25" t="s">
        <v>1846</v>
      </c>
      <c r="C1232" s="25" t="s">
        <v>3484</v>
      </c>
      <c r="D1232" s="25">
        <v>546.47</v>
      </c>
      <c r="E1232" s="25">
        <v>1223.64</v>
      </c>
      <c r="F1232" s="17"/>
      <c r="G1232" s="25"/>
    </row>
    <row r="1233">
      <c r="A1233" s="25">
        <v>1220</v>
      </c>
      <c r="B1233" s="25" t="s">
        <v>1847</v>
      </c>
      <c r="C1233" s="25" t="s">
        <v>3485</v>
      </c>
      <c r="D1233" s="25">
        <v>0</v>
      </c>
      <c r="E1233" s="25">
        <v>0</v>
      </c>
      <c r="F1233" s="17"/>
      <c r="G1233" s="25"/>
    </row>
    <row r="1234">
      <c r="A1234" s="25">
        <v>1221</v>
      </c>
      <c r="B1234" s="25" t="s">
        <v>1848</v>
      </c>
      <c r="C1234" s="25" t="s">
        <v>3486</v>
      </c>
      <c r="D1234" s="25">
        <v>0</v>
      </c>
      <c r="E1234" s="25">
        <v>0</v>
      </c>
      <c r="F1234" s="17"/>
      <c r="G1234" s="25"/>
    </row>
    <row r="1235">
      <c r="A1235" s="25">
        <v>1222</v>
      </c>
      <c r="B1235" s="25" t="s">
        <v>1849</v>
      </c>
      <c r="C1235" s="25" t="s">
        <v>3487</v>
      </c>
      <c r="D1235" s="25">
        <v>72.21</v>
      </c>
      <c r="E1235" s="25">
        <v>239.85</v>
      </c>
      <c r="F1235" s="17"/>
      <c r="G1235" s="25"/>
    </row>
    <row r="1236">
      <c r="A1236" s="25">
        <v>1223</v>
      </c>
      <c r="B1236" s="25" t="s">
        <v>1850</v>
      </c>
      <c r="C1236" s="25" t="s">
        <v>3488</v>
      </c>
      <c r="D1236" s="25">
        <v>461.14</v>
      </c>
      <c r="E1236" s="25">
        <v>504.41</v>
      </c>
      <c r="F1236" s="17"/>
      <c r="G1236" s="25"/>
    </row>
    <row r="1237">
      <c r="A1237" s="25">
        <v>1224</v>
      </c>
      <c r="B1237" s="25" t="s">
        <v>1851</v>
      </c>
      <c r="C1237" s="25" t="s">
        <v>3489</v>
      </c>
      <c r="D1237" s="25">
        <v>3278.46</v>
      </c>
      <c r="E1237" s="25">
        <v>11290.59</v>
      </c>
      <c r="F1237" s="17"/>
      <c r="G1237" s="25"/>
    </row>
    <row r="1238">
      <c r="A1238" s="25">
        <v>1225</v>
      </c>
      <c r="B1238" s="25" t="s">
        <v>1852</v>
      </c>
      <c r="C1238" s="25" t="s">
        <v>3490</v>
      </c>
      <c r="D1238" s="25">
        <v>4358.28</v>
      </c>
      <c r="E1238" s="25">
        <v>13258.49</v>
      </c>
      <c r="F1238" s="17"/>
      <c r="G1238" s="25"/>
    </row>
    <row r="1239">
      <c r="A1239" s="25">
        <v>1226</v>
      </c>
      <c r="B1239" s="25" t="s">
        <v>1872</v>
      </c>
      <c r="C1239" s="25" t="s">
        <v>3491</v>
      </c>
      <c r="D1239" s="25">
        <v>1</v>
      </c>
      <c r="E1239" s="25">
        <v>1</v>
      </c>
      <c r="F1239" s="17"/>
      <c r="G1239" s="25"/>
    </row>
    <row r="1240">
      <c r="A1240" s="25">
        <v>1227</v>
      </c>
      <c r="B1240" s="25" t="s">
        <v>1873</v>
      </c>
      <c r="C1240" s="25" t="s">
        <v>3492</v>
      </c>
      <c r="D1240" s="25">
        <v>0</v>
      </c>
      <c r="E1240" s="25">
        <v>0</v>
      </c>
      <c r="F1240" s="17"/>
      <c r="G1240" s="25"/>
    </row>
    <row r="1241">
      <c r="A1241" s="25">
        <v>1228</v>
      </c>
      <c r="B1241" s="25" t="s">
        <v>1874</v>
      </c>
      <c r="C1241" s="25" t="s">
        <v>3493</v>
      </c>
      <c r="D1241" s="25">
        <v>0</v>
      </c>
      <c r="E1241" s="25">
        <v>0</v>
      </c>
      <c r="F1241" s="17"/>
      <c r="G1241" s="25"/>
    </row>
    <row r="1242">
      <c r="A1242" s="25">
        <v>1229</v>
      </c>
      <c r="B1242" s="25" t="s">
        <v>1875</v>
      </c>
      <c r="C1242" s="25" t="s">
        <v>3494</v>
      </c>
      <c r="D1242" s="25">
        <v>1</v>
      </c>
      <c r="E1242" s="25">
        <v>1</v>
      </c>
      <c r="F1242" s="17"/>
      <c r="G1242" s="25"/>
    </row>
    <row r="1243">
      <c r="A1243" s="25">
        <v>1230</v>
      </c>
      <c r="B1243" s="25" t="s">
        <v>1876</v>
      </c>
      <c r="C1243" s="25" t="s">
        <v>3495</v>
      </c>
      <c r="D1243" s="25">
        <v>0</v>
      </c>
      <c r="E1243" s="25">
        <v>0</v>
      </c>
      <c r="F1243" s="17"/>
      <c r="G1243" s="25"/>
    </row>
    <row r="1244">
      <c r="A1244" s="25">
        <v>1231</v>
      </c>
      <c r="B1244" s="25" t="s">
        <v>1877</v>
      </c>
      <c r="C1244" s="25" t="s">
        <v>3496</v>
      </c>
      <c r="D1244" s="25">
        <v>2</v>
      </c>
      <c r="E1244" s="25">
        <v>2</v>
      </c>
      <c r="F1244" s="17"/>
      <c r="G1244" s="25"/>
    </row>
    <row r="1245">
      <c r="A1245" s="25">
        <v>1232</v>
      </c>
      <c r="B1245" s="25" t="s">
        <v>1878</v>
      </c>
      <c r="C1245" s="25" t="s">
        <v>3497</v>
      </c>
      <c r="D1245" s="25">
        <v>4</v>
      </c>
      <c r="E1245" s="25">
        <v>4</v>
      </c>
      <c r="F1245" s="17"/>
      <c r="G1245" s="25"/>
    </row>
    <row r="1246">
      <c r="A1246" s="25">
        <v>1233</v>
      </c>
      <c r="B1246" s="25" t="s">
        <v>1881</v>
      </c>
      <c r="C1246" s="25" t="s">
        <v>3498</v>
      </c>
      <c r="D1246" s="25">
        <v>1</v>
      </c>
      <c r="E1246" s="25">
        <v>1</v>
      </c>
      <c r="F1246" s="17"/>
      <c r="G1246" s="25"/>
    </row>
    <row r="1247">
      <c r="A1247" s="25">
        <v>1234</v>
      </c>
      <c r="B1247" s="25" t="s">
        <v>1882</v>
      </c>
      <c r="C1247" s="25" t="s">
        <v>3499</v>
      </c>
      <c r="D1247" s="25">
        <v>0</v>
      </c>
      <c r="E1247" s="25">
        <v>0</v>
      </c>
      <c r="F1247" s="17"/>
      <c r="G1247" s="25"/>
    </row>
    <row r="1248">
      <c r="A1248" s="25">
        <v>1235</v>
      </c>
      <c r="B1248" s="25" t="s">
        <v>1883</v>
      </c>
      <c r="C1248" s="25" t="s">
        <v>3500</v>
      </c>
      <c r="D1248" s="25">
        <v>0</v>
      </c>
      <c r="E1248" s="25">
        <v>0</v>
      </c>
      <c r="F1248" s="17"/>
      <c r="G1248" s="25"/>
    </row>
    <row r="1249">
      <c r="A1249" s="25">
        <v>1236</v>
      </c>
      <c r="B1249" s="25" t="s">
        <v>1884</v>
      </c>
      <c r="C1249" s="25" t="s">
        <v>3501</v>
      </c>
      <c r="D1249" s="25">
        <v>0</v>
      </c>
      <c r="E1249" s="25">
        <v>0</v>
      </c>
      <c r="F1249" s="17"/>
      <c r="G1249" s="25"/>
    </row>
    <row r="1250">
      <c r="A1250" s="25">
        <v>1237</v>
      </c>
      <c r="B1250" s="25" t="s">
        <v>1885</v>
      </c>
      <c r="C1250" s="25" t="s">
        <v>3502</v>
      </c>
      <c r="D1250" s="25">
        <v>0</v>
      </c>
      <c r="E1250" s="25">
        <v>0</v>
      </c>
      <c r="F1250" s="17"/>
      <c r="G1250" s="25"/>
    </row>
    <row r="1251">
      <c r="A1251" s="25">
        <v>1238</v>
      </c>
      <c r="B1251" s="25" t="s">
        <v>1886</v>
      </c>
      <c r="C1251" s="25" t="s">
        <v>3503</v>
      </c>
      <c r="D1251" s="25">
        <v>0</v>
      </c>
      <c r="E1251" s="25">
        <v>0</v>
      </c>
      <c r="F1251" s="17"/>
      <c r="G1251" s="25"/>
    </row>
    <row r="1252">
      <c r="A1252" s="25">
        <v>1239</v>
      </c>
      <c r="B1252" s="25" t="s">
        <v>1887</v>
      </c>
      <c r="C1252" s="25" t="s">
        <v>3504</v>
      </c>
      <c r="D1252" s="25">
        <v>1</v>
      </c>
      <c r="E1252" s="25">
        <v>1</v>
      </c>
      <c r="F1252" s="17"/>
      <c r="G1252" s="25"/>
    </row>
    <row r="1253">
      <c r="A1253" s="25">
        <v>1240</v>
      </c>
      <c r="B1253" s="25" t="s">
        <v>1890</v>
      </c>
      <c r="C1253" s="25" t="s">
        <v>3505</v>
      </c>
      <c r="D1253" s="25">
        <v>0</v>
      </c>
      <c r="E1253" s="25">
        <v>0</v>
      </c>
      <c r="F1253" s="17"/>
      <c r="G1253" s="25"/>
    </row>
    <row r="1254">
      <c r="A1254" s="25">
        <v>1241</v>
      </c>
      <c r="B1254" s="25" t="s">
        <v>1891</v>
      </c>
      <c r="C1254" s="25" t="s">
        <v>3506</v>
      </c>
      <c r="D1254" s="25">
        <v>0</v>
      </c>
      <c r="E1254" s="25">
        <v>0</v>
      </c>
      <c r="F1254" s="17"/>
      <c r="G1254" s="25"/>
    </row>
    <row r="1255">
      <c r="A1255" s="25">
        <v>1242</v>
      </c>
      <c r="B1255" s="25" t="s">
        <v>1892</v>
      </c>
      <c r="C1255" s="25" t="s">
        <v>3507</v>
      </c>
      <c r="D1255" s="25">
        <v>0</v>
      </c>
      <c r="E1255" s="25">
        <v>0</v>
      </c>
      <c r="F1255" s="17"/>
      <c r="G1255" s="25"/>
    </row>
    <row r="1256">
      <c r="A1256" s="25">
        <v>1243</v>
      </c>
      <c r="B1256" s="25" t="s">
        <v>1893</v>
      </c>
      <c r="C1256" s="25" t="s">
        <v>3508</v>
      </c>
      <c r="D1256" s="25">
        <v>0</v>
      </c>
      <c r="E1256" s="25">
        <v>0</v>
      </c>
      <c r="F1256" s="17"/>
      <c r="G1256" s="25"/>
    </row>
    <row r="1257">
      <c r="A1257" s="25">
        <v>1244</v>
      </c>
      <c r="B1257" s="25" t="s">
        <v>1894</v>
      </c>
      <c r="C1257" s="25" t="s">
        <v>3509</v>
      </c>
      <c r="D1257" s="25">
        <v>0</v>
      </c>
      <c r="E1257" s="25">
        <v>0</v>
      </c>
      <c r="F1257" s="17"/>
      <c r="G1257" s="25"/>
    </row>
    <row r="1258">
      <c r="A1258" s="25">
        <v>1245</v>
      </c>
      <c r="B1258" s="25" t="s">
        <v>1895</v>
      </c>
      <c r="C1258" s="25" t="s">
        <v>3510</v>
      </c>
      <c r="D1258" s="25">
        <v>0</v>
      </c>
      <c r="E1258" s="25">
        <v>0</v>
      </c>
      <c r="F1258" s="17"/>
      <c r="G1258" s="25"/>
    </row>
    <row r="1259">
      <c r="A1259" s="25">
        <v>1246</v>
      </c>
      <c r="B1259" s="25" t="s">
        <v>1896</v>
      </c>
      <c r="C1259" s="25" t="s">
        <v>3511</v>
      </c>
      <c r="D1259" s="25">
        <v>0</v>
      </c>
      <c r="E1259" s="25">
        <v>0</v>
      </c>
      <c r="F1259" s="17"/>
      <c r="G1259" s="25"/>
    </row>
    <row r="1260">
      <c r="A1260" s="25">
        <v>1247</v>
      </c>
      <c r="B1260" s="25" t="s">
        <v>1899</v>
      </c>
      <c r="C1260" s="25" t="s">
        <v>3512</v>
      </c>
      <c r="D1260" s="25">
        <v>7</v>
      </c>
      <c r="E1260" s="25">
        <v>7</v>
      </c>
      <c r="F1260" s="17"/>
      <c r="G1260" s="25"/>
    </row>
    <row r="1261">
      <c r="A1261" s="25">
        <v>1248</v>
      </c>
      <c r="B1261" s="25" t="s">
        <v>1900</v>
      </c>
      <c r="C1261" s="25" t="s">
        <v>3513</v>
      </c>
      <c r="D1261" s="25">
        <v>0</v>
      </c>
      <c r="E1261" s="25">
        <v>0</v>
      </c>
      <c r="F1261" s="17"/>
      <c r="G1261" s="25"/>
    </row>
    <row r="1262">
      <c r="A1262" s="25">
        <v>1249</v>
      </c>
      <c r="B1262" s="25" t="s">
        <v>1901</v>
      </c>
      <c r="C1262" s="25" t="s">
        <v>3514</v>
      </c>
      <c r="D1262" s="25">
        <v>0</v>
      </c>
      <c r="E1262" s="25">
        <v>0</v>
      </c>
      <c r="F1262" s="17"/>
      <c r="G1262" s="25"/>
    </row>
    <row r="1263">
      <c r="A1263" s="25">
        <v>1250</v>
      </c>
      <c r="B1263" s="25" t="s">
        <v>1902</v>
      </c>
      <c r="C1263" s="25" t="s">
        <v>3515</v>
      </c>
      <c r="D1263" s="25">
        <v>3</v>
      </c>
      <c r="E1263" s="25">
        <v>3</v>
      </c>
      <c r="F1263" s="17"/>
      <c r="G1263" s="25"/>
    </row>
    <row r="1264">
      <c r="A1264" s="25">
        <v>1251</v>
      </c>
      <c r="B1264" s="25" t="s">
        <v>1903</v>
      </c>
      <c r="C1264" s="25" t="s">
        <v>3516</v>
      </c>
      <c r="D1264" s="25">
        <v>0</v>
      </c>
      <c r="E1264" s="25">
        <v>0</v>
      </c>
      <c r="F1264" s="17"/>
      <c r="G1264" s="25"/>
    </row>
    <row r="1265">
      <c r="A1265" s="25">
        <v>1252</v>
      </c>
      <c r="B1265" s="25" t="s">
        <v>1904</v>
      </c>
      <c r="C1265" s="25" t="s">
        <v>3517</v>
      </c>
      <c r="D1265" s="25">
        <v>0</v>
      </c>
      <c r="E1265" s="25">
        <v>0</v>
      </c>
      <c r="F1265" s="17"/>
      <c r="G1265" s="25"/>
    </row>
    <row r="1266">
      <c r="A1266" s="25">
        <v>1253</v>
      </c>
      <c r="B1266" s="25" t="s">
        <v>1905</v>
      </c>
      <c r="C1266" s="25" t="s">
        <v>3518</v>
      </c>
      <c r="D1266" s="25">
        <v>10</v>
      </c>
      <c r="E1266" s="25">
        <v>10</v>
      </c>
      <c r="F1266" s="17"/>
      <c r="G1266" s="25"/>
    </row>
    <row r="1267">
      <c r="A1267" s="25">
        <v>1254</v>
      </c>
      <c r="B1267" s="25" t="s">
        <v>1908</v>
      </c>
      <c r="C1267" s="25" t="s">
        <v>3519</v>
      </c>
      <c r="D1267" s="25">
        <v>0</v>
      </c>
      <c r="E1267" s="25">
        <v>0</v>
      </c>
      <c r="F1267" s="17"/>
      <c r="G1267" s="25"/>
    </row>
    <row r="1268">
      <c r="A1268" s="25">
        <v>1255</v>
      </c>
      <c r="B1268" s="25" t="s">
        <v>1909</v>
      </c>
      <c r="C1268" s="25" t="s">
        <v>3520</v>
      </c>
      <c r="D1268" s="25">
        <v>0</v>
      </c>
      <c r="E1268" s="25">
        <v>0</v>
      </c>
      <c r="F1268" s="17"/>
      <c r="G1268" s="25"/>
    </row>
    <row r="1269">
      <c r="A1269" s="25">
        <v>1256</v>
      </c>
      <c r="B1269" s="25" t="s">
        <v>1910</v>
      </c>
      <c r="C1269" s="25" t="s">
        <v>3521</v>
      </c>
      <c r="D1269" s="25">
        <v>0</v>
      </c>
      <c r="E1269" s="25">
        <v>0</v>
      </c>
      <c r="F1269" s="17"/>
      <c r="G1269" s="25"/>
    </row>
    <row r="1270">
      <c r="A1270" s="25">
        <v>1257</v>
      </c>
      <c r="B1270" s="25" t="s">
        <v>1911</v>
      </c>
      <c r="C1270" s="25" t="s">
        <v>3522</v>
      </c>
      <c r="D1270" s="25">
        <v>0</v>
      </c>
      <c r="E1270" s="25">
        <v>0</v>
      </c>
      <c r="F1270" s="17"/>
      <c r="G1270" s="25"/>
    </row>
    <row r="1271">
      <c r="A1271" s="25">
        <v>1258</v>
      </c>
      <c r="B1271" s="25" t="s">
        <v>1912</v>
      </c>
      <c r="C1271" s="25" t="s">
        <v>3523</v>
      </c>
      <c r="D1271" s="25">
        <v>0</v>
      </c>
      <c r="E1271" s="25">
        <v>0</v>
      </c>
      <c r="F1271" s="17"/>
      <c r="G1271" s="25"/>
    </row>
    <row r="1272">
      <c r="A1272" s="25">
        <v>1259</v>
      </c>
      <c r="B1272" s="25" t="s">
        <v>1913</v>
      </c>
      <c r="C1272" s="25" t="s">
        <v>3524</v>
      </c>
      <c r="D1272" s="25">
        <v>8</v>
      </c>
      <c r="E1272" s="25">
        <v>8</v>
      </c>
      <c r="F1272" s="17"/>
      <c r="G1272" s="25"/>
    </row>
    <row r="1273">
      <c r="A1273" s="25">
        <v>1260</v>
      </c>
      <c r="B1273" s="25" t="s">
        <v>1914</v>
      </c>
      <c r="C1273" s="25" t="s">
        <v>3525</v>
      </c>
      <c r="D1273" s="25">
        <v>8</v>
      </c>
      <c r="E1273" s="25">
        <v>8</v>
      </c>
      <c r="F1273" s="17"/>
      <c r="G1273" s="25"/>
    </row>
    <row r="1274">
      <c r="A1274" s="25">
        <v>1261</v>
      </c>
      <c r="B1274" s="25" t="s">
        <v>1917</v>
      </c>
      <c r="C1274" s="25" t="s">
        <v>3526</v>
      </c>
      <c r="D1274" s="25">
        <v>0</v>
      </c>
      <c r="E1274" s="25">
        <v>0</v>
      </c>
      <c r="F1274" s="17"/>
      <c r="G1274" s="25"/>
    </row>
    <row r="1275">
      <c r="A1275" s="25">
        <v>1262</v>
      </c>
      <c r="B1275" s="25" t="s">
        <v>1918</v>
      </c>
      <c r="C1275" s="25" t="s">
        <v>3527</v>
      </c>
      <c r="D1275" s="25">
        <v>0</v>
      </c>
      <c r="E1275" s="25">
        <v>0</v>
      </c>
      <c r="F1275" s="17"/>
      <c r="G1275" s="25"/>
    </row>
    <row r="1276">
      <c r="A1276" s="25">
        <v>1263</v>
      </c>
      <c r="B1276" s="25" t="s">
        <v>1919</v>
      </c>
      <c r="C1276" s="25" t="s">
        <v>3528</v>
      </c>
      <c r="D1276" s="25">
        <v>0</v>
      </c>
      <c r="E1276" s="25">
        <v>0</v>
      </c>
      <c r="F1276" s="17"/>
      <c r="G1276" s="25"/>
    </row>
    <row r="1277">
      <c r="A1277" s="25">
        <v>1264</v>
      </c>
      <c r="B1277" s="25" t="s">
        <v>1920</v>
      </c>
      <c r="C1277" s="25" t="s">
        <v>3529</v>
      </c>
      <c r="D1277" s="25">
        <v>0</v>
      </c>
      <c r="E1277" s="25">
        <v>0</v>
      </c>
      <c r="F1277" s="17"/>
      <c r="G1277" s="25"/>
    </row>
    <row r="1278">
      <c r="A1278" s="25">
        <v>1265</v>
      </c>
      <c r="B1278" s="25" t="s">
        <v>1921</v>
      </c>
      <c r="C1278" s="25" t="s">
        <v>3530</v>
      </c>
      <c r="D1278" s="25">
        <v>3</v>
      </c>
      <c r="E1278" s="25">
        <v>3</v>
      </c>
      <c r="F1278" s="17"/>
      <c r="G1278" s="25"/>
    </row>
    <row r="1279">
      <c r="A1279" s="25">
        <v>1266</v>
      </c>
      <c r="B1279" s="25" t="s">
        <v>1922</v>
      </c>
      <c r="C1279" s="25" t="s">
        <v>3531</v>
      </c>
      <c r="D1279" s="25">
        <v>0</v>
      </c>
      <c r="E1279" s="25">
        <v>0</v>
      </c>
      <c r="F1279" s="17"/>
      <c r="G1279" s="25"/>
    </row>
    <row r="1280">
      <c r="A1280" s="25">
        <v>1267</v>
      </c>
      <c r="B1280" s="25" t="s">
        <v>1923</v>
      </c>
      <c r="C1280" s="25" t="s">
        <v>3532</v>
      </c>
      <c r="D1280" s="25">
        <v>3</v>
      </c>
      <c r="E1280" s="25">
        <v>3</v>
      </c>
      <c r="F1280" s="17"/>
      <c r="G1280" s="25"/>
    </row>
    <row r="1281">
      <c r="A1281" s="25">
        <v>1268</v>
      </c>
      <c r="B1281" s="25" t="s">
        <v>1926</v>
      </c>
      <c r="C1281" s="25" t="s">
        <v>3533</v>
      </c>
      <c r="D1281" s="25">
        <v>0</v>
      </c>
      <c r="E1281" s="25">
        <v>0</v>
      </c>
      <c r="F1281" s="17"/>
      <c r="G1281" s="25"/>
    </row>
    <row r="1282">
      <c r="A1282" s="25">
        <v>1269</v>
      </c>
      <c r="B1282" s="25" t="s">
        <v>1927</v>
      </c>
      <c r="C1282" s="25" t="s">
        <v>3534</v>
      </c>
      <c r="D1282" s="25">
        <v>0</v>
      </c>
      <c r="E1282" s="25">
        <v>0</v>
      </c>
      <c r="F1282" s="17"/>
      <c r="G1282" s="25"/>
    </row>
    <row r="1283">
      <c r="A1283" s="25">
        <v>1270</v>
      </c>
      <c r="B1283" s="25" t="s">
        <v>1928</v>
      </c>
      <c r="C1283" s="25" t="s">
        <v>3535</v>
      </c>
      <c r="D1283" s="25">
        <v>0</v>
      </c>
      <c r="E1283" s="25">
        <v>0</v>
      </c>
      <c r="F1283" s="17"/>
      <c r="G1283" s="25"/>
    </row>
    <row r="1284">
      <c r="A1284" s="25">
        <v>1271</v>
      </c>
      <c r="B1284" s="25" t="s">
        <v>1929</v>
      </c>
      <c r="C1284" s="25" t="s">
        <v>3536</v>
      </c>
      <c r="D1284" s="25">
        <v>0</v>
      </c>
      <c r="E1284" s="25">
        <v>0</v>
      </c>
      <c r="F1284" s="17"/>
      <c r="G1284" s="25"/>
    </row>
    <row r="1285">
      <c r="A1285" s="25">
        <v>1272</v>
      </c>
      <c r="B1285" s="25" t="s">
        <v>1930</v>
      </c>
      <c r="C1285" s="25" t="s">
        <v>3537</v>
      </c>
      <c r="D1285" s="25">
        <v>7</v>
      </c>
      <c r="E1285" s="25">
        <v>7</v>
      </c>
      <c r="F1285" s="17"/>
      <c r="G1285" s="25"/>
    </row>
    <row r="1286">
      <c r="A1286" s="25">
        <v>1273</v>
      </c>
      <c r="B1286" s="25" t="s">
        <v>1931</v>
      </c>
      <c r="C1286" s="25" t="s">
        <v>3538</v>
      </c>
      <c r="D1286" s="25">
        <v>0</v>
      </c>
      <c r="E1286" s="25">
        <v>0</v>
      </c>
      <c r="F1286" s="17"/>
      <c r="G1286" s="25"/>
    </row>
    <row r="1287">
      <c r="A1287" s="25">
        <v>1274</v>
      </c>
      <c r="B1287" s="25" t="s">
        <v>1932</v>
      </c>
      <c r="C1287" s="25" t="s">
        <v>3539</v>
      </c>
      <c r="D1287" s="25">
        <v>7</v>
      </c>
      <c r="E1287" s="25">
        <v>7</v>
      </c>
      <c r="F1287" s="17"/>
      <c r="G1287" s="25"/>
    </row>
    <row r="1288">
      <c r="A1288" s="25">
        <v>1275</v>
      </c>
      <c r="B1288" s="25" t="s">
        <v>1935</v>
      </c>
      <c r="C1288" s="25" t="s">
        <v>3540</v>
      </c>
      <c r="D1288" s="25">
        <v>9</v>
      </c>
      <c r="E1288" s="25">
        <v>9</v>
      </c>
      <c r="F1288" s="17"/>
      <c r="G1288" s="25"/>
    </row>
    <row r="1289">
      <c r="A1289" s="25">
        <v>1276</v>
      </c>
      <c r="B1289" s="25" t="s">
        <v>1936</v>
      </c>
      <c r="C1289" s="25" t="s">
        <v>3541</v>
      </c>
      <c r="D1289" s="25">
        <v>0</v>
      </c>
      <c r="E1289" s="25">
        <v>0</v>
      </c>
      <c r="F1289" s="17"/>
      <c r="G1289" s="25"/>
    </row>
    <row r="1290">
      <c r="A1290" s="25">
        <v>1277</v>
      </c>
      <c r="B1290" s="25" t="s">
        <v>1937</v>
      </c>
      <c r="C1290" s="25" t="s">
        <v>3542</v>
      </c>
      <c r="D1290" s="25">
        <v>0</v>
      </c>
      <c r="E1290" s="25">
        <v>0</v>
      </c>
      <c r="F1290" s="17"/>
      <c r="G1290" s="25"/>
    </row>
    <row r="1291">
      <c r="A1291" s="25">
        <v>1278</v>
      </c>
      <c r="B1291" s="25" t="s">
        <v>1938</v>
      </c>
      <c r="C1291" s="25" t="s">
        <v>3543</v>
      </c>
      <c r="D1291" s="25">
        <v>4</v>
      </c>
      <c r="E1291" s="25">
        <v>4</v>
      </c>
      <c r="F1291" s="17"/>
      <c r="G1291" s="25"/>
    </row>
    <row r="1292">
      <c r="A1292" s="25">
        <v>1279</v>
      </c>
      <c r="B1292" s="25" t="s">
        <v>1939</v>
      </c>
      <c r="C1292" s="25" t="s">
        <v>3544</v>
      </c>
      <c r="D1292" s="25">
        <v>10</v>
      </c>
      <c r="E1292" s="25">
        <v>10</v>
      </c>
      <c r="F1292" s="17"/>
      <c r="G1292" s="25"/>
    </row>
    <row r="1293">
      <c r="A1293" s="25">
        <v>1280</v>
      </c>
      <c r="B1293" s="25" t="s">
        <v>1940</v>
      </c>
      <c r="C1293" s="25" t="s">
        <v>3545</v>
      </c>
      <c r="D1293" s="25">
        <v>10</v>
      </c>
      <c r="E1293" s="25">
        <v>10</v>
      </c>
      <c r="F1293" s="17"/>
      <c r="G1293" s="25"/>
    </row>
    <row r="1294">
      <c r="A1294" s="25">
        <v>1281</v>
      </c>
      <c r="B1294" s="25" t="s">
        <v>1941</v>
      </c>
      <c r="C1294" s="25" t="s">
        <v>3546</v>
      </c>
      <c r="D1294" s="25">
        <v>33</v>
      </c>
      <c r="E1294" s="25">
        <v>33</v>
      </c>
      <c r="F1294" s="17"/>
      <c r="G1294" s="25"/>
    </row>
    <row r="1295">
      <c r="A1295" s="25">
        <v>1282</v>
      </c>
      <c r="B1295" s="25" t="s">
        <v>1945</v>
      </c>
      <c r="C1295" s="25" t="s">
        <v>3547</v>
      </c>
      <c r="D1295" s="25">
        <v>0</v>
      </c>
      <c r="E1295" s="25">
        <v>0</v>
      </c>
      <c r="F1295" s="17"/>
      <c r="G1295" s="25"/>
    </row>
    <row r="1296">
      <c r="A1296" s="25">
        <v>1283</v>
      </c>
      <c r="B1296" s="25" t="s">
        <v>1946</v>
      </c>
      <c r="C1296" s="25" t="s">
        <v>3548</v>
      </c>
      <c r="D1296" s="25">
        <v>0</v>
      </c>
      <c r="E1296" s="25">
        <v>0</v>
      </c>
      <c r="F1296" s="17"/>
      <c r="G1296" s="25"/>
    </row>
    <row r="1297">
      <c r="A1297" s="25">
        <v>1284</v>
      </c>
      <c r="B1297" s="25" t="s">
        <v>1947</v>
      </c>
      <c r="C1297" s="25" t="s">
        <v>3549</v>
      </c>
      <c r="D1297" s="25">
        <v>0</v>
      </c>
      <c r="E1297" s="25">
        <v>0</v>
      </c>
      <c r="F1297" s="17"/>
      <c r="G1297" s="25"/>
    </row>
    <row r="1298">
      <c r="A1298" s="25">
        <v>1285</v>
      </c>
      <c r="B1298" s="25" t="s">
        <v>1948</v>
      </c>
      <c r="C1298" s="25" t="s">
        <v>3550</v>
      </c>
      <c r="D1298" s="25">
        <v>0</v>
      </c>
      <c r="E1298" s="25">
        <v>0</v>
      </c>
      <c r="F1298" s="17"/>
      <c r="G1298" s="25"/>
    </row>
    <row r="1299">
      <c r="A1299" s="25">
        <v>1286</v>
      </c>
      <c r="B1299" s="25" t="s">
        <v>1949</v>
      </c>
      <c r="C1299" s="25" t="s">
        <v>3551</v>
      </c>
      <c r="D1299" s="25">
        <v>0</v>
      </c>
      <c r="E1299" s="25">
        <v>0</v>
      </c>
      <c r="F1299" s="17"/>
      <c r="G1299" s="25"/>
    </row>
    <row r="1300">
      <c r="A1300" s="25">
        <v>1287</v>
      </c>
      <c r="B1300" s="25" t="s">
        <v>1950</v>
      </c>
      <c r="C1300" s="25" t="s">
        <v>3552</v>
      </c>
      <c r="D1300" s="25">
        <v>0</v>
      </c>
      <c r="E1300" s="25">
        <v>0</v>
      </c>
      <c r="F1300" s="17"/>
      <c r="G1300" s="25"/>
    </row>
    <row r="1301">
      <c r="A1301" s="25">
        <v>1288</v>
      </c>
      <c r="B1301" s="25" t="s">
        <v>1953</v>
      </c>
      <c r="C1301" s="25" t="s">
        <v>3553</v>
      </c>
      <c r="D1301" s="25">
        <v>0</v>
      </c>
      <c r="E1301" s="25">
        <v>0</v>
      </c>
      <c r="F1301" s="17"/>
      <c r="G1301" s="25"/>
    </row>
    <row r="1302">
      <c r="A1302" s="25">
        <v>1289</v>
      </c>
      <c r="B1302" s="25" t="s">
        <v>1954</v>
      </c>
      <c r="C1302" s="25" t="s">
        <v>3554</v>
      </c>
      <c r="D1302" s="25">
        <v>0</v>
      </c>
      <c r="E1302" s="25">
        <v>0</v>
      </c>
      <c r="F1302" s="17"/>
      <c r="G1302" s="25"/>
    </row>
    <row r="1303">
      <c r="A1303" s="25">
        <v>1290</v>
      </c>
      <c r="B1303" s="25" t="s">
        <v>1957</v>
      </c>
      <c r="C1303" s="25" t="s">
        <v>3555</v>
      </c>
      <c r="D1303" s="25">
        <v>0</v>
      </c>
      <c r="E1303" s="25">
        <v>0</v>
      </c>
      <c r="F1303" s="17"/>
      <c r="G1303" s="25"/>
    </row>
    <row r="1304">
      <c r="A1304" s="25">
        <v>1291</v>
      </c>
      <c r="B1304" s="25" t="s">
        <v>1958</v>
      </c>
      <c r="C1304" s="25" t="s">
        <v>3556</v>
      </c>
      <c r="D1304" s="25">
        <v>0</v>
      </c>
      <c r="E1304" s="25">
        <v>0</v>
      </c>
      <c r="F1304" s="17"/>
      <c r="G1304" s="25"/>
    </row>
    <row r="1305">
      <c r="A1305" s="25">
        <v>1292</v>
      </c>
      <c r="B1305" s="25" t="s">
        <v>1961</v>
      </c>
      <c r="C1305" s="25" t="s">
        <v>3557</v>
      </c>
      <c r="D1305" s="25">
        <v>0</v>
      </c>
      <c r="E1305" s="25">
        <v>0</v>
      </c>
      <c r="F1305" s="17"/>
      <c r="G1305" s="25"/>
    </row>
    <row r="1306">
      <c r="A1306" s="25">
        <v>1293</v>
      </c>
      <c r="B1306" s="25" t="s">
        <v>1962</v>
      </c>
      <c r="C1306" s="25" t="s">
        <v>3558</v>
      </c>
      <c r="D1306" s="25">
        <v>0</v>
      </c>
      <c r="E1306" s="25">
        <v>0</v>
      </c>
      <c r="F1306" s="17"/>
      <c r="G1306" s="25"/>
    </row>
    <row r="1307">
      <c r="A1307" s="25">
        <v>1294</v>
      </c>
      <c r="B1307" s="25" t="s">
        <v>1965</v>
      </c>
      <c r="C1307" s="25" t="s">
        <v>3559</v>
      </c>
      <c r="D1307" s="25">
        <v>0</v>
      </c>
      <c r="E1307" s="25">
        <v>0</v>
      </c>
      <c r="F1307" s="17"/>
      <c r="G1307" s="25"/>
    </row>
    <row r="1308">
      <c r="A1308" s="25">
        <v>1295</v>
      </c>
      <c r="B1308" s="25" t="s">
        <v>1966</v>
      </c>
      <c r="C1308" s="25" t="s">
        <v>3560</v>
      </c>
      <c r="D1308" s="25">
        <v>0</v>
      </c>
      <c r="E1308" s="25">
        <v>0</v>
      </c>
      <c r="F1308" s="17"/>
      <c r="G1308" s="25"/>
    </row>
    <row r="1309">
      <c r="A1309" s="25">
        <v>1296</v>
      </c>
      <c r="B1309" s="25" t="s">
        <v>1967</v>
      </c>
      <c r="C1309" s="25" t="s">
        <v>3561</v>
      </c>
      <c r="D1309" s="25">
        <v>0</v>
      </c>
      <c r="E1309" s="25">
        <v>0</v>
      </c>
      <c r="F1309" s="17"/>
      <c r="G1309" s="25"/>
    </row>
    <row r="1310">
      <c r="A1310" s="25">
        <v>1297</v>
      </c>
      <c r="B1310" s="25" t="s">
        <v>1968</v>
      </c>
      <c r="C1310" s="25" t="s">
        <v>3562</v>
      </c>
      <c r="D1310" s="25">
        <v>0</v>
      </c>
      <c r="E1310" s="25">
        <v>0</v>
      </c>
      <c r="F1310" s="17"/>
      <c r="G1310" s="25"/>
    </row>
    <row r="1311">
      <c r="A1311" s="25">
        <v>1298</v>
      </c>
      <c r="B1311" s="25" t="s">
        <v>1969</v>
      </c>
      <c r="C1311" s="25" t="s">
        <v>3563</v>
      </c>
      <c r="D1311" s="25">
        <v>0</v>
      </c>
      <c r="E1311" s="25">
        <v>0</v>
      </c>
      <c r="F1311" s="17"/>
      <c r="G1311" s="25"/>
    </row>
    <row r="1312">
      <c r="A1312" s="25">
        <v>1299</v>
      </c>
      <c r="B1312" s="25" t="s">
        <v>1970</v>
      </c>
      <c r="C1312" s="25" t="s">
        <v>3564</v>
      </c>
      <c r="D1312" s="25">
        <v>0</v>
      </c>
      <c r="E1312" s="25">
        <v>0</v>
      </c>
      <c r="F1312" s="17"/>
      <c r="G1312" s="25"/>
    </row>
    <row r="1313">
      <c r="A1313" s="25">
        <v>1300</v>
      </c>
      <c r="B1313" s="25" t="s">
        <v>1971</v>
      </c>
      <c r="C1313" s="25" t="s">
        <v>3565</v>
      </c>
      <c r="D1313" s="25">
        <v>0</v>
      </c>
      <c r="E1313" s="25">
        <v>0</v>
      </c>
      <c r="F1313" s="17"/>
      <c r="G1313" s="25"/>
    </row>
    <row r="1314">
      <c r="A1314" s="25">
        <v>1301</v>
      </c>
      <c r="B1314" s="25" t="s">
        <v>1976</v>
      </c>
      <c r="C1314" s="25" t="s">
        <v>3566</v>
      </c>
      <c r="D1314" s="25">
        <v>0</v>
      </c>
      <c r="E1314" s="25">
        <v>0</v>
      </c>
      <c r="F1314" s="17"/>
      <c r="G1314" s="25"/>
    </row>
    <row r="1315">
      <c r="A1315" s="25">
        <v>1302</v>
      </c>
      <c r="B1315" s="25" t="s">
        <v>1979</v>
      </c>
      <c r="C1315" s="25" t="s">
        <v>3567</v>
      </c>
      <c r="D1315" s="25">
        <v>0</v>
      </c>
      <c r="E1315" s="25">
        <v>0</v>
      </c>
      <c r="F1315" s="17"/>
      <c r="G1315" s="25"/>
    </row>
    <row r="1316">
      <c r="A1316" s="25">
        <v>1303</v>
      </c>
      <c r="B1316" s="25" t="s">
        <v>1982</v>
      </c>
      <c r="C1316" s="25" t="s">
        <v>3568</v>
      </c>
      <c r="D1316" s="25">
        <v>0</v>
      </c>
      <c r="E1316" s="25">
        <v>0</v>
      </c>
      <c r="F1316" s="17"/>
      <c r="G1316" s="25"/>
    </row>
    <row r="1317">
      <c r="A1317" s="25">
        <v>1304</v>
      </c>
      <c r="B1317" s="25" t="s">
        <v>1985</v>
      </c>
      <c r="C1317" s="25" t="s">
        <v>3569</v>
      </c>
      <c r="D1317" s="25">
        <v>0</v>
      </c>
      <c r="E1317" s="25">
        <v>0</v>
      </c>
      <c r="F1317" s="17"/>
      <c r="G1317" s="25"/>
    </row>
    <row r="1318">
      <c r="A1318" s="25">
        <v>1305</v>
      </c>
      <c r="B1318" s="25" t="s">
        <v>1988</v>
      </c>
      <c r="C1318" s="25" t="s">
        <v>3570</v>
      </c>
      <c r="D1318" s="25">
        <v>0</v>
      </c>
      <c r="E1318" s="25">
        <v>0</v>
      </c>
      <c r="F1318" s="17"/>
      <c r="G1318" s="25"/>
    </row>
    <row r="1319">
      <c r="A1319" s="25">
        <v>1306</v>
      </c>
      <c r="B1319" s="25" t="s">
        <v>1991</v>
      </c>
      <c r="C1319" s="25" t="s">
        <v>3571</v>
      </c>
      <c r="D1319" s="25">
        <v>0</v>
      </c>
      <c r="E1319" s="25">
        <v>0</v>
      </c>
      <c r="F1319" s="17"/>
      <c r="G1319" s="25"/>
    </row>
    <row r="1320">
      <c r="A1320" s="25">
        <v>1307</v>
      </c>
      <c r="B1320" s="25" t="s">
        <v>1994</v>
      </c>
      <c r="C1320" s="25" t="s">
        <v>3572</v>
      </c>
      <c r="D1320" s="25">
        <v>0</v>
      </c>
      <c r="E1320" s="25">
        <v>0</v>
      </c>
      <c r="F1320" s="17"/>
      <c r="G1320" s="25"/>
    </row>
    <row r="1321">
      <c r="A1321" s="25">
        <v>1308</v>
      </c>
      <c r="B1321" s="25" t="s">
        <v>1997</v>
      </c>
      <c r="C1321" s="25" t="s">
        <v>3573</v>
      </c>
      <c r="D1321" s="25">
        <v>0</v>
      </c>
      <c r="E1321" s="25">
        <v>0</v>
      </c>
      <c r="F1321" s="17"/>
      <c r="G1321" s="25"/>
    </row>
    <row r="1322">
      <c r="A1322" s="25">
        <v>1309</v>
      </c>
      <c r="B1322" s="25" t="s">
        <v>2000</v>
      </c>
      <c r="C1322" s="25" t="s">
        <v>3574</v>
      </c>
      <c r="D1322" s="25">
        <v>0</v>
      </c>
      <c r="E1322" s="25">
        <v>0</v>
      </c>
      <c r="F1322" s="17"/>
      <c r="G1322" s="25"/>
    </row>
    <row r="1323">
      <c r="A1323" s="25">
        <v>1310</v>
      </c>
      <c r="B1323" s="25" t="s">
        <v>2003</v>
      </c>
      <c r="C1323" s="25" t="s">
        <v>3575</v>
      </c>
      <c r="D1323" s="25">
        <v>0</v>
      </c>
      <c r="E1323" s="25">
        <v>0</v>
      </c>
      <c r="F1323" s="17"/>
      <c r="G1323" s="25"/>
    </row>
    <row r="1324">
      <c r="A1324" s="25">
        <v>1311</v>
      </c>
      <c r="B1324" s="25" t="s">
        <v>2006</v>
      </c>
      <c r="C1324" s="25" t="s">
        <v>3576</v>
      </c>
      <c r="D1324" s="25">
        <v>0</v>
      </c>
      <c r="E1324" s="25">
        <v>0</v>
      </c>
      <c r="F1324" s="17"/>
      <c r="G1324" s="25"/>
    </row>
    <row r="1325">
      <c r="A1325" s="25">
        <v>1312</v>
      </c>
      <c r="B1325" s="25" t="s">
        <v>2009</v>
      </c>
      <c r="C1325" s="25" t="s">
        <v>3577</v>
      </c>
      <c r="D1325" s="25">
        <v>0</v>
      </c>
      <c r="E1325" s="25">
        <v>0</v>
      </c>
      <c r="F1325" s="17"/>
      <c r="G1325" s="25"/>
    </row>
    <row r="1326">
      <c r="A1326" s="25">
        <v>1313</v>
      </c>
      <c r="B1326" s="25" t="s">
        <v>2012</v>
      </c>
      <c r="C1326" s="25" t="s">
        <v>3578</v>
      </c>
      <c r="D1326" s="25">
        <v>0</v>
      </c>
      <c r="E1326" s="25">
        <v>0</v>
      </c>
      <c r="F1326" s="17"/>
      <c r="G1326" s="25"/>
    </row>
    <row r="1327">
      <c r="A1327" s="25">
        <v>1314</v>
      </c>
      <c r="B1327" s="25" t="s">
        <v>2015</v>
      </c>
      <c r="C1327" s="25" t="s">
        <v>3579</v>
      </c>
      <c r="D1327" s="25">
        <v>0</v>
      </c>
      <c r="E1327" s="25">
        <v>0</v>
      </c>
      <c r="F1327" s="17"/>
      <c r="G1327" s="25"/>
    </row>
    <row r="1328">
      <c r="A1328" s="25">
        <v>1315</v>
      </c>
      <c r="B1328" s="25" t="s">
        <v>2018</v>
      </c>
      <c r="C1328" s="25" t="s">
        <v>3580</v>
      </c>
      <c r="D1328" s="25">
        <v>0</v>
      </c>
      <c r="E1328" s="25">
        <v>0</v>
      </c>
      <c r="F1328" s="17"/>
      <c r="G1328" s="25"/>
    </row>
    <row r="1329">
      <c r="A1329" s="25">
        <v>1316</v>
      </c>
      <c r="B1329" s="25" t="s">
        <v>2021</v>
      </c>
      <c r="C1329" s="25" t="s">
        <v>3581</v>
      </c>
      <c r="D1329" s="25">
        <v>0</v>
      </c>
      <c r="E1329" s="25">
        <v>0</v>
      </c>
      <c r="F1329" s="17"/>
      <c r="G1329" s="25"/>
    </row>
    <row r="1330">
      <c r="A1330" s="25">
        <v>1317</v>
      </c>
      <c r="B1330" s="25" t="s">
        <v>2024</v>
      </c>
      <c r="C1330" s="25" t="s">
        <v>3582</v>
      </c>
      <c r="D1330" s="25">
        <v>0</v>
      </c>
      <c r="E1330" s="25">
        <v>0</v>
      </c>
      <c r="F1330" s="17"/>
      <c r="G1330" s="25"/>
    </row>
    <row r="1331">
      <c r="A1331" s="25">
        <v>1318</v>
      </c>
      <c r="B1331" s="25" t="s">
        <v>2027</v>
      </c>
      <c r="C1331" s="25" t="s">
        <v>3583</v>
      </c>
      <c r="D1331" s="25">
        <v>0</v>
      </c>
      <c r="E1331" s="25">
        <v>0</v>
      </c>
      <c r="F1331" s="17"/>
      <c r="G1331" s="25"/>
    </row>
    <row r="1332">
      <c r="A1332" s="25">
        <v>1319</v>
      </c>
      <c r="B1332" s="25" t="s">
        <v>2031</v>
      </c>
      <c r="C1332" s="25" t="s">
        <v>3584</v>
      </c>
      <c r="D1332" s="25">
        <v>0</v>
      </c>
      <c r="E1332" s="25">
        <v>0</v>
      </c>
      <c r="F1332" s="17"/>
      <c r="G1332" s="25"/>
    </row>
    <row r="1333">
      <c r="A1333" s="25">
        <v>1320</v>
      </c>
      <c r="B1333" s="25" t="s">
        <v>2034</v>
      </c>
      <c r="C1333" s="25" t="s">
        <v>3584</v>
      </c>
      <c r="D1333" s="25">
        <v>0</v>
      </c>
      <c r="E1333" s="25">
        <v>0</v>
      </c>
      <c r="F1333" s="17"/>
      <c r="G1333" s="25"/>
    </row>
    <row r="1334">
      <c r="A1334" s="25">
        <v>1321</v>
      </c>
      <c r="B1334" s="25" t="s">
        <v>2037</v>
      </c>
      <c r="C1334" s="25" t="s">
        <v>3585</v>
      </c>
      <c r="D1334" s="25">
        <v>0</v>
      </c>
      <c r="E1334" s="25">
        <v>0</v>
      </c>
      <c r="F1334" s="17"/>
      <c r="G1334" s="25"/>
    </row>
    <row r="1335">
      <c r="A1335" s="25">
        <v>1322</v>
      </c>
      <c r="B1335" s="25" t="s">
        <v>2040</v>
      </c>
      <c r="C1335" s="25" t="s">
        <v>3586</v>
      </c>
      <c r="D1335" s="25">
        <v>0</v>
      </c>
      <c r="E1335" s="25">
        <v>0</v>
      </c>
      <c r="F1335" s="17"/>
      <c r="G1335" s="25"/>
    </row>
    <row r="1336">
      <c r="A1336" s="25">
        <v>1323</v>
      </c>
      <c r="B1336" s="25" t="s">
        <v>2043</v>
      </c>
      <c r="C1336" s="25" t="s">
        <v>3587</v>
      </c>
      <c r="D1336" s="25">
        <v>0</v>
      </c>
      <c r="E1336" s="25">
        <v>0</v>
      </c>
      <c r="F1336" s="17"/>
      <c r="G1336" s="25"/>
    </row>
    <row r="1337">
      <c r="A1337" s="25">
        <v>1324</v>
      </c>
      <c r="B1337" s="25" t="s">
        <v>2047</v>
      </c>
      <c r="C1337" s="25" t="s">
        <v>3588</v>
      </c>
      <c r="D1337" s="25">
        <v>0</v>
      </c>
      <c r="E1337" s="25">
        <v>0</v>
      </c>
      <c r="F1337" s="17"/>
      <c r="G1337" s="25"/>
    </row>
    <row r="1338">
      <c r="A1338" s="25">
        <v>1325</v>
      </c>
      <c r="B1338" s="25" t="s">
        <v>2050</v>
      </c>
      <c r="C1338" s="25" t="s">
        <v>3589</v>
      </c>
      <c r="D1338" s="25">
        <v>0</v>
      </c>
      <c r="E1338" s="25">
        <v>0</v>
      </c>
      <c r="F1338" s="17"/>
      <c r="G1338" s="25"/>
    </row>
    <row r="1339">
      <c r="A1339" s="25">
        <v>1326</v>
      </c>
      <c r="B1339" s="25" t="s">
        <v>2053</v>
      </c>
      <c r="C1339" s="25" t="s">
        <v>3590</v>
      </c>
      <c r="D1339" s="25">
        <v>0</v>
      </c>
      <c r="E1339" s="25">
        <v>0</v>
      </c>
      <c r="F1339" s="17"/>
      <c r="G1339" s="25"/>
    </row>
    <row r="1340">
      <c r="A1340" s="25">
        <v>1327</v>
      </c>
      <c r="B1340" s="25" t="s">
        <v>2056</v>
      </c>
      <c r="C1340" s="25" t="s">
        <v>3591</v>
      </c>
      <c r="D1340" s="25">
        <v>0</v>
      </c>
      <c r="E1340" s="25">
        <v>0</v>
      </c>
      <c r="F1340" s="17"/>
      <c r="G1340" s="25"/>
    </row>
    <row r="1341">
      <c r="A1341" s="25">
        <v>1328</v>
      </c>
      <c r="B1341" s="25" t="s">
        <v>2059</v>
      </c>
      <c r="C1341" s="25" t="s">
        <v>3592</v>
      </c>
      <c r="D1341" s="25">
        <v>0</v>
      </c>
      <c r="E1341" s="25">
        <v>0</v>
      </c>
      <c r="F1341" s="17"/>
      <c r="G1341" s="25"/>
    </row>
    <row r="1342">
      <c r="A1342" s="25">
        <v>1329</v>
      </c>
      <c r="B1342" s="25" t="s">
        <v>2062</v>
      </c>
      <c r="C1342" s="25" t="s">
        <v>3593</v>
      </c>
      <c r="D1342" s="25">
        <v>0</v>
      </c>
      <c r="E1342" s="25">
        <v>0</v>
      </c>
      <c r="F1342" s="17"/>
      <c r="G1342" s="25"/>
    </row>
    <row r="1343">
      <c r="A1343" s="25">
        <v>1330</v>
      </c>
      <c r="B1343" s="25" t="s">
        <v>2065</v>
      </c>
      <c r="C1343" s="25" t="s">
        <v>3594</v>
      </c>
      <c r="D1343" s="25">
        <v>0</v>
      </c>
      <c r="E1343" s="25">
        <v>0</v>
      </c>
      <c r="F1343" s="17"/>
      <c r="G1343" s="25"/>
    </row>
    <row r="1344">
      <c r="A1344" s="25">
        <v>1331</v>
      </c>
      <c r="B1344" s="25" t="s">
        <v>2069</v>
      </c>
      <c r="C1344" s="25" t="s">
        <v>3595</v>
      </c>
      <c r="D1344" s="25">
        <v>0</v>
      </c>
      <c r="E1344" s="25">
        <v>0</v>
      </c>
      <c r="F1344" s="17"/>
      <c r="G1344" s="25"/>
    </row>
    <row r="1345">
      <c r="A1345" s="25">
        <v>1332</v>
      </c>
      <c r="B1345" s="25" t="s">
        <v>2072</v>
      </c>
      <c r="C1345" s="25" t="s">
        <v>3596</v>
      </c>
      <c r="D1345" s="25">
        <v>0</v>
      </c>
      <c r="E1345" s="25">
        <v>0</v>
      </c>
      <c r="F1345" s="17"/>
      <c r="G1345" s="25"/>
    </row>
    <row r="1346">
      <c r="A1346" s="25">
        <v>1333</v>
      </c>
      <c r="B1346" s="25" t="s">
        <v>2075</v>
      </c>
      <c r="C1346" s="25" t="s">
        <v>3597</v>
      </c>
      <c r="D1346" s="25">
        <v>0</v>
      </c>
      <c r="E1346" s="25">
        <v>0</v>
      </c>
      <c r="F1346" s="17"/>
      <c r="G1346" s="25"/>
    </row>
    <row r="1347">
      <c r="A1347" s="25">
        <v>1334</v>
      </c>
      <c r="B1347" s="25" t="s">
        <v>2078</v>
      </c>
      <c r="C1347" s="25" t="s">
        <v>3598</v>
      </c>
      <c r="D1347" s="25">
        <v>0</v>
      </c>
      <c r="E1347" s="25">
        <v>0</v>
      </c>
      <c r="F1347" s="17"/>
      <c r="G1347" s="25"/>
    </row>
    <row r="1348">
      <c r="A1348" s="25">
        <v>1335</v>
      </c>
      <c r="B1348" s="25" t="s">
        <v>2081</v>
      </c>
      <c r="C1348" s="25" t="s">
        <v>3599</v>
      </c>
      <c r="D1348" s="25">
        <v>0</v>
      </c>
      <c r="E1348" s="25">
        <v>0</v>
      </c>
      <c r="F1348" s="17"/>
      <c r="G1348" s="25"/>
    </row>
    <row r="1349">
      <c r="A1349" s="25">
        <v>1336</v>
      </c>
      <c r="B1349" s="25" t="s">
        <v>2084</v>
      </c>
      <c r="C1349" s="25" t="s">
        <v>3600</v>
      </c>
      <c r="D1349" s="25">
        <v>0</v>
      </c>
      <c r="E1349" s="25">
        <v>0</v>
      </c>
      <c r="F1349" s="17"/>
      <c r="G1349" s="25"/>
    </row>
    <row r="1350">
      <c r="A1350" s="25">
        <v>1337</v>
      </c>
      <c r="B1350" s="25" t="s">
        <v>2087</v>
      </c>
      <c r="C1350" s="25" t="s">
        <v>3601</v>
      </c>
      <c r="D1350" s="25">
        <v>0</v>
      </c>
      <c r="E1350" s="25">
        <v>0</v>
      </c>
      <c r="F1350" s="17"/>
      <c r="G1350" s="25"/>
    </row>
    <row r="1351">
      <c r="A1351" s="25">
        <v>1338</v>
      </c>
      <c r="B1351" s="25" t="s">
        <v>2090</v>
      </c>
      <c r="C1351" s="25" t="s">
        <v>3602</v>
      </c>
      <c r="D1351" s="25">
        <v>0</v>
      </c>
      <c r="E1351" s="25">
        <v>0</v>
      </c>
      <c r="F1351" s="17"/>
      <c r="G1351" s="25"/>
    </row>
    <row r="1352">
      <c r="A1352" s="25">
        <v>1339</v>
      </c>
      <c r="B1352" s="25" t="s">
        <v>2093</v>
      </c>
      <c r="C1352" s="25" t="s">
        <v>3603</v>
      </c>
      <c r="D1352" s="25">
        <v>0</v>
      </c>
      <c r="E1352" s="25">
        <v>0</v>
      </c>
      <c r="F1352" s="17"/>
      <c r="G1352" s="25"/>
    </row>
    <row r="1353">
      <c r="A1353" s="25">
        <v>1340</v>
      </c>
      <c r="B1353" s="25" t="s">
        <v>2096</v>
      </c>
      <c r="C1353" s="25" t="s">
        <v>3604</v>
      </c>
      <c r="D1353" s="25">
        <v>0</v>
      </c>
      <c r="E1353" s="25">
        <v>0</v>
      </c>
      <c r="F1353" s="17"/>
      <c r="G1353" s="25"/>
    </row>
    <row r="1354">
      <c r="A1354" s="25">
        <v>1341</v>
      </c>
      <c r="B1354" s="25" t="s">
        <v>2099</v>
      </c>
      <c r="C1354" s="25" t="s">
        <v>3605</v>
      </c>
      <c r="D1354" s="25">
        <v>0</v>
      </c>
      <c r="E1354" s="25">
        <v>0</v>
      </c>
      <c r="F1354" s="17"/>
      <c r="G1354" s="25"/>
    </row>
    <row r="1355">
      <c r="A1355" s="25">
        <v>1342</v>
      </c>
      <c r="B1355" s="25" t="s">
        <v>2102</v>
      </c>
      <c r="C1355" s="25" t="s">
        <v>3606</v>
      </c>
      <c r="D1355" s="25">
        <v>0</v>
      </c>
      <c r="E1355" s="25">
        <v>0</v>
      </c>
      <c r="F1355" s="17"/>
      <c r="G1355" s="25"/>
    </row>
    <row r="1356">
      <c r="A1356" s="25">
        <v>1343</v>
      </c>
      <c r="B1356" s="25" t="s">
        <v>2105</v>
      </c>
      <c r="C1356" s="25" t="s">
        <v>3607</v>
      </c>
      <c r="D1356" s="25">
        <v>0</v>
      </c>
      <c r="E1356" s="25">
        <v>0</v>
      </c>
      <c r="F1356" s="17"/>
      <c r="G1356" s="25"/>
    </row>
    <row r="1357">
      <c r="A1357" s="25">
        <v>1344</v>
      </c>
      <c r="B1357" s="25" t="s">
        <v>2108</v>
      </c>
      <c r="C1357" s="25" t="s">
        <v>3608</v>
      </c>
      <c r="D1357" s="25">
        <v>0</v>
      </c>
      <c r="E1357" s="25">
        <v>0</v>
      </c>
      <c r="F1357" s="17"/>
      <c r="G1357" s="25"/>
    </row>
    <row r="1358">
      <c r="A1358" s="25">
        <v>1345</v>
      </c>
      <c r="B1358" s="25" t="s">
        <v>2111</v>
      </c>
      <c r="C1358" s="25" t="s">
        <v>3609</v>
      </c>
      <c r="D1358" s="25">
        <v>0</v>
      </c>
      <c r="E1358" s="25">
        <v>0</v>
      </c>
      <c r="F1358" s="17"/>
      <c r="G1358" s="25"/>
    </row>
    <row r="1359">
      <c r="A1359" s="25">
        <v>1346</v>
      </c>
      <c r="B1359" s="25" t="s">
        <v>2114</v>
      </c>
      <c r="C1359" s="25" t="s">
        <v>3610</v>
      </c>
      <c r="D1359" s="25">
        <v>0</v>
      </c>
      <c r="E1359" s="25">
        <v>0</v>
      </c>
      <c r="F1359" s="17"/>
      <c r="G1359" s="25"/>
    </row>
    <row r="1360">
      <c r="A1360" s="25">
        <v>1347</v>
      </c>
      <c r="B1360" s="25" t="s">
        <v>2117</v>
      </c>
      <c r="C1360" s="25" t="s">
        <v>3611</v>
      </c>
      <c r="D1360" s="25">
        <v>0</v>
      </c>
      <c r="E1360" s="25">
        <v>0</v>
      </c>
      <c r="F1360" s="17"/>
      <c r="G1360" s="25"/>
    </row>
    <row r="1361">
      <c r="A1361" s="25">
        <v>1348</v>
      </c>
      <c r="B1361" s="25" t="s">
        <v>2121</v>
      </c>
      <c r="C1361" s="25" t="s">
        <v>3612</v>
      </c>
      <c r="D1361" s="25">
        <v>0</v>
      </c>
      <c r="E1361" s="25">
        <v>0</v>
      </c>
      <c r="F1361" s="17"/>
      <c r="G1361" s="25"/>
    </row>
    <row r="1362">
      <c r="A1362" s="25">
        <v>1349</v>
      </c>
      <c r="B1362" s="25" t="s">
        <v>2124</v>
      </c>
      <c r="C1362" s="25" t="s">
        <v>3613</v>
      </c>
      <c r="D1362" s="25">
        <v>0</v>
      </c>
      <c r="E1362" s="25">
        <v>0</v>
      </c>
      <c r="F1362" s="17"/>
      <c r="G1362" s="25"/>
    </row>
    <row r="1363">
      <c r="A1363" s="25">
        <v>1350</v>
      </c>
      <c r="B1363" s="25" t="s">
        <v>2126</v>
      </c>
      <c r="C1363" s="25" t="s">
        <v>3614</v>
      </c>
      <c r="D1363" s="25">
        <v>0</v>
      </c>
      <c r="E1363" s="25">
        <v>0</v>
      </c>
      <c r="F1363" s="17"/>
      <c r="G1363" s="25"/>
    </row>
    <row r="1364">
      <c r="A1364" s="25">
        <v>1351</v>
      </c>
      <c r="B1364" s="25" t="s">
        <v>2129</v>
      </c>
      <c r="C1364" s="25" t="s">
        <v>3615</v>
      </c>
      <c r="D1364" s="25">
        <v>0</v>
      </c>
      <c r="E1364" s="25">
        <v>0</v>
      </c>
      <c r="F1364" s="17"/>
      <c r="G1364" s="25"/>
    </row>
    <row r="1365">
      <c r="A1365" s="25">
        <v>1352</v>
      </c>
      <c r="B1365" s="25" t="s">
        <v>2132</v>
      </c>
      <c r="C1365" s="25" t="s">
        <v>3616</v>
      </c>
      <c r="D1365" s="25">
        <v>0</v>
      </c>
      <c r="E1365" s="25">
        <v>0</v>
      </c>
      <c r="F1365" s="17"/>
      <c r="G1365" s="25"/>
    </row>
    <row r="1366">
      <c r="A1366" s="25">
        <v>1353</v>
      </c>
      <c r="B1366" s="25" t="s">
        <v>2134</v>
      </c>
      <c r="C1366" s="25" t="s">
        <v>3585</v>
      </c>
      <c r="D1366" s="25">
        <v>0</v>
      </c>
      <c r="E1366" s="25">
        <v>0</v>
      </c>
      <c r="F1366" s="17"/>
      <c r="G1366" s="25"/>
    </row>
    <row r="1367">
      <c r="A1367" s="25">
        <v>1354</v>
      </c>
      <c r="B1367" s="25" t="s">
        <v>2136</v>
      </c>
      <c r="C1367" s="25" t="s">
        <v>3604</v>
      </c>
      <c r="D1367" s="25">
        <v>0</v>
      </c>
      <c r="E1367" s="25">
        <v>0</v>
      </c>
      <c r="F1367" s="17"/>
      <c r="G1367" s="25"/>
    </row>
    <row r="1368">
      <c r="A1368" s="25">
        <v>1355</v>
      </c>
      <c r="B1368" s="25" t="s">
        <v>2139</v>
      </c>
      <c r="C1368" s="25" t="s">
        <v>3617</v>
      </c>
      <c r="D1368" s="25">
        <v>0</v>
      </c>
      <c r="E1368" s="25">
        <v>0</v>
      </c>
      <c r="F1368" s="17"/>
      <c r="G1368" s="25"/>
    </row>
    <row r="1369">
      <c r="A1369" s="25">
        <v>1356</v>
      </c>
      <c r="B1369" s="25" t="s">
        <v>2142</v>
      </c>
      <c r="C1369" s="25" t="s">
        <v>3618</v>
      </c>
      <c r="D1369" s="25">
        <v>0</v>
      </c>
      <c r="E1369" s="25">
        <v>0</v>
      </c>
      <c r="F1369" s="17"/>
      <c r="G1369" s="25"/>
    </row>
    <row r="1370">
      <c r="A1370" s="25">
        <v>1357</v>
      </c>
      <c r="B1370" s="25" t="s">
        <v>2145</v>
      </c>
      <c r="C1370" s="25" t="s">
        <v>3619</v>
      </c>
      <c r="D1370" s="25">
        <v>0</v>
      </c>
      <c r="E1370" s="25">
        <v>0</v>
      </c>
      <c r="F1370" s="17"/>
      <c r="G1370" s="25"/>
    </row>
    <row r="1371">
      <c r="A1371" s="25">
        <v>1358</v>
      </c>
      <c r="B1371" s="25" t="s">
        <v>2148</v>
      </c>
      <c r="C1371" s="25" t="s">
        <v>3620</v>
      </c>
      <c r="D1371" s="25">
        <v>0</v>
      </c>
      <c r="E1371" s="25">
        <v>0</v>
      </c>
      <c r="F1371" s="17"/>
      <c r="G1371" s="25"/>
    </row>
    <row r="1372">
      <c r="A1372" s="25">
        <v>1359</v>
      </c>
      <c r="B1372" s="25" t="s">
        <v>2151</v>
      </c>
      <c r="C1372" s="25" t="s">
        <v>3621</v>
      </c>
      <c r="D1372" s="25">
        <v>0</v>
      </c>
      <c r="E1372" s="25">
        <v>0</v>
      </c>
      <c r="F1372" s="17"/>
      <c r="G1372" s="25"/>
    </row>
    <row r="1373">
      <c r="A1373" s="25">
        <v>1360</v>
      </c>
      <c r="B1373" s="25" t="s">
        <v>2154</v>
      </c>
      <c r="C1373" s="25" t="s">
        <v>3622</v>
      </c>
      <c r="D1373" s="25">
        <v>0</v>
      </c>
      <c r="E1373" s="25">
        <v>0</v>
      </c>
      <c r="F1373" s="17"/>
      <c r="G1373" s="25"/>
    </row>
    <row r="1374">
      <c r="A1374" s="25">
        <v>1361</v>
      </c>
      <c r="B1374" s="25" t="s">
        <v>2157</v>
      </c>
      <c r="C1374" s="25" t="s">
        <v>3623</v>
      </c>
      <c r="D1374" s="25">
        <v>0</v>
      </c>
      <c r="E1374" s="25">
        <v>0</v>
      </c>
      <c r="F1374" s="17"/>
      <c r="G1374" s="25"/>
    </row>
    <row r="1375">
      <c r="A1375" s="25">
        <v>1362</v>
      </c>
      <c r="B1375" s="25" t="s">
        <v>2160</v>
      </c>
      <c r="C1375" s="25" t="s">
        <v>3624</v>
      </c>
      <c r="D1375" s="25">
        <v>0</v>
      </c>
      <c r="E1375" s="25">
        <v>0</v>
      </c>
      <c r="F1375" s="17"/>
      <c r="G1375" s="25"/>
    </row>
    <row r="1376">
      <c r="A1376" s="25">
        <v>1363</v>
      </c>
      <c r="B1376" s="25" t="s">
        <v>2163</v>
      </c>
      <c r="C1376" s="25" t="s">
        <v>3625</v>
      </c>
      <c r="D1376" s="25">
        <v>0</v>
      </c>
      <c r="E1376" s="25">
        <v>0</v>
      </c>
      <c r="F1376" s="17"/>
      <c r="G1376" s="25"/>
    </row>
    <row r="1377">
      <c r="A1377" s="25">
        <v>1364</v>
      </c>
      <c r="B1377" s="25" t="s">
        <v>2166</v>
      </c>
      <c r="C1377" s="25" t="s">
        <v>3626</v>
      </c>
      <c r="D1377" s="25">
        <v>0</v>
      </c>
      <c r="E1377" s="25">
        <v>0</v>
      </c>
      <c r="F1377" s="17"/>
      <c r="G1377" s="25"/>
    </row>
    <row r="1378">
      <c r="A1378" s="25">
        <v>1365</v>
      </c>
      <c r="B1378" s="25" t="s">
        <v>2169</v>
      </c>
      <c r="C1378" s="25" t="s">
        <v>3627</v>
      </c>
      <c r="D1378" s="25">
        <v>0</v>
      </c>
      <c r="E1378" s="25">
        <v>0</v>
      </c>
      <c r="F1378" s="17"/>
      <c r="G1378" s="25"/>
    </row>
    <row r="1379">
      <c r="A1379" s="25">
        <v>1366</v>
      </c>
      <c r="B1379" s="25" t="s">
        <v>2172</v>
      </c>
      <c r="C1379" s="25" t="s">
        <v>3628</v>
      </c>
      <c r="D1379" s="25">
        <v>0</v>
      </c>
      <c r="E1379" s="25">
        <v>0</v>
      </c>
      <c r="F1379" s="17"/>
      <c r="G1379" s="25"/>
    </row>
    <row r="1380">
      <c r="A1380" s="25">
        <v>1367</v>
      </c>
      <c r="B1380" s="25" t="s">
        <v>2175</v>
      </c>
      <c r="C1380" s="25" t="s">
        <v>3629</v>
      </c>
      <c r="D1380" s="25">
        <v>0</v>
      </c>
      <c r="E1380" s="25">
        <v>0</v>
      </c>
      <c r="F1380" s="17"/>
      <c r="G1380" s="25"/>
    </row>
    <row r="1381">
      <c r="A1381" s="25">
        <v>1368</v>
      </c>
      <c r="B1381" s="25" t="s">
        <v>2178</v>
      </c>
      <c r="C1381" s="25" t="s">
        <v>3630</v>
      </c>
      <c r="D1381" s="25">
        <v>0</v>
      </c>
      <c r="E1381" s="25">
        <v>0</v>
      </c>
      <c r="F1381" s="17"/>
      <c r="G1381" s="25"/>
    </row>
    <row r="1382">
      <c r="A1382" s="25">
        <v>1369</v>
      </c>
      <c r="B1382" s="25" t="s">
        <v>2180</v>
      </c>
      <c r="C1382" s="25" t="s">
        <v>3631</v>
      </c>
      <c r="D1382" s="25">
        <v>0</v>
      </c>
      <c r="E1382" s="25">
        <v>0</v>
      </c>
      <c r="F1382" s="17"/>
      <c r="G1382" s="25"/>
    </row>
    <row r="1383">
      <c r="A1383" s="25">
        <v>1370</v>
      </c>
      <c r="B1383" s="25" t="s">
        <v>2182</v>
      </c>
      <c r="C1383" s="25" t="s">
        <v>3604</v>
      </c>
      <c r="D1383" s="25">
        <v>0</v>
      </c>
      <c r="E1383" s="25">
        <v>0</v>
      </c>
      <c r="F1383" s="17"/>
      <c r="G1383" s="25"/>
    </row>
    <row r="1384">
      <c r="A1384" s="25">
        <v>1371</v>
      </c>
      <c r="B1384" s="25" t="s">
        <v>2185</v>
      </c>
      <c r="C1384" s="25" t="s">
        <v>3632</v>
      </c>
      <c r="D1384" s="25">
        <v>0</v>
      </c>
      <c r="E1384" s="25">
        <v>0</v>
      </c>
      <c r="F1384" s="17"/>
      <c r="G1384" s="25"/>
    </row>
    <row r="1385">
      <c r="A1385" s="25">
        <v>1372</v>
      </c>
      <c r="B1385" s="25" t="s">
        <v>2188</v>
      </c>
      <c r="C1385" s="25" t="s">
        <v>3633</v>
      </c>
      <c r="D1385" s="25">
        <v>0</v>
      </c>
      <c r="E1385" s="25">
        <v>0</v>
      </c>
      <c r="F1385" s="17"/>
      <c r="G1385" s="25"/>
    </row>
    <row r="1386">
      <c r="A1386" s="25">
        <v>1373</v>
      </c>
      <c r="B1386" s="25" t="s">
        <v>2191</v>
      </c>
      <c r="C1386" s="25" t="s">
        <v>3630</v>
      </c>
      <c r="D1386" s="25">
        <v>0</v>
      </c>
      <c r="E1386" s="25">
        <v>0</v>
      </c>
      <c r="F1386" s="17"/>
      <c r="G1386" s="25"/>
    </row>
    <row r="1387">
      <c r="A1387" s="25">
        <v>1374</v>
      </c>
      <c r="B1387" s="25" t="s">
        <v>2194</v>
      </c>
      <c r="C1387" s="25" t="s">
        <v>3634</v>
      </c>
      <c r="D1387" s="25">
        <v>0</v>
      </c>
      <c r="E1387" s="25">
        <v>0</v>
      </c>
      <c r="F1387" s="17"/>
      <c r="G1387" s="25"/>
    </row>
    <row r="1388">
      <c r="A1388" s="25">
        <v>1375</v>
      </c>
      <c r="B1388" s="25" t="s">
        <v>2197</v>
      </c>
      <c r="C1388" s="25" t="s">
        <v>3635</v>
      </c>
      <c r="D1388" s="25">
        <v>0</v>
      </c>
      <c r="E1388" s="25">
        <v>0</v>
      </c>
      <c r="F1388" s="17"/>
      <c r="G1388" s="25"/>
    </row>
    <row r="1389">
      <c r="A1389" s="25">
        <v>1376</v>
      </c>
      <c r="B1389" s="25" t="s">
        <v>2200</v>
      </c>
      <c r="C1389" s="25" t="s">
        <v>3636</v>
      </c>
      <c r="D1389" s="25">
        <v>0</v>
      </c>
      <c r="E1389" s="25">
        <v>0</v>
      </c>
      <c r="F1389" s="17"/>
      <c r="G1389" s="25"/>
    </row>
    <row r="1390">
      <c r="A1390" s="25">
        <v>1377</v>
      </c>
      <c r="B1390" s="25" t="s">
        <v>2202</v>
      </c>
      <c r="C1390" s="25" t="s">
        <v>3628</v>
      </c>
      <c r="D1390" s="25">
        <v>0</v>
      </c>
      <c r="E1390" s="25">
        <v>0</v>
      </c>
      <c r="F1390" s="17"/>
      <c r="G1390" s="25"/>
    </row>
    <row r="1391">
      <c r="A1391" s="25">
        <v>1378</v>
      </c>
      <c r="B1391" s="25" t="s">
        <v>2204</v>
      </c>
      <c r="C1391" s="25" t="s">
        <v>3604</v>
      </c>
      <c r="D1391" s="25">
        <v>0</v>
      </c>
      <c r="E1391" s="25">
        <v>0</v>
      </c>
      <c r="F1391" s="17"/>
      <c r="G1391" s="25"/>
    </row>
    <row r="1392">
      <c r="A1392" s="25">
        <v>1379</v>
      </c>
      <c r="B1392" s="25" t="s">
        <v>2207</v>
      </c>
      <c r="C1392" s="25" t="s">
        <v>3637</v>
      </c>
      <c r="D1392" s="25">
        <v>0</v>
      </c>
      <c r="E1392" s="25">
        <v>0</v>
      </c>
      <c r="F1392" s="17"/>
      <c r="G1392" s="25"/>
    </row>
    <row r="1393">
      <c r="A1393" s="25">
        <v>1380</v>
      </c>
      <c r="B1393" s="25" t="s">
        <v>2210</v>
      </c>
      <c r="C1393" s="25" t="s">
        <v>3638</v>
      </c>
      <c r="D1393" s="25">
        <v>0</v>
      </c>
      <c r="E1393" s="25">
        <v>0</v>
      </c>
      <c r="F1393" s="17"/>
      <c r="G1393" s="25"/>
    </row>
    <row r="1394">
      <c r="A1394" s="25">
        <v>1381</v>
      </c>
      <c r="B1394" s="25" t="s">
        <v>2213</v>
      </c>
      <c r="C1394" s="25" t="s">
        <v>3639</v>
      </c>
      <c r="D1394" s="25">
        <v>0</v>
      </c>
      <c r="E1394" s="25">
        <v>0</v>
      </c>
      <c r="F1394" s="17"/>
      <c r="G1394" s="25"/>
    </row>
    <row r="1395">
      <c r="A1395" s="25">
        <v>1382</v>
      </c>
      <c r="B1395" s="25" t="s">
        <v>2217</v>
      </c>
      <c r="C1395" s="25" t="s">
        <v>3640</v>
      </c>
      <c r="D1395" s="25">
        <v>0</v>
      </c>
      <c r="E1395" s="25">
        <v>0</v>
      </c>
      <c r="F1395" s="17"/>
      <c r="G1395" s="25"/>
    </row>
    <row r="1396">
      <c r="A1396" s="25">
        <v>1383</v>
      </c>
      <c r="B1396" s="25" t="s">
        <v>2220</v>
      </c>
      <c r="C1396" s="25" t="s">
        <v>3641</v>
      </c>
      <c r="D1396" s="25">
        <v>0</v>
      </c>
      <c r="E1396" s="25">
        <v>0</v>
      </c>
      <c r="F1396" s="17"/>
      <c r="G1396" s="25"/>
    </row>
    <row r="1397">
      <c r="A1397" s="25">
        <v>1384</v>
      </c>
      <c r="B1397" s="25" t="s">
        <v>2223</v>
      </c>
      <c r="C1397" s="25" t="s">
        <v>3642</v>
      </c>
      <c r="D1397" s="25">
        <v>0</v>
      </c>
      <c r="E1397" s="25">
        <v>0</v>
      </c>
      <c r="F1397" s="17"/>
      <c r="G1397" s="25"/>
    </row>
    <row r="1398">
      <c r="A1398" s="25">
        <v>1385</v>
      </c>
      <c r="B1398" s="25" t="s">
        <v>2226</v>
      </c>
      <c r="C1398" s="25" t="s">
        <v>3643</v>
      </c>
      <c r="D1398" s="25">
        <v>0</v>
      </c>
      <c r="E1398" s="25">
        <v>0</v>
      </c>
      <c r="F1398" s="17"/>
      <c r="G1398" s="25"/>
    </row>
    <row r="1399">
      <c r="A1399" s="25">
        <v>1386</v>
      </c>
      <c r="B1399" s="25" t="s">
        <v>2229</v>
      </c>
      <c r="C1399" s="25" t="s">
        <v>3644</v>
      </c>
      <c r="D1399" s="25">
        <v>0</v>
      </c>
      <c r="E1399" s="25">
        <v>0</v>
      </c>
      <c r="F1399" s="17"/>
      <c r="G1399" s="25"/>
    </row>
    <row r="1400">
      <c r="A1400" s="25">
        <v>1387</v>
      </c>
      <c r="B1400" s="25" t="s">
        <v>2232</v>
      </c>
      <c r="C1400" s="25" t="s">
        <v>3645</v>
      </c>
      <c r="D1400" s="25">
        <v>0</v>
      </c>
      <c r="E1400" s="25">
        <v>0</v>
      </c>
      <c r="F1400" s="17"/>
      <c r="G1400" s="25"/>
    </row>
    <row r="1401">
      <c r="A1401" s="25">
        <v>1388</v>
      </c>
      <c r="B1401" s="25" t="s">
        <v>2235</v>
      </c>
      <c r="C1401" s="25" t="s">
        <v>3646</v>
      </c>
      <c r="D1401" s="25">
        <v>0</v>
      </c>
      <c r="E1401" s="25">
        <v>0</v>
      </c>
      <c r="F1401" s="17"/>
      <c r="G1401" s="25"/>
    </row>
    <row r="1402">
      <c r="A1402" s="25">
        <v>1389</v>
      </c>
      <c r="B1402" s="25" t="s">
        <v>2238</v>
      </c>
      <c r="C1402" s="25" t="s">
        <v>3647</v>
      </c>
      <c r="D1402" s="25">
        <v>0</v>
      </c>
      <c r="E1402" s="25">
        <v>0</v>
      </c>
      <c r="F1402" s="17"/>
      <c r="G1402" s="25"/>
    </row>
    <row r="1403">
      <c r="A1403" s="25">
        <v>1390</v>
      </c>
      <c r="B1403" s="25" t="s">
        <v>2241</v>
      </c>
      <c r="C1403" s="25" t="s">
        <v>3648</v>
      </c>
      <c r="D1403" s="25">
        <v>0</v>
      </c>
      <c r="E1403" s="25">
        <v>0</v>
      </c>
      <c r="F1403" s="17"/>
      <c r="G1403" s="25"/>
    </row>
    <row r="1404">
      <c r="A1404" s="25">
        <v>1391</v>
      </c>
      <c r="B1404" s="25" t="s">
        <v>2244</v>
      </c>
      <c r="C1404" s="25" t="s">
        <v>3649</v>
      </c>
      <c r="D1404" s="25">
        <v>0</v>
      </c>
      <c r="E1404" s="25">
        <v>0</v>
      </c>
      <c r="F1404" s="17"/>
      <c r="G1404" s="25"/>
    </row>
    <row r="1405">
      <c r="A1405" s="25">
        <v>1392</v>
      </c>
      <c r="B1405" s="25" t="s">
        <v>1855</v>
      </c>
      <c r="C1405" s="25" t="s">
        <v>3650</v>
      </c>
      <c r="D1405" s="25">
        <v>415109.15</v>
      </c>
      <c r="E1405" s="25">
        <v>1513902.24</v>
      </c>
      <c r="F1405" s="17"/>
      <c r="G1405" s="25"/>
    </row>
    <row r="1406">
      <c r="A1406" s="25">
        <v>1393</v>
      </c>
      <c r="B1406" s="25" t="s">
        <v>1856</v>
      </c>
      <c r="C1406" s="25" t="s">
        <v>3651</v>
      </c>
      <c r="D1406" s="25">
        <v>0</v>
      </c>
      <c r="E1406" s="25">
        <v>2087.9</v>
      </c>
      <c r="F1406" s="17"/>
      <c r="G1406" s="25"/>
    </row>
    <row r="1407">
      <c r="A1407" s="25">
        <v>1394</v>
      </c>
      <c r="B1407" s="25" t="s">
        <v>1857</v>
      </c>
      <c r="C1407" s="25" t="s">
        <v>3652</v>
      </c>
      <c r="D1407" s="25">
        <v>11694.33</v>
      </c>
      <c r="E1407" s="25">
        <v>177859.48</v>
      </c>
      <c r="F1407" s="17"/>
      <c r="G1407" s="25"/>
    </row>
    <row r="1408">
      <c r="A1408" s="25">
        <v>1395</v>
      </c>
      <c r="B1408" s="25" t="s">
        <v>1858</v>
      </c>
      <c r="C1408" s="25" t="s">
        <v>3653</v>
      </c>
      <c r="D1408" s="25">
        <v>97613.93</v>
      </c>
      <c r="E1408" s="25">
        <v>389134.45</v>
      </c>
      <c r="F1408" s="17"/>
      <c r="G1408" s="25"/>
    </row>
    <row r="1409">
      <c r="A1409" s="25">
        <v>1396</v>
      </c>
      <c r="B1409" s="25" t="s">
        <v>1859</v>
      </c>
      <c r="C1409" s="25" t="s">
        <v>3654</v>
      </c>
      <c r="D1409" s="25">
        <v>46840.75</v>
      </c>
      <c r="E1409" s="25">
        <v>165728.08</v>
      </c>
      <c r="F1409" s="17"/>
      <c r="G1409" s="25"/>
    </row>
    <row r="1410">
      <c r="A1410" s="25">
        <v>1397</v>
      </c>
      <c r="B1410" s="25" t="s">
        <v>1860</v>
      </c>
      <c r="C1410" s="25" t="s">
        <v>3655</v>
      </c>
      <c r="D1410" s="25">
        <v>-319055.24</v>
      </c>
      <c r="E1410" s="25">
        <v>-1483476.33</v>
      </c>
      <c r="F1410" s="17"/>
      <c r="G1410" s="25"/>
    </row>
    <row r="1411">
      <c r="A1411" s="25">
        <v>1398</v>
      </c>
      <c r="B1411" s="25" t="s">
        <v>1861</v>
      </c>
      <c r="C1411" s="25" t="s">
        <v>3656</v>
      </c>
      <c r="D1411" s="25">
        <v>252202.92</v>
      </c>
      <c r="E1411" s="25">
        <v>765235.82</v>
      </c>
      <c r="F1411" s="17"/>
      <c r="G1411" s="25"/>
    </row>
    <row r="1412">
      <c r="A1412" s="25">
        <v>1399</v>
      </c>
      <c r="B1412" s="25" t="s">
        <v>1116</v>
      </c>
      <c r="C1412" s="25" t="s">
        <v>2584</v>
      </c>
      <c r="D1412" s="25">
        <v>35797.31</v>
      </c>
      <c r="E1412" s="25">
        <v>177760.09</v>
      </c>
      <c r="F1412" s="17"/>
      <c r="G1412" s="25"/>
    </row>
    <row r="1413">
      <c r="A1413" s="25">
        <v>1400</v>
      </c>
      <c r="B1413" s="25" t="s">
        <v>1117</v>
      </c>
      <c r="C1413" s="25" t="s">
        <v>3657</v>
      </c>
      <c r="D1413" s="25">
        <v>0</v>
      </c>
      <c r="E1413" s="25">
        <v>0</v>
      </c>
      <c r="F1413" s="17"/>
      <c r="G1413" s="25"/>
    </row>
    <row r="1414">
      <c r="A1414" s="25">
        <v>1401</v>
      </c>
      <c r="B1414" s="25" t="s">
        <v>1118</v>
      </c>
      <c r="C1414" s="25" t="s">
        <v>2586</v>
      </c>
      <c r="D1414" s="25">
        <v>0</v>
      </c>
      <c r="E1414" s="25">
        <v>0</v>
      </c>
      <c r="F1414" s="17"/>
      <c r="G1414" s="25"/>
    </row>
    <row r="1415">
      <c r="A1415" s="25">
        <v>1402</v>
      </c>
      <c r="B1415" s="25" t="s">
        <v>1119</v>
      </c>
      <c r="C1415" s="25" t="s">
        <v>2587</v>
      </c>
      <c r="D1415" s="25">
        <v>35797.31</v>
      </c>
      <c r="E1415" s="25">
        <v>177760.09</v>
      </c>
      <c r="F1415" s="17"/>
      <c r="G1415" s="25"/>
    </row>
    <row r="1416">
      <c r="A1416" s="25">
        <v>1403</v>
      </c>
      <c r="B1416" s="25" t="s">
        <v>1120</v>
      </c>
      <c r="C1416" s="25" t="s">
        <v>2588</v>
      </c>
      <c r="D1416" s="25">
        <v>27325.77</v>
      </c>
      <c r="E1416" s="25">
        <v>122188.37</v>
      </c>
      <c r="F1416" s="17"/>
      <c r="G1416" s="25"/>
    </row>
    <row r="1417">
      <c r="A1417" s="25">
        <v>1404</v>
      </c>
      <c r="B1417" s="25" t="s">
        <v>1121</v>
      </c>
      <c r="C1417" s="25" t="s">
        <v>3658</v>
      </c>
      <c r="D1417" s="25">
        <v>8471.54</v>
      </c>
      <c r="E1417" s="25">
        <v>55571.72</v>
      </c>
      <c r="F1417" s="17"/>
      <c r="G1417" s="25"/>
    </row>
    <row r="1418">
      <c r="A1418" s="25">
        <v>1405</v>
      </c>
      <c r="B1418" s="25" t="s">
        <v>1194</v>
      </c>
      <c r="C1418" s="25" t="s">
        <v>2584</v>
      </c>
      <c r="D1418" s="25">
        <v>0</v>
      </c>
      <c r="E1418" s="25">
        <v>914.99</v>
      </c>
      <c r="F1418" s="17"/>
      <c r="G1418" s="25"/>
    </row>
    <row r="1419">
      <c r="A1419" s="25">
        <v>1406</v>
      </c>
      <c r="B1419" s="25" t="s">
        <v>1195</v>
      </c>
      <c r="C1419" s="25" t="s">
        <v>2587</v>
      </c>
      <c r="D1419" s="25">
        <v>0</v>
      </c>
      <c r="E1419" s="25">
        <v>914.99</v>
      </c>
      <c r="F1419" s="17"/>
      <c r="G1419" s="25"/>
    </row>
    <row r="1420">
      <c r="A1420" s="25">
        <v>1407</v>
      </c>
      <c r="B1420" s="25" t="s">
        <v>1196</v>
      </c>
      <c r="C1420" s="25" t="s">
        <v>2588</v>
      </c>
      <c r="D1420" s="25">
        <v>0</v>
      </c>
      <c r="E1420" s="25">
        <v>0</v>
      </c>
      <c r="F1420" s="17"/>
      <c r="G1420" s="25"/>
    </row>
    <row r="1421">
      <c r="A1421" s="25">
        <v>1408</v>
      </c>
      <c r="B1421" s="25" t="s">
        <v>1197</v>
      </c>
      <c r="C1421" s="25" t="s">
        <v>3658</v>
      </c>
      <c r="D1421" s="25">
        <v>0</v>
      </c>
      <c r="E1421" s="25">
        <v>914.99</v>
      </c>
      <c r="F1421" s="17"/>
      <c r="G1421" s="25"/>
    </row>
    <row r="1422">
      <c r="A1422" s="25">
        <v>1409</v>
      </c>
      <c r="B1422" s="25" t="s">
        <v>1653</v>
      </c>
      <c r="C1422" s="25" t="s">
        <v>3659</v>
      </c>
      <c r="D1422" s="25">
        <v>9594.64</v>
      </c>
      <c r="E1422" s="25">
        <v>44245.69</v>
      </c>
      <c r="F1422" s="17"/>
      <c r="G1422" s="25"/>
    </row>
    <row r="1423">
      <c r="A1423" s="25">
        <v>1410</v>
      </c>
      <c r="B1423" s="25" t="s">
        <v>1654</v>
      </c>
      <c r="C1423" s="25" t="s">
        <v>3660</v>
      </c>
      <c r="D1423" s="25">
        <v>0</v>
      </c>
      <c r="E1423" s="25">
        <v>0</v>
      </c>
      <c r="F1423" s="17"/>
      <c r="G1423" s="25"/>
    </row>
    <row r="1424">
      <c r="A1424" s="25">
        <v>1411</v>
      </c>
      <c r="B1424" s="25" t="s">
        <v>1655</v>
      </c>
      <c r="C1424" s="25" t="s">
        <v>3661</v>
      </c>
      <c r="D1424" s="25">
        <v>0</v>
      </c>
      <c r="E1424" s="25">
        <v>0</v>
      </c>
      <c r="F1424" s="17"/>
      <c r="G1424" s="25"/>
    </row>
    <row r="1425">
      <c r="A1425" s="25">
        <v>1412</v>
      </c>
      <c r="B1425" s="25" t="s">
        <v>1656</v>
      </c>
      <c r="C1425" s="25" t="s">
        <v>3662</v>
      </c>
      <c r="D1425" s="25">
        <v>0</v>
      </c>
      <c r="E1425" s="25">
        <v>0</v>
      </c>
      <c r="F1425" s="17"/>
      <c r="G1425" s="25"/>
    </row>
    <row r="1426">
      <c r="A1426" s="25">
        <v>1413</v>
      </c>
      <c r="B1426" s="25" t="s">
        <v>1657</v>
      </c>
      <c r="C1426" s="25" t="s">
        <v>3663</v>
      </c>
      <c r="D1426" s="25">
        <v>0</v>
      </c>
      <c r="E1426" s="25">
        <v>0</v>
      </c>
      <c r="F1426" s="17"/>
      <c r="G1426" s="25"/>
    </row>
    <row r="1427">
      <c r="A1427" s="25">
        <v>1414</v>
      </c>
      <c r="B1427" s="25" t="s">
        <v>1658</v>
      </c>
      <c r="C1427" s="25" t="s">
        <v>3664</v>
      </c>
      <c r="D1427" s="25">
        <v>0</v>
      </c>
      <c r="E1427" s="25">
        <v>675.72</v>
      </c>
      <c r="F1427" s="17"/>
      <c r="G1427" s="25"/>
    </row>
    <row r="1428">
      <c r="A1428" s="25">
        <v>1415</v>
      </c>
      <c r="B1428" s="25" t="s">
        <v>1659</v>
      </c>
      <c r="C1428" s="25" t="s">
        <v>3665</v>
      </c>
      <c r="D1428" s="25">
        <v>9594.64</v>
      </c>
      <c r="E1428" s="25">
        <v>44921.41</v>
      </c>
      <c r="F1428" s="17"/>
      <c r="G1428" s="25"/>
    </row>
    <row r="1429">
      <c r="A1429" s="25">
        <v>10000</v>
      </c>
      <c r="B1429" s="25" t="s">
        <v>3666</v>
      </c>
      <c r="C1429" s="25" t="s">
        <v>3667</v>
      </c>
      <c r="D1429" s="25">
        <v>100504</v>
      </c>
      <c r="E1429" s="25">
        <v>100504</v>
      </c>
      <c r="F1429" s="17"/>
      <c r="G1429" s="25"/>
    </row>
    <row r="1430">
      <c r="A1430" s="25">
        <v>10001</v>
      </c>
      <c r="B1430" s="25" t="s">
        <v>3668</v>
      </c>
      <c r="C1430" s="25" t="s">
        <v>3669</v>
      </c>
      <c r="D1430" s="25">
        <v>0</v>
      </c>
      <c r="E1430" s="25">
        <v>0</v>
      </c>
      <c r="F1430" s="17"/>
      <c r="G1430" s="25"/>
    </row>
    <row r="1431">
      <c r="A1431" s="25">
        <v>10002</v>
      </c>
      <c r="B1431" s="25" t="s">
        <v>3670</v>
      </c>
      <c r="C1431" s="25" t="s">
        <v>3671</v>
      </c>
      <c r="D1431" s="25">
        <v>0</v>
      </c>
      <c r="E1431" s="25">
        <v>0</v>
      </c>
      <c r="F1431" s="17"/>
      <c r="G1431" s="25"/>
    </row>
    <row r="1432">
      <c r="A1432" s="25">
        <v>10003</v>
      </c>
      <c r="B1432" s="25" t="s">
        <v>3672</v>
      </c>
      <c r="C1432" s="25" t="s">
        <v>3673</v>
      </c>
      <c r="D1432" s="25">
        <v>0</v>
      </c>
      <c r="E1432" s="25">
        <v>0</v>
      </c>
      <c r="F1432" s="17"/>
      <c r="G1432" s="25"/>
    </row>
    <row r="1433">
      <c r="A1433" s="25">
        <v>10004</v>
      </c>
      <c r="B1433" s="25" t="s">
        <v>3674</v>
      </c>
      <c r="C1433" s="25" t="s">
        <v>3675</v>
      </c>
      <c r="D1433" s="25">
        <v>1</v>
      </c>
      <c r="E1433" s="25">
        <v>4</v>
      </c>
      <c r="F1433" s="17"/>
      <c r="G1433" s="25"/>
    </row>
    <row r="1434">
      <c r="A1434" s="25">
        <v>10005</v>
      </c>
      <c r="B1434" s="25" t="s">
        <v>3676</v>
      </c>
      <c r="C1434" s="25" t="s">
        <v>3677</v>
      </c>
      <c r="D1434" s="25">
        <v>1</v>
      </c>
      <c r="E1434" s="25">
        <v>4</v>
      </c>
      <c r="F1434" s="17"/>
      <c r="G1434" s="25"/>
    </row>
    <row r="1435" ht="15" s="9" customFormat="1">
      <c r="A1435" s="25"/>
      <c r="B1435" s="25"/>
      <c r="C1435" s="25"/>
      <c r="D1435" s="25"/>
      <c r="E1435" s="25"/>
      <c r="F1435" s="17"/>
      <c r="G1435" s="25"/>
    </row>
    <row r="1436" ht="15" s="9" customFormat="1">
      <c r="A1436" s="25"/>
      <c r="B1436" s="25"/>
      <c r="C1436" s="25"/>
      <c r="D1436" s="25"/>
      <c r="E1436" s="25"/>
      <c r="F1436" s="17"/>
      <c r="G1436" s="25"/>
    </row>
    <row r="1437" ht="15" s="9" customFormat="1">
      <c r="A1437" s="25"/>
      <c r="B1437" s="25"/>
      <c r="C1437" s="25"/>
      <c r="D1437" s="25"/>
      <c r="E1437" s="25"/>
      <c r="F1437" s="17"/>
      <c r="G1437" s="25"/>
    </row>
    <row r="1438" ht="15" s="9" customFormat="1">
      <c r="A1438" s="25"/>
      <c r="B1438" s="25"/>
      <c r="C1438" s="25"/>
      <c r="D1438" s="25"/>
      <c r="E1438" s="25"/>
      <c r="F1438" s="17"/>
      <c r="G1438" s="25"/>
    </row>
    <row r="1439" ht="15" s="9" customFormat="1">
      <c r="A1439" s="25"/>
      <c r="B1439" s="25"/>
      <c r="C1439" s="25"/>
      <c r="D1439" s="25"/>
      <c r="E1439" s="25"/>
      <c r="F1439" s="17"/>
      <c r="G1439" s="25"/>
    </row>
    <row r="1440" ht="15" s="9" customFormat="1">
      <c r="A1440" s="25"/>
      <c r="B1440" s="25"/>
      <c r="C1440" s="25"/>
      <c r="D1440" s="25"/>
      <c r="E1440" s="25"/>
      <c r="F1440" s="17"/>
      <c r="G1440" s="25"/>
    </row>
    <row r="1441" ht="15" s="9" customFormat="1">
      <c r="A1441" s="25"/>
      <c r="B1441" s="25"/>
      <c r="C1441" s="25"/>
      <c r="D1441" s="25"/>
      <c r="E1441" s="25"/>
      <c r="F1441" s="17"/>
      <c r="G1441" s="25"/>
    </row>
    <row r="1442" ht="15" s="9" customFormat="1">
      <c r="A1442" s="25"/>
      <c r="B1442" s="25"/>
      <c r="C1442" s="25"/>
      <c r="D1442" s="25"/>
      <c r="E1442" s="25"/>
      <c r="F1442" s="17"/>
      <c r="G1442" s="25"/>
    </row>
    <row r="1443" ht="15" s="9" customFormat="1">
      <c r="A1443" s="25"/>
      <c r="B1443" s="25"/>
      <c r="C1443" s="25"/>
      <c r="D1443" s="25"/>
      <c r="E1443" s="25"/>
      <c r="F1443" s="17"/>
      <c r="G1443" s="25"/>
    </row>
    <row r="1444" ht="15" s="9" customFormat="1">
      <c r="A1444" s="25"/>
      <c r="B1444" s="25"/>
      <c r="C1444" s="25"/>
      <c r="D1444" s="25"/>
      <c r="E1444" s="25"/>
      <c r="F1444" s="17"/>
      <c r="G1444" s="25"/>
    </row>
    <row r="1445" ht="15" s="9" customFormat="1">
      <c r="A1445" s="25"/>
      <c r="B1445" s="25"/>
      <c r="C1445" s="25"/>
      <c r="D1445" s="25"/>
      <c r="E1445" s="25"/>
      <c r="F1445" s="17"/>
      <c r="G1445" s="25"/>
    </row>
    <row r="1446" ht="15" s="9" customFormat="1">
      <c r="A1446" s="25"/>
      <c r="B1446" s="25"/>
      <c r="C1446" s="25"/>
      <c r="D1446" s="25"/>
      <c r="E1446" s="25"/>
      <c r="F1446" s="17"/>
      <c r="G1446" s="25"/>
    </row>
    <row r="1447" ht="15" s="9" customFormat="1">
      <c r="A1447" s="25"/>
      <c r="B1447" s="25"/>
      <c r="C1447" s="25"/>
      <c r="D1447" s="25"/>
      <c r="E1447" s="25"/>
      <c r="F1447" s="17"/>
      <c r="G1447" s="25"/>
    </row>
    <row r="1448" ht="15" s="9" customFormat="1">
      <c r="A1448" s="25"/>
      <c r="B1448" s="25"/>
      <c r="C1448" s="25"/>
      <c r="D1448" s="25"/>
      <c r="E1448" s="25"/>
      <c r="F1448" s="17"/>
      <c r="G1448" s="25"/>
    </row>
    <row r="1449" ht="15" s="9" customFormat="1">
      <c r="A1449" s="25"/>
      <c r="B1449" s="25"/>
      <c r="C1449" s="25"/>
      <c r="D1449" s="25"/>
      <c r="E1449" s="25"/>
      <c r="F1449" s="17"/>
      <c r="G1449" s="25"/>
    </row>
    <row r="1450" ht="15" s="9" customFormat="1">
      <c r="A1450" s="25"/>
      <c r="B1450" s="25"/>
      <c r="C1450" s="25"/>
      <c r="D1450" s="25"/>
      <c r="E1450" s="25"/>
      <c r="F1450" s="17"/>
      <c r="G1450" s="25"/>
    </row>
    <row r="1451" ht="15">
      <c r="A1451" s="25"/>
      <c r="B1451" s="25"/>
      <c r="C1451" s="25"/>
      <c r="D1451" s="25"/>
      <c r="E1451" s="25"/>
      <c r="F1451" s="17"/>
      <c r="G1451" s="25"/>
    </row>
    <row r="1452" ht="15">
      <c r="A1452" s="25"/>
      <c r="B1452" s="25"/>
      <c r="C1452" s="25"/>
      <c r="D1452" s="25"/>
      <c r="E1452" s="25"/>
      <c r="F1452" s="17"/>
      <c r="G1452" s="25"/>
    </row>
    <row r="1453" ht="15">
      <c r="A1453" s="25"/>
      <c r="B1453" s="25"/>
      <c r="C1453" s="25"/>
      <c r="D1453" s="25"/>
      <c r="E1453" s="25"/>
      <c r="F1453" s="17"/>
      <c r="G1453" s="25"/>
    </row>
    <row r="1454" ht="15">
      <c r="A1454" s="25"/>
      <c r="B1454" s="25"/>
      <c r="C1454" s="25"/>
      <c r="D1454" s="25"/>
      <c r="E1454" s="25"/>
      <c r="F1454" s="17"/>
      <c r="G1454" s="25"/>
    </row>
    <row r="1455" ht="15">
      <c r="A1455" s="25"/>
      <c r="B1455" s="25"/>
      <c r="C1455" s="25"/>
      <c r="D1455" s="25"/>
      <c r="E1455" s="25"/>
      <c r="F1455" s="17"/>
      <c r="G1455" s="25"/>
    </row>
    <row r="1456" ht="15">
      <c r="A1456" s="25"/>
      <c r="B1456" s="25"/>
      <c r="C1456" s="25"/>
      <c r="D1456" s="25"/>
      <c r="E1456" s="25"/>
      <c r="F1456" s="17"/>
      <c r="G1456" s="25"/>
    </row>
    <row r="1457" ht="15">
      <c r="A1457" s="25"/>
      <c r="B1457" s="25"/>
      <c r="C1457" s="25"/>
      <c r="D1457" s="25"/>
      <c r="E1457" s="25"/>
      <c r="F1457" s="17"/>
      <c r="G1457" s="25"/>
    </row>
    <row r="1458" ht="15">
      <c r="A1458" s="25"/>
      <c r="B1458" s="25"/>
      <c r="C1458" s="25"/>
      <c r="D1458" s="25"/>
      <c r="E1458" s="25"/>
      <c r="F1458" s="17"/>
      <c r="G1458" s="25"/>
    </row>
    <row r="1459" ht="15">
      <c r="A1459" s="25"/>
      <c r="B1459" s="25"/>
      <c r="C1459" s="25"/>
      <c r="D1459" s="25"/>
      <c r="E1459" s="25"/>
      <c r="F1459" s="17"/>
      <c r="G1459" s="25"/>
    </row>
    <row r="1460" ht="15">
      <c r="A1460" s="25"/>
      <c r="B1460" s="25"/>
      <c r="C1460" s="25"/>
      <c r="D1460" s="25"/>
      <c r="E1460" s="25"/>
      <c r="F1460" s="17"/>
      <c r="G1460" s="25"/>
    </row>
    <row r="1461" ht="15">
      <c r="A1461" s="25"/>
      <c r="B1461" s="25"/>
      <c r="C1461" s="25"/>
      <c r="D1461" s="25"/>
      <c r="E1461" s="25"/>
      <c r="F1461" s="17"/>
      <c r="G1461" s="25"/>
    </row>
    <row r="1462" ht="15">
      <c r="A1462" s="25"/>
      <c r="B1462" s="25"/>
      <c r="C1462" s="25"/>
      <c r="D1462" s="25"/>
      <c r="E1462" s="25"/>
      <c r="F1462" s="17"/>
      <c r="G1462" s="25"/>
    </row>
    <row r="1463" ht="15">
      <c r="A1463" s="25"/>
      <c r="B1463" s="25"/>
      <c r="C1463" s="25"/>
      <c r="D1463" s="25"/>
      <c r="E1463" s="25"/>
      <c r="F1463" s="17"/>
      <c r="G1463" s="25"/>
    </row>
    <row r="1464" ht="15">
      <c r="A1464" s="25"/>
      <c r="B1464" s="25"/>
      <c r="C1464" s="25"/>
      <c r="D1464" s="25"/>
      <c r="E1464" s="25"/>
      <c r="F1464" s="17"/>
      <c r="G1464" s="25"/>
    </row>
    <row r="1465" ht="15">
      <c r="A1465" s="25"/>
      <c r="B1465" s="25"/>
      <c r="C1465" s="25"/>
      <c r="D1465" s="25"/>
      <c r="E1465" s="25"/>
      <c r="F1465" s="17"/>
      <c r="G1465" s="25"/>
    </row>
    <row r="1466" ht="15">
      <c r="A1466" s="25"/>
      <c r="B1466" s="25"/>
      <c r="C1466" s="25"/>
      <c r="D1466" s="25"/>
      <c r="E1466" s="25"/>
      <c r="F1466" s="17"/>
      <c r="G1466" s="25"/>
    </row>
    <row r="1467" ht="15">
      <c r="A1467" s="25"/>
      <c r="B1467" s="25"/>
      <c r="C1467" s="25"/>
      <c r="D1467" s="25"/>
      <c r="E1467" s="25"/>
      <c r="F1467" s="17"/>
      <c r="G1467" s="25"/>
    </row>
    <row r="1468" ht="15">
      <c r="A1468" s="25"/>
      <c r="B1468" s="25"/>
      <c r="C1468" s="25"/>
      <c r="D1468" s="25"/>
      <c r="E1468" s="25"/>
      <c r="F1468" s="17"/>
      <c r="G1468" s="25"/>
    </row>
    <row r="1469" ht="15">
      <c r="A1469" s="25"/>
      <c r="B1469" s="25"/>
      <c r="C1469" s="25"/>
      <c r="D1469" s="25"/>
      <c r="E1469" s="25"/>
      <c r="F1469" s="17"/>
      <c r="G1469" s="25"/>
    </row>
    <row r="1470" ht="15">
      <c r="A1470" s="25"/>
      <c r="B1470" s="25"/>
      <c r="C1470" s="25"/>
      <c r="D1470" s="25"/>
      <c r="E1470" s="25"/>
      <c r="F1470" s="17"/>
      <c r="G1470" s="25"/>
    </row>
    <row r="1471" ht="15">
      <c r="A1471" s="25"/>
      <c r="B1471" s="25"/>
      <c r="C1471" s="25"/>
      <c r="D1471" s="25"/>
      <c r="E1471" s="25"/>
      <c r="F1471" s="17"/>
      <c r="G1471" s="25"/>
    </row>
    <row r="1472" ht="15">
      <c r="A1472" s="25"/>
      <c r="B1472" s="25"/>
      <c r="C1472" s="25"/>
      <c r="D1472" s="25"/>
      <c r="E1472" s="25"/>
      <c r="F1472" s="17"/>
      <c r="G1472" s="25"/>
    </row>
    <row r="1473" ht="15">
      <c r="A1473" s="25"/>
      <c r="B1473" s="25"/>
      <c r="C1473" s="25"/>
      <c r="D1473" s="25"/>
      <c r="E1473" s="25"/>
      <c r="F1473" s="17"/>
      <c r="G1473" s="25"/>
    </row>
    <row r="1474" ht="15">
      <c r="A1474" s="25"/>
      <c r="B1474" s="25"/>
      <c r="C1474" s="25"/>
      <c r="D1474" s="25"/>
      <c r="E1474" s="25"/>
      <c r="F1474" s="17"/>
      <c r="G1474" s="25"/>
    </row>
    <row r="1475" ht="15">
      <c r="A1475" s="25"/>
      <c r="B1475" s="25"/>
      <c r="C1475" s="25"/>
      <c r="D1475" s="25"/>
      <c r="E1475" s="25"/>
      <c r="F1475" s="17"/>
      <c r="G1475" s="25"/>
    </row>
    <row r="1476" ht="15">
      <c r="A1476" s="25"/>
      <c r="B1476" s="25"/>
      <c r="C1476" s="25"/>
      <c r="D1476" s="25"/>
      <c r="E1476" s="25"/>
      <c r="F1476" s="17"/>
      <c r="G1476" s="25"/>
    </row>
    <row r="1477" ht="15">
      <c r="A1477" s="25"/>
      <c r="B1477" s="25"/>
      <c r="C1477" s="25"/>
      <c r="D1477" s="25"/>
      <c r="E1477" s="25"/>
      <c r="F1477" s="17"/>
      <c r="G1477" s="25"/>
    </row>
    <row r="1478" ht="15">
      <c r="A1478" s="25"/>
      <c r="B1478" s="25"/>
      <c r="C1478" s="25"/>
      <c r="D1478" s="25"/>
      <c r="E1478" s="25"/>
      <c r="F1478" s="17"/>
      <c r="G1478" s="25"/>
    </row>
    <row r="1479" ht="15">
      <c r="A1479" s="25"/>
      <c r="B1479" s="25"/>
      <c r="C1479" s="25"/>
      <c r="D1479" s="25"/>
      <c r="E1479" s="25"/>
      <c r="F1479" s="17"/>
      <c r="G1479" s="25"/>
    </row>
    <row r="1480" ht="15">
      <c r="A1480" s="25"/>
      <c r="B1480" s="25"/>
      <c r="C1480" s="25"/>
      <c r="D1480" s="25"/>
      <c r="E1480" s="25"/>
      <c r="F1480" s="17"/>
      <c r="G1480" s="25"/>
    </row>
    <row r="1481" ht="15">
      <c r="A1481" s="25"/>
      <c r="B1481" s="25"/>
      <c r="C1481" s="25"/>
      <c r="D1481" s="25"/>
      <c r="E1481" s="25"/>
      <c r="F1481" s="17"/>
      <c r="G1481" s="25"/>
    </row>
    <row r="1482" ht="15">
      <c r="A1482" s="25"/>
      <c r="B1482" s="25"/>
      <c r="C1482" s="25"/>
      <c r="D1482" s="25"/>
      <c r="E1482" s="25"/>
      <c r="F1482" s="17"/>
      <c r="G1482" s="25"/>
    </row>
    <row r="1483" ht="15">
      <c r="A1483" s="25"/>
      <c r="B1483" s="25"/>
      <c r="C1483" s="25"/>
      <c r="D1483" s="25"/>
      <c r="E1483" s="25"/>
      <c r="F1483" s="17"/>
      <c r="G1483" s="25"/>
    </row>
    <row r="1484" ht="15">
      <c r="A1484" s="25"/>
      <c r="B1484" s="25"/>
      <c r="C1484" s="25"/>
      <c r="D1484" s="25"/>
      <c r="E1484" s="25"/>
      <c r="F1484" s="17"/>
      <c r="G1484" s="25"/>
    </row>
    <row r="1485" ht="15">
      <c r="A1485" s="25"/>
      <c r="B1485" s="25"/>
      <c r="C1485" s="25"/>
      <c r="D1485" s="25"/>
      <c r="E1485" s="25"/>
      <c r="F1485" s="17"/>
      <c r="G1485" s="25"/>
    </row>
    <row r="1486" ht="15">
      <c r="A1486" s="25"/>
      <c r="B1486" s="25"/>
      <c r="C1486" s="25"/>
      <c r="D1486" s="25"/>
      <c r="E1486" s="25"/>
      <c r="F1486" s="17"/>
      <c r="G1486" s="25"/>
    </row>
    <row r="1487" ht="15">
      <c r="A1487" s="25"/>
      <c r="B1487" s="25"/>
      <c r="C1487" s="25"/>
      <c r="D1487" s="25"/>
      <c r="E1487" s="25"/>
      <c r="F1487" s="17"/>
      <c r="G1487" s="25"/>
    </row>
    <row r="1488" ht="15">
      <c r="A1488" s="25"/>
      <c r="B1488" s="25"/>
      <c r="C1488" s="25"/>
      <c r="D1488" s="25"/>
      <c r="E1488" s="25"/>
      <c r="F1488" s="17"/>
      <c r="G1488" s="25"/>
    </row>
    <row r="1489" ht="15">
      <c r="A1489" s="25"/>
      <c r="B1489" s="25"/>
      <c r="C1489" s="25"/>
      <c r="D1489" s="25"/>
      <c r="E1489" s="25"/>
      <c r="F1489" s="17"/>
      <c r="G1489" s="25"/>
    </row>
    <row r="1490" ht="15">
      <c r="A1490" s="25"/>
      <c r="B1490" s="25"/>
      <c r="C1490" s="25"/>
      <c r="D1490" s="25"/>
      <c r="E1490" s="25"/>
      <c r="F1490" s="17"/>
      <c r="G1490" s="25"/>
    </row>
    <row r="1491" ht="15">
      <c r="A1491" s="25"/>
      <c r="B1491" s="25"/>
      <c r="C1491" s="25"/>
      <c r="D1491" s="25"/>
      <c r="E1491" s="25"/>
      <c r="F1491" s="17"/>
      <c r="G1491" s="25"/>
    </row>
    <row r="1492" ht="15">
      <c r="A1492" s="25"/>
      <c r="B1492" s="25"/>
      <c r="C1492" s="25"/>
      <c r="D1492" s="25"/>
      <c r="E1492" s="25"/>
      <c r="F1492" s="17"/>
      <c r="G1492" s="25"/>
    </row>
    <row r="1493" ht="15">
      <c r="A1493" s="25"/>
      <c r="B1493" s="25"/>
      <c r="C1493" s="25"/>
      <c r="D1493" s="25"/>
      <c r="E1493" s="25"/>
      <c r="F1493" s="17"/>
      <c r="G1493" s="25"/>
    </row>
    <row r="1494" ht="15">
      <c r="A1494" s="25"/>
      <c r="B1494" s="25"/>
      <c r="C1494" s="25"/>
      <c r="D1494" s="25"/>
      <c r="E1494" s="25"/>
      <c r="F1494" s="17"/>
      <c r="G1494" s="25"/>
    </row>
    <row r="1495" ht="15">
      <c r="A1495" s="25"/>
      <c r="B1495" s="25"/>
      <c r="C1495" s="25"/>
      <c r="D1495" s="25"/>
      <c r="E1495" s="25"/>
      <c r="F1495" s="17"/>
      <c r="G1495" s="25"/>
    </row>
    <row r="1496" ht="15">
      <c r="A1496" s="25"/>
      <c r="B1496" s="25"/>
      <c r="C1496" s="25"/>
      <c r="D1496" s="25"/>
      <c r="E1496" s="25"/>
      <c r="F1496" s="17"/>
      <c r="G1496" s="25"/>
    </row>
    <row r="1497" ht="15">
      <c r="A1497" s="25"/>
      <c r="B1497" s="25"/>
      <c r="C1497" s="25"/>
      <c r="D1497" s="25"/>
      <c r="E1497" s="25"/>
      <c r="F1497" s="17"/>
      <c r="G1497" s="25"/>
    </row>
    <row r="1498" ht="15">
      <c r="A1498" s="25"/>
      <c r="B1498" s="25"/>
      <c r="C1498" s="25"/>
      <c r="D1498" s="25"/>
      <c r="E1498" s="25"/>
      <c r="F1498" s="17"/>
      <c r="G1498" s="25"/>
    </row>
    <row r="1499" ht="15">
      <c r="A1499" s="25"/>
      <c r="B1499" s="25"/>
      <c r="C1499" s="25"/>
      <c r="D1499" s="25"/>
      <c r="E1499" s="25"/>
      <c r="F1499" s="17"/>
      <c r="G1499" s="25"/>
    </row>
    <row r="1500" ht="15">
      <c r="A1500" s="25"/>
      <c r="B1500" s="25"/>
      <c r="C1500" s="25"/>
      <c r="D1500" s="25"/>
      <c r="E1500" s="25"/>
      <c r="F1500" s="17"/>
      <c r="G1500" s="25"/>
    </row>
    <row r="1501" ht="15">
      <c r="A1501" s="25"/>
      <c r="B1501" s="25"/>
      <c r="C1501" s="25"/>
      <c r="D1501" s="25"/>
      <c r="E1501" s="25"/>
      <c r="F1501" s="17"/>
      <c r="G1501" s="25"/>
    </row>
    <row r="1502" ht="15">
      <c r="A1502" s="25"/>
      <c r="B1502" s="25"/>
      <c r="C1502" s="25"/>
      <c r="D1502" s="25"/>
      <c r="E1502" s="25"/>
      <c r="F1502" s="17"/>
      <c r="G1502" s="25"/>
    </row>
    <row r="1503" ht="15">
      <c r="A1503" s="25"/>
      <c r="B1503" s="25"/>
      <c r="C1503" s="25"/>
      <c r="D1503" s="25"/>
      <c r="E1503" s="25"/>
      <c r="F1503" s="17"/>
      <c r="G1503" s="25"/>
    </row>
    <row r="1504" ht="15">
      <c r="A1504" s="25"/>
      <c r="B1504" s="25"/>
      <c r="C1504" s="25"/>
      <c r="D1504" s="25"/>
      <c r="E1504" s="25"/>
      <c r="F1504" s="17"/>
      <c r="G1504" s="25"/>
    </row>
    <row r="1505" ht="15">
      <c r="A1505" s="25"/>
      <c r="B1505" s="25"/>
      <c r="C1505" s="25"/>
      <c r="D1505" s="25"/>
      <c r="E1505" s="25"/>
      <c r="F1505" s="17"/>
      <c r="G1505" s="25"/>
    </row>
    <row r="1506" ht="15">
      <c r="A1506" s="25"/>
      <c r="B1506" s="25"/>
      <c r="C1506" s="25"/>
      <c r="D1506" s="25"/>
      <c r="E1506" s="25"/>
      <c r="F1506" s="17"/>
      <c r="G1506" s="25"/>
    </row>
    <row r="1507" ht="15">
      <c r="A1507" s="25"/>
      <c r="B1507" s="25"/>
      <c r="C1507" s="25"/>
      <c r="D1507" s="25"/>
      <c r="E1507" s="25"/>
      <c r="F1507" s="17"/>
      <c r="G1507" s="25"/>
    </row>
    <row r="1508" ht="15">
      <c r="A1508" s="25"/>
      <c r="B1508" s="25"/>
      <c r="C1508" s="25"/>
      <c r="D1508" s="25"/>
      <c r="E1508" s="25"/>
      <c r="F1508" s="17"/>
      <c r="G1508" s="25"/>
    </row>
    <row r="1509" ht="15">
      <c r="A1509" s="25"/>
      <c r="B1509" s="25"/>
      <c r="C1509" s="25"/>
      <c r="D1509" s="25"/>
      <c r="E1509" s="25"/>
      <c r="F1509" s="17"/>
      <c r="G1509" s="25"/>
    </row>
    <row r="1510" ht="15">
      <c r="A1510" s="25"/>
      <c r="B1510" s="25"/>
      <c r="C1510" s="25"/>
      <c r="D1510" s="25"/>
      <c r="E1510" s="25"/>
      <c r="F1510" s="17"/>
      <c r="G1510" s="25"/>
    </row>
    <row r="1511" ht="15">
      <c r="A1511" s="25"/>
      <c r="B1511" s="25"/>
      <c r="C1511" s="25"/>
      <c r="D1511" s="25"/>
      <c r="E1511" s="25"/>
      <c r="F1511" s="17"/>
      <c r="G1511" s="25"/>
    </row>
    <row r="1512" ht="15">
      <c r="A1512" s="25"/>
      <c r="B1512" s="25"/>
      <c r="C1512" s="25"/>
      <c r="D1512" s="25"/>
      <c r="E1512" s="25"/>
      <c r="F1512" s="17"/>
      <c r="G1512" s="25"/>
    </row>
    <row r="1513" ht="15">
      <c r="A1513" s="25"/>
      <c r="B1513" s="25"/>
      <c r="C1513" s="25"/>
      <c r="D1513" s="25"/>
      <c r="E1513" s="25"/>
      <c r="F1513" s="17"/>
      <c r="G1513" s="25"/>
    </row>
    <row r="1514" ht="15">
      <c r="A1514" s="25"/>
      <c r="B1514" s="25"/>
      <c r="C1514" s="25"/>
      <c r="D1514" s="25"/>
      <c r="E1514" s="25"/>
      <c r="F1514" s="17"/>
      <c r="G1514" s="25"/>
    </row>
    <row r="1515" ht="15">
      <c r="A1515" s="25"/>
      <c r="B1515" s="25"/>
      <c r="C1515" s="25"/>
      <c r="D1515" s="25"/>
      <c r="E1515" s="25"/>
      <c r="F1515" s="17"/>
      <c r="G1515" s="25"/>
    </row>
    <row r="1516" ht="15">
      <c r="A1516" s="25"/>
      <c r="B1516" s="25"/>
      <c r="C1516" s="25"/>
      <c r="D1516" s="25"/>
      <c r="E1516" s="25"/>
      <c r="F1516" s="17"/>
      <c r="G1516" s="25"/>
    </row>
    <row r="1517" ht="15">
      <c r="A1517" s="25"/>
      <c r="B1517" s="25"/>
      <c r="C1517" s="25"/>
      <c r="D1517" s="25"/>
      <c r="E1517" s="25"/>
      <c r="F1517" s="17"/>
      <c r="G1517" s="25"/>
    </row>
    <row r="1518" ht="15">
      <c r="A1518" s="25"/>
      <c r="B1518" s="25"/>
      <c r="C1518" s="25"/>
      <c r="D1518" s="25"/>
      <c r="E1518" s="25"/>
      <c r="F1518" s="17"/>
      <c r="G1518" s="25"/>
    </row>
    <row r="1519" ht="15">
      <c r="A1519" s="25"/>
      <c r="B1519" s="25"/>
      <c r="C1519" s="25"/>
      <c r="D1519" s="25"/>
      <c r="E1519" s="25"/>
      <c r="F1519" s="17"/>
      <c r="G1519" s="25"/>
    </row>
    <row r="1520" ht="15">
      <c r="A1520" s="25"/>
      <c r="B1520" s="25"/>
      <c r="C1520" s="25"/>
      <c r="D1520" s="25"/>
      <c r="E1520" s="25"/>
      <c r="F1520" s="17"/>
      <c r="G1520" s="25"/>
    </row>
    <row r="1521" ht="15">
      <c r="A1521" s="25"/>
      <c r="B1521" s="25"/>
      <c r="C1521" s="25"/>
      <c r="D1521" s="25"/>
      <c r="E1521" s="25"/>
      <c r="F1521" s="17"/>
      <c r="G1521" s="25"/>
    </row>
    <row r="1522" ht="15">
      <c r="A1522" s="25"/>
      <c r="B1522" s="25"/>
      <c r="C1522" s="25"/>
      <c r="D1522" s="25"/>
      <c r="E1522" s="25"/>
      <c r="F1522" s="17"/>
      <c r="G1522" s="25"/>
    </row>
    <row r="1523" ht="15">
      <c r="A1523" s="25"/>
      <c r="B1523" s="25"/>
      <c r="C1523" s="25"/>
      <c r="D1523" s="25"/>
      <c r="E1523" s="25"/>
      <c r="F1523" s="17"/>
      <c r="G1523" s="25"/>
    </row>
    <row r="1524" ht="15">
      <c r="A1524" s="25"/>
      <c r="B1524" s="25"/>
      <c r="C1524" s="25"/>
      <c r="D1524" s="25"/>
      <c r="E1524" s="25"/>
      <c r="F1524" s="17"/>
      <c r="G1524" s="25"/>
    </row>
    <row r="1525" ht="15">
      <c r="A1525" s="25"/>
      <c r="B1525" s="25"/>
      <c r="C1525" s="25"/>
      <c r="D1525" s="25"/>
      <c r="E1525" s="25"/>
      <c r="F1525" s="17"/>
      <c r="G1525" s="25"/>
    </row>
    <row r="1526" ht="15">
      <c r="A1526" s="25"/>
      <c r="B1526" s="25"/>
      <c r="C1526" s="25"/>
      <c r="D1526" s="25"/>
      <c r="E1526" s="25"/>
      <c r="F1526" s="17"/>
      <c r="G1526" s="25"/>
    </row>
    <row r="1527" ht="15">
      <c r="A1527" s="25"/>
      <c r="B1527" s="25"/>
      <c r="C1527" s="25"/>
      <c r="D1527" s="25"/>
      <c r="E1527" s="25"/>
      <c r="F1527" s="17"/>
      <c r="G1527" s="25"/>
    </row>
    <row r="1528" ht="15">
      <c r="A1528" s="25"/>
      <c r="B1528" s="25"/>
      <c r="C1528" s="25"/>
      <c r="D1528" s="25"/>
      <c r="E1528" s="25"/>
      <c r="F1528" s="17"/>
      <c r="G1528" s="25"/>
    </row>
    <row r="1529" ht="15">
      <c r="A1529" s="25"/>
      <c r="B1529" s="25"/>
      <c r="C1529" s="25"/>
      <c r="D1529" s="25"/>
      <c r="E1529" s="25"/>
      <c r="F1529" s="17"/>
      <c r="G1529" s="25"/>
    </row>
    <row r="1530" ht="15">
      <c r="A1530" s="25"/>
      <c r="B1530" s="25"/>
      <c r="C1530" s="25"/>
      <c r="D1530" s="25"/>
      <c r="E1530" s="25"/>
      <c r="F1530" s="17"/>
      <c r="G1530" s="25"/>
    </row>
    <row r="1531" ht="15">
      <c r="A1531" s="25"/>
      <c r="B1531" s="25"/>
      <c r="C1531" s="25"/>
      <c r="D1531" s="25"/>
      <c r="E1531" s="25"/>
      <c r="F1531" s="17"/>
      <c r="G1531" s="25"/>
    </row>
    <row r="1532" ht="15">
      <c r="A1532" s="25"/>
      <c r="B1532" s="25"/>
      <c r="C1532" s="25"/>
      <c r="D1532" s="25"/>
      <c r="E1532" s="25"/>
      <c r="F1532" s="17"/>
      <c r="G1532" s="25"/>
    </row>
    <row r="1533" ht="15">
      <c r="A1533" s="25"/>
      <c r="B1533" s="25"/>
      <c r="C1533" s="25"/>
      <c r="D1533" s="25"/>
      <c r="E1533" s="25"/>
      <c r="F1533" s="17"/>
      <c r="G1533" s="25"/>
    </row>
    <row r="1534" ht="15">
      <c r="A1534" s="25"/>
      <c r="B1534" s="25"/>
      <c r="C1534" s="25"/>
      <c r="D1534" s="25"/>
      <c r="E1534" s="25"/>
      <c r="F1534" s="17"/>
      <c r="G1534" s="25"/>
    </row>
    <row r="1535" ht="15">
      <c r="A1535" s="25"/>
      <c r="B1535" s="25"/>
      <c r="C1535" s="25"/>
      <c r="D1535" s="25"/>
      <c r="E1535" s="25"/>
      <c r="F1535" s="17"/>
      <c r="G1535" s="25"/>
    </row>
    <row r="1536" ht="15">
      <c r="A1536" s="25"/>
      <c r="B1536" s="25"/>
      <c r="C1536" s="25"/>
      <c r="D1536" s="25"/>
      <c r="E1536" s="25"/>
      <c r="F1536" s="17"/>
      <c r="G1536" s="25"/>
    </row>
    <row r="1537" ht="15">
      <c r="A1537" s="25"/>
      <c r="B1537" s="25"/>
      <c r="C1537" s="25"/>
      <c r="D1537" s="25"/>
      <c r="E1537" s="25"/>
      <c r="F1537" s="17"/>
      <c r="G1537" s="25"/>
    </row>
    <row r="1538" ht="15">
      <c r="A1538" s="25"/>
      <c r="B1538" s="25"/>
      <c r="C1538" s="25"/>
      <c r="D1538" s="25"/>
      <c r="E1538" s="25"/>
      <c r="F1538" s="17"/>
      <c r="G1538" s="25"/>
    </row>
    <row r="1539" ht="15">
      <c r="A1539" s="25"/>
      <c r="B1539" s="25"/>
      <c r="C1539" s="25"/>
      <c r="D1539" s="25"/>
      <c r="E1539" s="25"/>
      <c r="F1539" s="17"/>
      <c r="G1539" s="25"/>
    </row>
    <row r="1540" ht="15">
      <c r="A1540" s="25"/>
      <c r="B1540" s="25"/>
      <c r="C1540" s="25"/>
      <c r="D1540" s="25"/>
      <c r="E1540" s="25"/>
      <c r="F1540" s="17"/>
      <c r="G1540" s="25"/>
    </row>
    <row r="1541" ht="15">
      <c r="A1541" s="25"/>
      <c r="B1541" s="25"/>
      <c r="C1541" s="25"/>
      <c r="D1541" s="25"/>
      <c r="E1541" s="25"/>
      <c r="F1541" s="17"/>
      <c r="G1541" s="25"/>
    </row>
    <row r="1542" ht="15">
      <c r="A1542" s="25"/>
      <c r="B1542" s="25"/>
      <c r="C1542" s="25"/>
      <c r="D1542" s="25"/>
      <c r="E1542" s="25"/>
      <c r="F1542" s="17"/>
      <c r="G1542" s="25"/>
    </row>
    <row r="1543" ht="15">
      <c r="A1543" s="25"/>
      <c r="B1543" s="25"/>
      <c r="C1543" s="25"/>
      <c r="D1543" s="25"/>
      <c r="E1543" s="25"/>
      <c r="F1543" s="17"/>
      <c r="G1543" s="25"/>
    </row>
    <row r="1544" ht="15">
      <c r="A1544" s="25"/>
      <c r="B1544" s="25"/>
      <c r="C1544" s="25"/>
      <c r="D1544" s="25"/>
      <c r="E1544" s="25"/>
      <c r="F1544" s="17"/>
      <c r="G1544" s="25"/>
    </row>
    <row r="1545" ht="15">
      <c r="A1545" s="25"/>
      <c r="B1545" s="25"/>
      <c r="C1545" s="25"/>
      <c r="D1545" s="25"/>
      <c r="E1545" s="25"/>
      <c r="F1545" s="17"/>
      <c r="G1545" s="25"/>
    </row>
    <row r="1546" ht="15">
      <c r="A1546" s="25"/>
      <c r="B1546" s="25"/>
      <c r="C1546" s="25"/>
      <c r="D1546" s="25"/>
      <c r="E1546" s="25"/>
      <c r="F1546" s="17"/>
      <c r="G1546" s="25"/>
    </row>
    <row r="1547" ht="15">
      <c r="A1547" s="25"/>
      <c r="B1547" s="25"/>
      <c r="C1547" s="25"/>
      <c r="D1547" s="25"/>
      <c r="E1547" s="25"/>
      <c r="F1547" s="17"/>
      <c r="G1547" s="25"/>
    </row>
    <row r="1548" ht="15">
      <c r="A1548" s="25"/>
      <c r="B1548" s="25"/>
      <c r="C1548" s="25"/>
      <c r="D1548" s="25"/>
      <c r="E1548" s="25"/>
      <c r="F1548" s="17"/>
      <c r="G1548" s="25"/>
    </row>
    <row r="1549" ht="15">
      <c r="A1549" s="25"/>
      <c r="B1549" s="25"/>
      <c r="C1549" s="25"/>
      <c r="D1549" s="25"/>
      <c r="E1549" s="25"/>
      <c r="F1549" s="17"/>
      <c r="G1549" s="25"/>
    </row>
    <row r="1550" ht="15">
      <c r="A1550" s="25"/>
      <c r="B1550" s="25"/>
      <c r="C1550" s="25"/>
      <c r="D1550" s="25"/>
      <c r="E1550" s="25"/>
      <c r="F1550" s="17"/>
      <c r="G1550" s="25"/>
    </row>
    <row r="1551" ht="15">
      <c r="A1551" s="25"/>
      <c r="B1551" s="25"/>
      <c r="C1551" s="25"/>
      <c r="D1551" s="25"/>
      <c r="E1551" s="25"/>
      <c r="F1551" s="17"/>
      <c r="G1551" s="25"/>
    </row>
    <row r="1552" ht="15">
      <c r="A1552" s="25"/>
      <c r="B1552" s="25"/>
      <c r="C1552" s="25"/>
      <c r="D1552" s="25"/>
      <c r="E1552" s="25"/>
      <c r="F1552" s="17"/>
      <c r="G1552" s="25"/>
    </row>
    <row r="1553" ht="15">
      <c r="A1553" s="25"/>
      <c r="B1553" s="25"/>
      <c r="C1553" s="25"/>
      <c r="D1553" s="25"/>
      <c r="E1553" s="25"/>
      <c r="F1553" s="17"/>
      <c r="G1553" s="25"/>
    </row>
    <row r="1554" ht="15">
      <c r="A1554" s="25"/>
      <c r="B1554" s="25"/>
      <c r="C1554" s="25"/>
      <c r="D1554" s="25"/>
      <c r="E1554" s="25"/>
      <c r="F1554" s="17"/>
      <c r="G1554" s="25"/>
    </row>
    <row r="1555" ht="15">
      <c r="A1555" s="25"/>
      <c r="B1555" s="25"/>
      <c r="C1555" s="25"/>
      <c r="D1555" s="25"/>
      <c r="E1555" s="25"/>
      <c r="F1555" s="17"/>
      <c r="G1555" s="25"/>
    </row>
    <row r="1556" ht="15">
      <c r="A1556" s="25"/>
      <c r="B1556" s="25"/>
      <c r="C1556" s="25"/>
      <c r="D1556" s="25"/>
      <c r="E1556" s="25"/>
      <c r="F1556" s="17"/>
      <c r="G1556" s="25"/>
    </row>
    <row r="1557" ht="15">
      <c r="A1557" s="25"/>
      <c r="B1557" s="25"/>
      <c r="C1557" s="25"/>
      <c r="D1557" s="25"/>
      <c r="E1557" s="25"/>
      <c r="F1557" s="17"/>
      <c r="G1557" s="25"/>
    </row>
    <row r="1558" ht="15">
      <c r="A1558" s="25"/>
      <c r="B1558" s="25"/>
      <c r="C1558" s="25"/>
      <c r="D1558" s="25"/>
      <c r="E1558" s="25"/>
      <c r="F1558" s="17"/>
      <c r="G1558" s="25"/>
    </row>
    <row r="1559" ht="15">
      <c r="A1559" s="25"/>
      <c r="B1559" s="25"/>
      <c r="C1559" s="25"/>
      <c r="D1559" s="25"/>
      <c r="E1559" s="25"/>
      <c r="F1559" s="17"/>
      <c r="G1559" s="25"/>
    </row>
    <row r="1560" ht="15">
      <c r="A1560" s="25"/>
      <c r="B1560" s="25"/>
      <c r="C1560" s="25"/>
      <c r="D1560" s="25"/>
      <c r="E1560" s="25"/>
      <c r="F1560" s="17"/>
      <c r="G1560" s="25"/>
    </row>
    <row r="1561" ht="15">
      <c r="A1561" s="25"/>
      <c r="B1561" s="25"/>
      <c r="C1561" s="25"/>
      <c r="D1561" s="25"/>
      <c r="E1561" s="25"/>
      <c r="F1561" s="17"/>
      <c r="G1561" s="25"/>
    </row>
    <row r="1562" ht="15">
      <c r="A1562" s="25"/>
      <c r="B1562" s="25"/>
      <c r="C1562" s="25"/>
      <c r="D1562" s="25"/>
      <c r="E1562" s="25"/>
      <c r="F1562" s="17"/>
      <c r="G1562" s="25"/>
    </row>
    <row r="1563" ht="15">
      <c r="A1563" s="25"/>
      <c r="B1563" s="25"/>
      <c r="C1563" s="25"/>
      <c r="D1563" s="25"/>
      <c r="E1563" s="25"/>
      <c r="F1563" s="17"/>
      <c r="G1563" s="25"/>
    </row>
    <row r="1564" ht="15">
      <c r="A1564" s="25"/>
      <c r="B1564" s="25"/>
      <c r="C1564" s="25"/>
      <c r="D1564" s="25"/>
      <c r="E1564" s="25"/>
      <c r="F1564" s="17"/>
      <c r="G1564" s="25"/>
    </row>
    <row r="1565" ht="15">
      <c r="A1565" s="25"/>
      <c r="B1565" s="25"/>
      <c r="C1565" s="25"/>
      <c r="D1565" s="25"/>
      <c r="E1565" s="25"/>
      <c r="F1565" s="17"/>
      <c r="G1565" s="25"/>
    </row>
    <row r="1566" ht="15">
      <c r="A1566" s="25"/>
      <c r="B1566" s="25"/>
      <c r="C1566" s="25"/>
      <c r="D1566" s="25"/>
      <c r="E1566" s="25"/>
      <c r="F1566" s="17"/>
      <c r="G1566" s="25"/>
    </row>
    <row r="1567" ht="15">
      <c r="A1567" s="25"/>
      <c r="B1567" s="25"/>
      <c r="C1567" s="25"/>
      <c r="D1567" s="25"/>
      <c r="E1567" s="25"/>
      <c r="F1567" s="17"/>
      <c r="G1567" s="25"/>
    </row>
    <row r="1568" ht="15">
      <c r="A1568" s="25"/>
      <c r="B1568" s="25"/>
      <c r="C1568" s="25"/>
      <c r="D1568" s="25"/>
      <c r="E1568" s="25"/>
      <c r="F1568" s="17"/>
      <c r="G1568" s="25"/>
    </row>
    <row r="1569" ht="15">
      <c r="A1569" s="25"/>
      <c r="B1569" s="25"/>
      <c r="C1569" s="25"/>
      <c r="D1569" s="25"/>
      <c r="E1569" s="25"/>
      <c r="F1569" s="17"/>
      <c r="G1569" s="25"/>
    </row>
    <row r="1570" ht="15">
      <c r="A1570" s="25"/>
      <c r="B1570" s="25"/>
      <c r="C1570" s="25"/>
      <c r="D1570" s="25"/>
      <c r="E1570" s="25"/>
      <c r="F1570" s="17"/>
      <c r="G1570" s="25"/>
    </row>
    <row r="1571" ht="15">
      <c r="A1571" s="25"/>
      <c r="B1571" s="25"/>
      <c r="C1571" s="25"/>
      <c r="D1571" s="25"/>
      <c r="E1571" s="25"/>
      <c r="F1571" s="17"/>
      <c r="G1571" s="25"/>
    </row>
    <row r="1572" ht="15">
      <c r="A1572" s="25"/>
      <c r="B1572" s="25"/>
      <c r="C1572" s="25"/>
      <c r="D1572" s="25"/>
      <c r="E1572" s="25"/>
      <c r="F1572" s="17"/>
      <c r="G1572" s="25"/>
    </row>
    <row r="1573" ht="15">
      <c r="A1573" s="25"/>
      <c r="B1573" s="25"/>
      <c r="C1573" s="25"/>
      <c r="D1573" s="25"/>
      <c r="E1573" s="25"/>
      <c r="F1573" s="17"/>
      <c r="G1573" s="25"/>
    </row>
    <row r="1574" ht="15">
      <c r="A1574" s="25"/>
      <c r="B1574" s="25"/>
      <c r="C1574" s="25"/>
      <c r="D1574" s="25"/>
      <c r="E1574" s="25"/>
      <c r="F1574" s="17"/>
      <c r="G1574" s="25"/>
    </row>
    <row r="1575" ht="15">
      <c r="A1575" s="25"/>
      <c r="B1575" s="25"/>
      <c r="C1575" s="25"/>
      <c r="D1575" s="25"/>
      <c r="E1575" s="25"/>
      <c r="F1575" s="17"/>
      <c r="G1575" s="25"/>
    </row>
    <row r="1576" ht="15">
      <c r="A1576" s="25"/>
      <c r="B1576" s="25"/>
      <c r="C1576" s="25"/>
      <c r="D1576" s="25"/>
      <c r="E1576" s="25"/>
      <c r="F1576" s="17"/>
      <c r="G1576" s="25"/>
    </row>
    <row r="1577" ht="15">
      <c r="A1577" s="25"/>
      <c r="B1577" s="25"/>
      <c r="C1577" s="25"/>
      <c r="D1577" s="25"/>
      <c r="E1577" s="25"/>
      <c r="F1577" s="17"/>
      <c r="G1577" s="25"/>
    </row>
    <row r="1578" ht="15">
      <c r="A1578" s="25"/>
      <c r="B1578" s="25"/>
      <c r="C1578" s="25"/>
      <c r="D1578" s="25"/>
      <c r="E1578" s="25"/>
      <c r="F1578" s="17"/>
      <c r="G1578" s="25"/>
    </row>
    <row r="1579" ht="15">
      <c r="A1579" s="25"/>
      <c r="B1579" s="25"/>
      <c r="C1579" s="25"/>
      <c r="D1579" s="25"/>
      <c r="E1579" s="25"/>
      <c r="F1579" s="17"/>
      <c r="G1579" s="25"/>
    </row>
    <row r="1580" ht="15">
      <c r="A1580" s="25"/>
      <c r="B1580" s="25"/>
      <c r="C1580" s="25"/>
      <c r="D1580" s="25"/>
      <c r="E1580" s="25"/>
      <c r="F1580" s="17"/>
      <c r="G1580" s="25"/>
    </row>
    <row r="1581" ht="15">
      <c r="A1581" s="25"/>
      <c r="B1581" s="25"/>
      <c r="C1581" s="25"/>
      <c r="D1581" s="25"/>
      <c r="E1581" s="25"/>
      <c r="F1581" s="17"/>
      <c r="G1581" s="25"/>
    </row>
    <row r="1582" ht="15">
      <c r="A1582" s="25"/>
      <c r="B1582" s="25"/>
      <c r="C1582" s="25"/>
      <c r="D1582" s="25"/>
      <c r="E1582" s="25"/>
      <c r="F1582" s="17"/>
      <c r="G1582" s="25"/>
    </row>
    <row r="1583" ht="15">
      <c r="A1583" s="25"/>
      <c r="B1583" s="25"/>
      <c r="C1583" s="25"/>
      <c r="D1583" s="25"/>
      <c r="E1583" s="25"/>
      <c r="F1583" s="17"/>
      <c r="G1583" s="25"/>
    </row>
    <row r="1584" ht="15">
      <c r="A1584" s="25"/>
      <c r="B1584" s="25"/>
      <c r="C1584" s="25"/>
      <c r="D1584" s="25"/>
      <c r="E1584" s="25"/>
      <c r="F1584" s="17"/>
      <c r="G1584" s="25"/>
    </row>
    <row r="1585" ht="15">
      <c r="A1585" s="25"/>
      <c r="B1585" s="25"/>
      <c r="C1585" s="25"/>
      <c r="D1585" s="25"/>
      <c r="E1585" s="25"/>
      <c r="F1585" s="17"/>
      <c r="G1585" s="25"/>
    </row>
    <row r="1586" ht="15">
      <c r="A1586" s="25"/>
      <c r="B1586" s="25"/>
      <c r="C1586" s="25"/>
      <c r="D1586" s="25"/>
      <c r="E1586" s="25"/>
      <c r="F1586" s="17"/>
      <c r="G1586" s="25"/>
    </row>
    <row r="1587" ht="15">
      <c r="A1587" s="25"/>
      <c r="B1587" s="25"/>
      <c r="C1587" s="25"/>
      <c r="D1587" s="25"/>
      <c r="E1587" s="25"/>
      <c r="F1587" s="17"/>
      <c r="G1587" s="25"/>
    </row>
    <row r="1588" ht="15">
      <c r="A1588" s="25"/>
      <c r="B1588" s="25"/>
      <c r="C1588" s="25"/>
      <c r="D1588" s="25"/>
      <c r="E1588" s="25"/>
      <c r="F1588" s="17"/>
      <c r="G1588" s="25"/>
    </row>
    <row r="1589" ht="15">
      <c r="A1589" s="25"/>
      <c r="B1589" s="25"/>
      <c r="C1589" s="25"/>
      <c r="D1589" s="25"/>
      <c r="E1589" s="25"/>
      <c r="F1589" s="17"/>
      <c r="G1589" s="25"/>
    </row>
    <row r="1590" ht="15">
      <c r="A1590" s="25"/>
      <c r="B1590" s="25"/>
      <c r="C1590" s="25"/>
      <c r="D1590" s="25"/>
      <c r="E1590" s="25"/>
      <c r="F1590" s="17"/>
      <c r="G1590" s="25"/>
    </row>
    <row r="1591" ht="15">
      <c r="A1591" s="25"/>
      <c r="B1591" s="25"/>
      <c r="C1591" s="25"/>
      <c r="D1591" s="25"/>
      <c r="E1591" s="25"/>
      <c r="F1591" s="17"/>
      <c r="G1591" s="25"/>
    </row>
    <row r="1592" ht="15">
      <c r="A1592" s="25"/>
      <c r="B1592" s="25"/>
      <c r="C1592" s="25"/>
      <c r="D1592" s="25"/>
      <c r="E1592" s="25"/>
      <c r="F1592" s="17"/>
      <c r="G1592" s="25"/>
    </row>
    <row r="1593" ht="15">
      <c r="A1593" s="25"/>
      <c r="B1593" s="25"/>
      <c r="C1593" s="25"/>
      <c r="D1593" s="25"/>
      <c r="E1593" s="25"/>
      <c r="F1593" s="17"/>
      <c r="G1593" s="25"/>
    </row>
    <row r="1594" ht="15">
      <c r="A1594" s="25"/>
      <c r="B1594" s="25"/>
      <c r="C1594" s="25"/>
      <c r="D1594" s="25"/>
      <c r="E1594" s="25"/>
      <c r="F1594" s="17"/>
      <c r="G1594" s="25"/>
    </row>
    <row r="1595" ht="15">
      <c r="A1595" s="25"/>
      <c r="B1595" s="25"/>
      <c r="C1595" s="25"/>
      <c r="D1595" s="25"/>
      <c r="E1595" s="25"/>
      <c r="F1595" s="17"/>
      <c r="G1595" s="25"/>
    </row>
    <row r="1596" ht="15">
      <c r="A1596" s="25"/>
      <c r="B1596" s="25"/>
      <c r="C1596" s="25"/>
      <c r="D1596" s="25"/>
      <c r="E1596" s="25"/>
      <c r="F1596" s="17"/>
      <c r="G1596" s="25"/>
    </row>
    <row r="1597" ht="15">
      <c r="A1597" s="25"/>
      <c r="B1597" s="25"/>
      <c r="C1597" s="25"/>
      <c r="D1597" s="25"/>
      <c r="E1597" s="25"/>
      <c r="F1597" s="17"/>
      <c r="G1597" s="25"/>
    </row>
    <row r="1598" ht="15">
      <c r="A1598" s="25"/>
      <c r="B1598" s="25"/>
      <c r="C1598" s="25"/>
      <c r="D1598" s="25"/>
      <c r="E1598" s="25"/>
      <c r="F1598" s="17"/>
      <c r="G1598" s="25"/>
    </row>
    <row r="1599" ht="15">
      <c r="A1599" s="25"/>
      <c r="B1599" s="25"/>
      <c r="C1599" s="25"/>
      <c r="D1599" s="25"/>
      <c r="E1599" s="25"/>
      <c r="F1599" s="17"/>
      <c r="G1599" s="25"/>
    </row>
    <row r="1600" ht="15">
      <c r="A1600" s="25"/>
      <c r="B1600" s="25"/>
      <c r="C1600" s="25"/>
      <c r="D1600" s="25"/>
      <c r="E1600" s="25"/>
      <c r="F1600" s="17"/>
      <c r="G1600" s="25"/>
    </row>
    <row r="1601" ht="15">
      <c r="A1601" s="25"/>
      <c r="B1601" s="25"/>
      <c r="C1601" s="25"/>
      <c r="D1601" s="25"/>
      <c r="E1601" s="25"/>
      <c r="F1601" s="17"/>
      <c r="G1601" s="25"/>
    </row>
    <row r="1602" ht="15">
      <c r="A1602" s="25"/>
      <c r="B1602" s="25"/>
      <c r="C1602" s="25"/>
      <c r="D1602" s="25"/>
      <c r="E1602" s="25"/>
      <c r="F1602" s="17"/>
      <c r="G1602" s="25"/>
    </row>
    <row r="1603" ht="15">
      <c r="A1603" s="25"/>
      <c r="B1603" s="25"/>
      <c r="C1603" s="25"/>
      <c r="D1603" s="25"/>
      <c r="E1603" s="25"/>
      <c r="F1603" s="17"/>
      <c r="G1603" s="25"/>
    </row>
    <row r="1604" ht="15">
      <c r="A1604" s="25"/>
      <c r="B1604" s="25"/>
      <c r="C1604" s="25"/>
      <c r="D1604" s="25"/>
      <c r="E1604" s="25"/>
      <c r="F1604" s="17"/>
      <c r="G1604" s="25"/>
    </row>
    <row r="1605" ht="15">
      <c r="A1605" s="25"/>
      <c r="B1605" s="25"/>
      <c r="C1605" s="25"/>
      <c r="D1605" s="25"/>
      <c r="E1605" s="25"/>
      <c r="F1605" s="17"/>
      <c r="G1605" s="25"/>
    </row>
    <row r="1606" ht="15">
      <c r="A1606" s="25"/>
      <c r="B1606" s="25"/>
      <c r="C1606" s="25"/>
      <c r="D1606" s="25"/>
      <c r="E1606" s="25"/>
      <c r="F1606" s="17"/>
      <c r="G1606" s="25"/>
    </row>
    <row r="1607" ht="15">
      <c r="A1607" s="25"/>
      <c r="B1607" s="25"/>
      <c r="C1607" s="25"/>
      <c r="D1607" s="25"/>
      <c r="E1607" s="25"/>
      <c r="F1607" s="17"/>
      <c r="G1607" s="25"/>
    </row>
    <row r="1608" ht="15">
      <c r="A1608" s="25"/>
      <c r="B1608" s="25"/>
      <c r="C1608" s="25"/>
      <c r="D1608" s="25"/>
      <c r="E1608" s="25"/>
      <c r="F1608" s="17"/>
      <c r="G1608" s="25"/>
    </row>
    <row r="1609" ht="15">
      <c r="A1609" s="25"/>
      <c r="B1609" s="25"/>
      <c r="C1609" s="25"/>
      <c r="D1609" s="25"/>
      <c r="E1609" s="25"/>
      <c r="F1609" s="17"/>
      <c r="G1609" s="25"/>
    </row>
    <row r="1610" ht="15">
      <c r="A1610" s="25"/>
      <c r="B1610" s="25"/>
      <c r="C1610" s="25"/>
      <c r="D1610" s="25"/>
      <c r="E1610" s="25"/>
      <c r="F1610" s="17"/>
      <c r="G1610" s="25"/>
    </row>
    <row r="1611" ht="15">
      <c r="A1611" s="25"/>
      <c r="B1611" s="25"/>
      <c r="C1611" s="25"/>
      <c r="D1611" s="25"/>
      <c r="E1611" s="25"/>
      <c r="F1611" s="17"/>
      <c r="G1611" s="25"/>
    </row>
    <row r="1612" ht="15">
      <c r="A1612" s="25"/>
      <c r="B1612" s="25"/>
      <c r="C1612" s="25"/>
      <c r="D1612" s="25"/>
      <c r="E1612" s="25"/>
      <c r="F1612" s="17"/>
      <c r="G1612" s="25"/>
    </row>
    <row r="1613" ht="15">
      <c r="A1613" s="25"/>
      <c r="B1613" s="25"/>
      <c r="C1613" s="25"/>
      <c r="D1613" s="25"/>
      <c r="E1613" s="25"/>
      <c r="F1613" s="17"/>
      <c r="G1613" s="25"/>
    </row>
    <row r="1614" ht="15">
      <c r="A1614" s="25"/>
      <c r="B1614" s="25"/>
      <c r="C1614" s="25"/>
      <c r="D1614" s="25"/>
      <c r="E1614" s="25"/>
      <c r="F1614" s="17"/>
      <c r="G1614" s="25"/>
    </row>
    <row r="1615" ht="15">
      <c r="A1615" s="25"/>
      <c r="B1615" s="25"/>
      <c r="C1615" s="25"/>
      <c r="D1615" s="25"/>
      <c r="E1615" s="25"/>
      <c r="F1615" s="17"/>
      <c r="G1615" s="25"/>
    </row>
    <row r="1616" ht="15">
      <c r="A1616" s="25"/>
      <c r="B1616" s="25"/>
      <c r="C1616" s="25"/>
      <c r="D1616" s="25"/>
      <c r="E1616" s="25"/>
      <c r="F1616" s="17"/>
      <c r="G1616" s="25"/>
    </row>
    <row r="1617" ht="15">
      <c r="A1617" s="25"/>
      <c r="B1617" s="25"/>
      <c r="C1617" s="25"/>
      <c r="D1617" s="25"/>
      <c r="E1617" s="25"/>
      <c r="F1617" s="17"/>
      <c r="G1617" s="25"/>
    </row>
    <row r="1618" ht="15">
      <c r="A1618" s="25"/>
      <c r="B1618" s="25"/>
      <c r="C1618" s="25"/>
      <c r="D1618" s="25"/>
      <c r="E1618" s="25"/>
      <c r="F1618" s="17"/>
      <c r="G1618" s="25"/>
    </row>
    <row r="1619" ht="15">
      <c r="A1619" s="25"/>
      <c r="B1619" s="25"/>
      <c r="C1619" s="25"/>
      <c r="D1619" s="25"/>
      <c r="E1619" s="25"/>
      <c r="F1619" s="17"/>
      <c r="G1619" s="25"/>
    </row>
    <row r="1620" ht="15">
      <c r="A1620" s="25"/>
      <c r="B1620" s="25"/>
      <c r="C1620" s="25"/>
      <c r="D1620" s="25"/>
      <c r="E1620" s="25"/>
      <c r="F1620" s="17"/>
      <c r="G1620" s="25"/>
    </row>
    <row r="1621" ht="15">
      <c r="A1621" s="25"/>
      <c r="B1621" s="25"/>
      <c r="C1621" s="25"/>
      <c r="D1621" s="25"/>
      <c r="E1621" s="25"/>
      <c r="F1621" s="17"/>
      <c r="G1621" s="25"/>
    </row>
    <row r="1622" ht="15">
      <c r="A1622" s="25"/>
      <c r="B1622" s="25"/>
      <c r="C1622" s="25"/>
      <c r="D1622" s="25"/>
      <c r="E1622" s="25"/>
      <c r="F1622" s="17"/>
      <c r="G1622" s="25"/>
    </row>
    <row r="1623" ht="15">
      <c r="A1623" s="25"/>
      <c r="B1623" s="25"/>
      <c r="C1623" s="25"/>
      <c r="D1623" s="25"/>
      <c r="E1623" s="25"/>
      <c r="F1623" s="17"/>
      <c r="G1623" s="25"/>
    </row>
    <row r="1624" ht="15">
      <c r="A1624" s="25"/>
      <c r="B1624" s="25"/>
      <c r="C1624" s="25"/>
      <c r="D1624" s="25"/>
      <c r="E1624" s="25"/>
      <c r="F1624" s="17"/>
      <c r="G1624" s="25"/>
    </row>
    <row r="1625" ht="15">
      <c r="A1625" s="25"/>
      <c r="B1625" s="25"/>
      <c r="C1625" s="25"/>
      <c r="D1625" s="25"/>
      <c r="E1625" s="25"/>
      <c r="F1625" s="17"/>
      <c r="G1625" s="25"/>
    </row>
    <row r="1626" ht="15">
      <c r="A1626" s="25"/>
      <c r="B1626" s="25"/>
      <c r="C1626" s="25"/>
      <c r="D1626" s="25"/>
      <c r="E1626" s="25"/>
      <c r="F1626" s="17"/>
      <c r="G1626" s="25"/>
    </row>
    <row r="1627" ht="15">
      <c r="A1627" s="25"/>
      <c r="B1627" s="25"/>
      <c r="C1627" s="25"/>
      <c r="D1627" s="25"/>
      <c r="E1627" s="25"/>
      <c r="F1627" s="17"/>
      <c r="G1627" s="25"/>
    </row>
    <row r="1628" ht="15">
      <c r="A1628" s="25"/>
      <c r="B1628" s="25"/>
      <c r="C1628" s="25"/>
      <c r="D1628" s="25"/>
      <c r="E1628" s="25"/>
      <c r="F1628" s="17"/>
      <c r="G1628" s="25"/>
    </row>
    <row r="1629" ht="15">
      <c r="A1629" s="25"/>
      <c r="B1629" s="25"/>
      <c r="C1629" s="25"/>
      <c r="D1629" s="25"/>
      <c r="E1629" s="25"/>
      <c r="F1629" s="17"/>
      <c r="G1629" s="25"/>
    </row>
    <row r="1630" ht="15">
      <c r="A1630" s="25"/>
      <c r="B1630" s="25"/>
      <c r="C1630" s="25"/>
      <c r="D1630" s="25"/>
      <c r="E1630" s="25"/>
      <c r="F1630" s="17"/>
      <c r="G1630" s="25"/>
    </row>
    <row r="1631" ht="15">
      <c r="A1631" s="25"/>
      <c r="B1631" s="25"/>
      <c r="C1631" s="25"/>
      <c r="D1631" s="25"/>
      <c r="E1631" s="25"/>
      <c r="F1631" s="17"/>
      <c r="G1631" s="25"/>
    </row>
    <row r="1632" ht="15">
      <c r="A1632" s="25"/>
      <c r="B1632" s="25"/>
      <c r="C1632" s="25"/>
      <c r="D1632" s="25"/>
      <c r="E1632" s="25"/>
      <c r="F1632" s="17"/>
      <c r="G1632" s="25"/>
    </row>
    <row r="1633" ht="15">
      <c r="A1633" s="25"/>
      <c r="B1633" s="25"/>
      <c r="C1633" s="25"/>
      <c r="D1633" s="25"/>
      <c r="E1633" s="25"/>
      <c r="F1633" s="17"/>
      <c r="G1633" s="25"/>
    </row>
    <row r="1634" ht="15">
      <c r="A1634" s="25"/>
      <c r="B1634" s="25"/>
      <c r="C1634" s="25"/>
      <c r="D1634" s="25"/>
      <c r="E1634" s="25"/>
      <c r="F1634" s="17"/>
      <c r="G1634" s="25"/>
    </row>
    <row r="1635" ht="15">
      <c r="A1635" s="25"/>
      <c r="B1635" s="25"/>
      <c r="C1635" s="25"/>
      <c r="D1635" s="25"/>
      <c r="E1635" s="25"/>
      <c r="F1635" s="17"/>
      <c r="G1635" s="25"/>
    </row>
    <row r="1636" ht="15">
      <c r="A1636" s="25"/>
      <c r="B1636" s="25"/>
      <c r="C1636" s="25"/>
      <c r="D1636" s="25"/>
      <c r="E1636" s="25"/>
      <c r="F1636" s="17"/>
      <c r="G1636" s="25"/>
    </row>
    <row r="1637" ht="15">
      <c r="A1637" s="25"/>
      <c r="B1637" s="25"/>
      <c r="C1637" s="25"/>
      <c r="D1637" s="25"/>
      <c r="E1637" s="25"/>
      <c r="F1637" s="17"/>
      <c r="G1637" s="25"/>
    </row>
    <row r="1638" ht="15">
      <c r="A1638" s="25"/>
      <c r="B1638" s="25"/>
      <c r="C1638" s="25"/>
      <c r="D1638" s="25"/>
      <c r="E1638" s="25"/>
      <c r="F1638" s="17"/>
      <c r="G1638" s="25"/>
    </row>
    <row r="1639" ht="15">
      <c r="A1639" s="25"/>
      <c r="B1639" s="25"/>
      <c r="C1639" s="25"/>
      <c r="D1639" s="25"/>
      <c r="E1639" s="25"/>
      <c r="F1639" s="17"/>
      <c r="G1639" s="25"/>
    </row>
    <row r="1640" ht="15">
      <c r="A1640" s="25"/>
      <c r="B1640" s="25"/>
      <c r="C1640" s="25"/>
      <c r="D1640" s="25"/>
      <c r="E1640" s="25"/>
      <c r="F1640" s="17"/>
      <c r="G1640" s="25"/>
    </row>
    <row r="1641" ht="15">
      <c r="A1641" s="25"/>
      <c r="B1641" s="25"/>
      <c r="C1641" s="25"/>
      <c r="D1641" s="25"/>
      <c r="E1641" s="25"/>
      <c r="F1641" s="17"/>
      <c r="G1641" s="25"/>
    </row>
    <row r="1642" ht="15">
      <c r="A1642" s="25"/>
      <c r="B1642" s="25"/>
      <c r="C1642" s="25"/>
      <c r="D1642" s="25"/>
      <c r="E1642" s="25"/>
      <c r="F1642" s="17"/>
      <c r="G1642" s="25"/>
    </row>
    <row r="1643" ht="15">
      <c r="A1643" s="25"/>
      <c r="B1643" s="25"/>
      <c r="C1643" s="25"/>
      <c r="D1643" s="25"/>
      <c r="E1643" s="25"/>
      <c r="F1643" s="17"/>
      <c r="G1643" s="25"/>
    </row>
    <row r="1644" ht="15">
      <c r="A1644" s="25"/>
      <c r="B1644" s="25"/>
      <c r="C1644" s="25"/>
      <c r="D1644" s="25"/>
      <c r="E1644" s="25"/>
      <c r="F1644" s="17"/>
      <c r="G1644" s="25"/>
    </row>
    <row r="1645" ht="15">
      <c r="A1645" s="25"/>
      <c r="B1645" s="25"/>
      <c r="C1645" s="25"/>
      <c r="D1645" s="25"/>
      <c r="E1645" s="25"/>
      <c r="F1645" s="17"/>
      <c r="G1645" s="25"/>
    </row>
    <row r="1646" ht="15">
      <c r="A1646" s="25"/>
      <c r="B1646" s="25"/>
      <c r="C1646" s="25"/>
      <c r="D1646" s="25"/>
      <c r="E1646" s="25"/>
      <c r="F1646" s="17"/>
      <c r="G1646" s="25"/>
    </row>
    <row r="1647" ht="15">
      <c r="A1647" s="25"/>
      <c r="B1647" s="25"/>
      <c r="C1647" s="25"/>
      <c r="D1647" s="25"/>
      <c r="E1647" s="25"/>
      <c r="F1647" s="17"/>
      <c r="G1647" s="25"/>
    </row>
    <row r="1648" ht="15">
      <c r="A1648" s="25"/>
      <c r="B1648" s="25"/>
      <c r="C1648" s="25"/>
      <c r="D1648" s="25"/>
      <c r="E1648" s="25"/>
      <c r="F1648" s="17"/>
      <c r="G1648" s="25"/>
    </row>
    <row r="1649" ht="15">
      <c r="A1649" s="25"/>
      <c r="B1649" s="25"/>
      <c r="C1649" s="25"/>
      <c r="D1649" s="25"/>
      <c r="E1649" s="25"/>
      <c r="F1649" s="17"/>
      <c r="G1649" s="25"/>
    </row>
    <row r="1650" ht="15">
      <c r="A1650" s="25"/>
      <c r="B1650" s="25"/>
      <c r="C1650" s="25"/>
      <c r="D1650" s="25"/>
      <c r="E1650" s="25"/>
      <c r="F1650" s="17"/>
      <c r="G1650" s="25"/>
    </row>
    <row r="1651" ht="15">
      <c r="A1651" s="25"/>
      <c r="B1651" s="25"/>
      <c r="C1651" s="25"/>
      <c r="D1651" s="25"/>
      <c r="E1651" s="25"/>
      <c r="F1651" s="17"/>
      <c r="G1651" s="25"/>
    </row>
    <row r="1652" ht="15">
      <c r="A1652" s="25"/>
      <c r="B1652" s="25"/>
      <c r="C1652" s="25"/>
      <c r="D1652" s="25"/>
      <c r="E1652" s="25"/>
      <c r="F1652" s="17"/>
      <c r="G1652" s="25"/>
    </row>
    <row r="1653" ht="15">
      <c r="A1653" s="25"/>
      <c r="B1653" s="25"/>
      <c r="C1653" s="25"/>
      <c r="D1653" s="25"/>
      <c r="E1653" s="25"/>
      <c r="F1653" s="17"/>
      <c r="G1653" s="25"/>
    </row>
    <row r="1654" ht="15">
      <c r="A1654" s="25"/>
      <c r="B1654" s="25"/>
      <c r="C1654" s="25"/>
      <c r="D1654" s="25"/>
      <c r="E1654" s="25"/>
      <c r="F1654" s="17"/>
      <c r="G1654" s="25"/>
    </row>
    <row r="1655" ht="15">
      <c r="A1655" s="25"/>
      <c r="B1655" s="25"/>
      <c r="C1655" s="25"/>
      <c r="D1655" s="25"/>
      <c r="E1655" s="25"/>
      <c r="F1655" s="17"/>
      <c r="G1655" s="25"/>
    </row>
    <row r="1656" ht="15">
      <c r="A1656" s="25"/>
      <c r="B1656" s="25"/>
      <c r="C1656" s="25"/>
      <c r="D1656" s="25"/>
      <c r="E1656" s="25"/>
      <c r="F1656" s="17"/>
      <c r="G1656" s="25"/>
    </row>
    <row r="1657" ht="15">
      <c r="A1657" s="25"/>
      <c r="B1657" s="25"/>
      <c r="C1657" s="25"/>
      <c r="D1657" s="25"/>
      <c r="E1657" s="25"/>
      <c r="F1657" s="17"/>
      <c r="G1657" s="25"/>
    </row>
    <row r="1658" ht="15">
      <c r="A1658" s="25"/>
      <c r="B1658" s="25"/>
      <c r="C1658" s="25"/>
      <c r="D1658" s="25"/>
      <c r="E1658" s="25"/>
      <c r="F1658" s="17"/>
      <c r="G1658" s="25"/>
    </row>
    <row r="1659" ht="15">
      <c r="A1659" s="25"/>
      <c r="B1659" s="25"/>
      <c r="C1659" s="25"/>
      <c r="D1659" s="25"/>
      <c r="E1659" s="25"/>
      <c r="F1659" s="17"/>
      <c r="G1659" s="25"/>
    </row>
    <row r="1660" ht="15">
      <c r="A1660" s="25"/>
      <c r="B1660" s="25"/>
      <c r="C1660" s="25"/>
      <c r="D1660" s="25"/>
      <c r="E1660" s="25"/>
      <c r="F1660" s="17"/>
      <c r="G1660" s="25"/>
    </row>
    <row r="1661" ht="15">
      <c r="A1661" s="25"/>
      <c r="B1661" s="25"/>
      <c r="C1661" s="25"/>
      <c r="D1661" s="25"/>
      <c r="E1661" s="25"/>
      <c r="F1661" s="17"/>
      <c r="G1661" s="25"/>
    </row>
    <row r="1662" ht="15">
      <c r="A1662" s="25"/>
      <c r="B1662" s="25"/>
      <c r="C1662" s="25"/>
      <c r="D1662" s="25"/>
      <c r="E1662" s="25"/>
      <c r="F1662" s="17"/>
      <c r="G1662" s="25"/>
    </row>
    <row r="1663" ht="15">
      <c r="A1663" s="25"/>
      <c r="B1663" s="25"/>
      <c r="C1663" s="25"/>
      <c r="D1663" s="25"/>
      <c r="E1663" s="25"/>
      <c r="F1663" s="17"/>
      <c r="G1663" s="25"/>
    </row>
    <row r="1664" ht="15">
      <c r="A1664" s="25"/>
      <c r="B1664" s="25"/>
      <c r="C1664" s="25"/>
      <c r="D1664" s="25"/>
      <c r="E1664" s="25"/>
      <c r="F1664" s="17"/>
      <c r="G1664" s="25"/>
    </row>
    <row r="1665" ht="15">
      <c r="A1665" s="25"/>
      <c r="B1665" s="25"/>
      <c r="C1665" s="25"/>
      <c r="D1665" s="25"/>
      <c r="E1665" s="25"/>
      <c r="F1665" s="17"/>
      <c r="G1665" s="25"/>
    </row>
    <row r="1666" ht="15">
      <c r="A1666" s="25"/>
      <c r="B1666" s="25"/>
      <c r="C1666" s="25"/>
      <c r="D1666" s="25"/>
      <c r="E1666" s="25"/>
      <c r="F1666" s="17"/>
      <c r="G1666" s="25"/>
    </row>
    <row r="1667" ht="15">
      <c r="A1667" s="25"/>
      <c r="B1667" s="25"/>
      <c r="C1667" s="25"/>
      <c r="D1667" s="25"/>
      <c r="E1667" s="25"/>
      <c r="F1667" s="17"/>
      <c r="G1667" s="25"/>
    </row>
    <row r="1668" ht="15">
      <c r="A1668" s="25"/>
      <c r="B1668" s="25"/>
      <c r="C1668" s="25"/>
      <c r="D1668" s="25"/>
      <c r="E1668" s="25"/>
      <c r="F1668" s="17"/>
      <c r="G1668" s="25"/>
    </row>
    <row r="1669" ht="15">
      <c r="A1669" s="25"/>
      <c r="B1669" s="25"/>
      <c r="C1669" s="25"/>
      <c r="D1669" s="25"/>
      <c r="E1669" s="25"/>
      <c r="F1669" s="17"/>
      <c r="G1669" s="25"/>
    </row>
    <row r="1670" ht="15">
      <c r="A1670" s="25"/>
      <c r="B1670" s="25"/>
      <c r="C1670" s="25"/>
      <c r="D1670" s="25"/>
      <c r="E1670" s="25"/>
      <c r="F1670" s="17"/>
      <c r="G1670" s="25"/>
    </row>
    <row r="1671" ht="15">
      <c r="A1671" s="25"/>
      <c r="B1671" s="25"/>
      <c r="C1671" s="25"/>
      <c r="D1671" s="25"/>
      <c r="E1671" s="25"/>
      <c r="F1671" s="17"/>
      <c r="G1671" s="25"/>
    </row>
    <row r="1672" ht="15">
      <c r="A1672" s="25"/>
      <c r="B1672" s="25"/>
      <c r="C1672" s="25"/>
      <c r="D1672" s="25"/>
      <c r="E1672" s="25"/>
      <c r="F1672" s="17"/>
      <c r="G1672" s="25"/>
    </row>
    <row r="1673" ht="15">
      <c r="A1673" s="25"/>
      <c r="B1673" s="25"/>
      <c r="C1673" s="25"/>
      <c r="D1673" s="25"/>
      <c r="E1673" s="25"/>
      <c r="F1673" s="17"/>
      <c r="G1673" s="25"/>
    </row>
    <row r="1674" ht="15">
      <c r="A1674" s="25"/>
      <c r="B1674" s="25"/>
      <c r="C1674" s="25"/>
      <c r="D1674" s="25"/>
      <c r="E1674" s="25"/>
      <c r="F1674" s="17"/>
      <c r="G1674" s="25"/>
    </row>
    <row r="1675" ht="15">
      <c r="A1675" s="25"/>
      <c r="B1675" s="25"/>
      <c r="C1675" s="25"/>
      <c r="D1675" s="25"/>
      <c r="E1675" s="25"/>
      <c r="F1675" s="17"/>
      <c r="G1675" s="25"/>
    </row>
    <row r="1676" ht="15">
      <c r="A1676" s="25"/>
      <c r="B1676" s="25"/>
      <c r="C1676" s="25"/>
      <c r="D1676" s="25"/>
      <c r="E1676" s="25"/>
      <c r="F1676" s="17"/>
      <c r="G1676" s="25"/>
    </row>
    <row r="1677" ht="15">
      <c r="A1677" s="25"/>
      <c r="B1677" s="25"/>
      <c r="C1677" s="25"/>
      <c r="D1677" s="25"/>
      <c r="E1677" s="25"/>
      <c r="F1677" s="17"/>
      <c r="G1677" s="25"/>
    </row>
    <row r="1678" ht="15">
      <c r="A1678" s="25"/>
      <c r="B1678" s="25"/>
      <c r="C1678" s="25"/>
      <c r="D1678" s="25"/>
      <c r="E1678" s="25"/>
      <c r="F1678" s="17"/>
      <c r="G1678" s="25"/>
    </row>
    <row r="1679" ht="15">
      <c r="A1679" s="25"/>
      <c r="B1679" s="25"/>
      <c r="C1679" s="25"/>
      <c r="D1679" s="25"/>
      <c r="E1679" s="25"/>
      <c r="F1679" s="17"/>
      <c r="G1679" s="25"/>
    </row>
    <row r="1680" ht="15">
      <c r="A1680" s="25"/>
      <c r="B1680" s="25"/>
      <c r="C1680" s="25"/>
      <c r="D1680" s="25"/>
      <c r="E1680" s="25"/>
      <c r="F1680" s="17"/>
      <c r="G1680" s="25"/>
    </row>
    <row r="1681" ht="15">
      <c r="A1681" s="25"/>
      <c r="B1681" s="25"/>
      <c r="C1681" s="25"/>
      <c r="D1681" s="25"/>
      <c r="E1681" s="25"/>
      <c r="F1681" s="17"/>
      <c r="G1681" s="25"/>
    </row>
    <row r="1682" ht="15">
      <c r="A1682" s="25"/>
      <c r="B1682" s="25"/>
      <c r="C1682" s="25"/>
      <c r="D1682" s="25"/>
      <c r="E1682" s="25"/>
      <c r="F1682" s="17"/>
      <c r="G1682" s="25"/>
    </row>
    <row r="1683" ht="15">
      <c r="A1683" s="25"/>
      <c r="B1683" s="25"/>
      <c r="C1683" s="25"/>
      <c r="D1683" s="25"/>
      <c r="E1683" s="25"/>
      <c r="F1683" s="17"/>
      <c r="G1683" s="25"/>
    </row>
    <row r="1684" ht="15">
      <c r="A1684" s="25"/>
      <c r="B1684" s="25"/>
      <c r="C1684" s="25"/>
      <c r="D1684" s="25"/>
      <c r="E1684" s="25"/>
      <c r="F1684" s="17"/>
      <c r="G1684" s="25"/>
    </row>
    <row r="1685" ht="15">
      <c r="A1685" s="25"/>
      <c r="B1685" s="25"/>
      <c r="C1685" s="25"/>
      <c r="D1685" s="25"/>
      <c r="E1685" s="25"/>
      <c r="F1685" s="17"/>
      <c r="G1685" s="25"/>
    </row>
    <row r="1686" ht="15">
      <c r="A1686" s="25"/>
      <c r="B1686" s="25"/>
      <c r="C1686" s="25"/>
      <c r="D1686" s="25"/>
      <c r="E1686" s="25"/>
      <c r="F1686" s="17"/>
      <c r="G1686" s="25"/>
    </row>
    <row r="1687" ht="15">
      <c r="A1687" s="25"/>
      <c r="B1687" s="25"/>
      <c r="C1687" s="25"/>
      <c r="D1687" s="25"/>
      <c r="E1687" s="25"/>
      <c r="F1687" s="17"/>
      <c r="G1687" s="25"/>
    </row>
    <row r="1688" ht="15">
      <c r="A1688" s="25"/>
      <c r="B1688" s="25"/>
      <c r="C1688" s="25"/>
      <c r="D1688" s="25"/>
      <c r="E1688" s="25"/>
      <c r="F1688" s="17"/>
      <c r="G1688" s="25"/>
    </row>
    <row r="1689" ht="15">
      <c r="A1689" s="25"/>
      <c r="B1689" s="25"/>
      <c r="C1689" s="25"/>
      <c r="D1689" s="25"/>
      <c r="E1689" s="25"/>
      <c r="F1689" s="17"/>
      <c r="G1689" s="25"/>
    </row>
    <row r="1690" ht="15">
      <c r="A1690" s="25"/>
      <c r="B1690" s="25"/>
      <c r="C1690" s="25"/>
      <c r="D1690" s="25"/>
      <c r="E1690" s="25"/>
      <c r="F1690" s="17"/>
      <c r="G1690" s="25"/>
    </row>
    <row r="1691" ht="15">
      <c r="A1691" s="25"/>
      <c r="B1691" s="25"/>
      <c r="C1691" s="25"/>
      <c r="D1691" s="25"/>
      <c r="E1691" s="25"/>
      <c r="F1691" s="17"/>
      <c r="G1691" s="25"/>
    </row>
    <row r="1692" ht="15">
      <c r="A1692" s="25"/>
      <c r="B1692" s="25"/>
      <c r="C1692" s="25"/>
      <c r="D1692" s="25"/>
      <c r="E1692" s="25"/>
      <c r="F1692" s="17"/>
      <c r="G1692" s="25"/>
    </row>
    <row r="1693" ht="15">
      <c r="A1693" s="25"/>
      <c r="B1693" s="25"/>
      <c r="C1693" s="25"/>
      <c r="D1693" s="25"/>
      <c r="E1693" s="25"/>
      <c r="F1693" s="17"/>
      <c r="G1693" s="25"/>
    </row>
    <row r="1694" ht="15">
      <c r="A1694" s="25"/>
      <c r="B1694" s="25"/>
      <c r="C1694" s="25"/>
      <c r="D1694" s="25"/>
      <c r="E1694" s="25"/>
      <c r="F1694" s="17"/>
      <c r="G1694" s="25"/>
    </row>
    <row r="1695" ht="15">
      <c r="A1695" s="25"/>
      <c r="B1695" s="25"/>
      <c r="C1695" s="25"/>
      <c r="D1695" s="25"/>
      <c r="E1695" s="25"/>
      <c r="F1695" s="17"/>
      <c r="G1695" s="25"/>
    </row>
    <row r="1696" ht="15">
      <c r="A1696" s="25"/>
      <c r="B1696" s="25"/>
      <c r="C1696" s="25"/>
      <c r="D1696" s="25"/>
      <c r="E1696" s="25"/>
      <c r="F1696" s="17"/>
      <c r="G1696" s="25"/>
    </row>
    <row r="1697" ht="15">
      <c r="A1697" s="25"/>
      <c r="B1697" s="25"/>
      <c r="C1697" s="25"/>
      <c r="D1697" s="25"/>
      <c r="E1697" s="25"/>
      <c r="F1697" s="17"/>
      <c r="G1697" s="25"/>
    </row>
    <row r="1698" ht="15">
      <c r="A1698" s="25"/>
      <c r="B1698" s="25"/>
      <c r="C1698" s="25"/>
      <c r="D1698" s="25"/>
      <c r="E1698" s="25"/>
      <c r="F1698" s="17"/>
      <c r="G1698" s="25"/>
    </row>
    <row r="1699" ht="15">
      <c r="A1699" s="25"/>
      <c r="B1699" s="25"/>
      <c r="C1699" s="25"/>
      <c r="D1699" s="25"/>
      <c r="E1699" s="25"/>
      <c r="F1699" s="17"/>
      <c r="G1699" s="25"/>
    </row>
    <row r="1700" ht="15">
      <c r="A1700" s="25"/>
      <c r="B1700" s="25"/>
      <c r="C1700" s="25"/>
      <c r="D1700" s="25"/>
      <c r="E1700" s="25"/>
      <c r="F1700" s="17"/>
      <c r="G1700" s="25"/>
    </row>
    <row r="1701" ht="15">
      <c r="A1701" s="25"/>
      <c r="B1701" s="25"/>
      <c r="C1701" s="25"/>
      <c r="D1701" s="25"/>
      <c r="E1701" s="25"/>
      <c r="F1701" s="17"/>
      <c r="G1701" s="25"/>
    </row>
    <row r="1702" ht="15">
      <c r="A1702" s="25"/>
      <c r="B1702" s="25"/>
      <c r="C1702" s="25"/>
      <c r="D1702" s="25"/>
      <c r="E1702" s="25"/>
      <c r="F1702" s="17"/>
      <c r="G1702" s="25"/>
    </row>
    <row r="1703" ht="15">
      <c r="A1703" s="25"/>
      <c r="B1703" s="25"/>
      <c r="C1703" s="25"/>
      <c r="D1703" s="25"/>
      <c r="E1703" s="25"/>
      <c r="F1703" s="17"/>
      <c r="G1703" s="25"/>
    </row>
    <row r="1704" ht="15">
      <c r="A1704" s="25"/>
      <c r="B1704" s="25"/>
      <c r="C1704" s="25"/>
      <c r="D1704" s="25"/>
      <c r="E1704" s="25"/>
      <c r="F1704" s="17"/>
      <c r="G1704" s="25"/>
    </row>
    <row r="1705" ht="15">
      <c r="A1705" s="25"/>
      <c r="B1705" s="25"/>
      <c r="C1705" s="25"/>
      <c r="D1705" s="25"/>
      <c r="E1705" s="25"/>
      <c r="F1705" s="17"/>
      <c r="G1705" s="25"/>
    </row>
    <row r="1706" ht="15">
      <c r="A1706" s="25"/>
      <c r="B1706" s="25"/>
      <c r="C1706" s="25"/>
      <c r="D1706" s="25"/>
      <c r="E1706" s="25"/>
      <c r="F1706" s="17"/>
      <c r="G1706" s="25"/>
    </row>
    <row r="1707" ht="15">
      <c r="A1707" s="25"/>
      <c r="B1707" s="25"/>
      <c r="C1707" s="25"/>
      <c r="D1707" s="25"/>
      <c r="E1707" s="25"/>
      <c r="F1707" s="17"/>
      <c r="G1707" s="25"/>
    </row>
    <row r="1708" ht="15">
      <c r="A1708" s="25"/>
      <c r="B1708" s="25"/>
      <c r="C1708" s="25"/>
      <c r="D1708" s="25"/>
      <c r="E1708" s="25"/>
      <c r="F1708" s="17"/>
      <c r="G1708" s="25"/>
    </row>
    <row r="1709" ht="15">
      <c r="A1709" s="25"/>
      <c r="B1709" s="25"/>
      <c r="C1709" s="25"/>
      <c r="D1709" s="25"/>
      <c r="E1709" s="25"/>
      <c r="F1709" s="17"/>
      <c r="G1709" s="25"/>
    </row>
    <row r="1710" ht="15">
      <c r="A1710" s="25"/>
      <c r="B1710" s="25"/>
      <c r="C1710" s="25"/>
      <c r="D1710" s="25"/>
      <c r="E1710" s="25"/>
      <c r="F1710" s="17"/>
      <c r="G1710" s="25"/>
    </row>
    <row r="1711" ht="15">
      <c r="A1711" s="25"/>
      <c r="B1711" s="25"/>
      <c r="C1711" s="25"/>
      <c r="D1711" s="25"/>
      <c r="E1711" s="25"/>
      <c r="F1711" s="17"/>
      <c r="G1711" s="25"/>
    </row>
    <row r="1712" ht="15">
      <c r="A1712" s="25"/>
      <c r="B1712" s="25"/>
      <c r="C1712" s="25"/>
      <c r="D1712" s="25"/>
      <c r="E1712" s="25"/>
      <c r="F1712" s="17"/>
      <c r="G1712" s="25"/>
    </row>
    <row r="1713" ht="15">
      <c r="A1713" s="25"/>
      <c r="B1713" s="25"/>
      <c r="C1713" s="25"/>
      <c r="D1713" s="25"/>
      <c r="E1713" s="25"/>
      <c r="F1713" s="17"/>
      <c r="G1713" s="25"/>
    </row>
    <row r="1714" ht="15">
      <c r="A1714" s="25"/>
      <c r="B1714" s="25"/>
      <c r="C1714" s="25"/>
      <c r="D1714" s="25"/>
      <c r="E1714" s="25"/>
      <c r="F1714" s="17"/>
      <c r="G1714" s="25"/>
    </row>
    <row r="1715" ht="15">
      <c r="A1715" s="25"/>
      <c r="B1715" s="25"/>
      <c r="C1715" s="25"/>
      <c r="D1715" s="25"/>
      <c r="E1715" s="25"/>
      <c r="F1715" s="17"/>
      <c r="G1715" s="25"/>
    </row>
    <row r="1716" ht="15">
      <c r="A1716" s="25"/>
      <c r="B1716" s="25"/>
      <c r="C1716" s="25"/>
      <c r="D1716" s="25"/>
      <c r="E1716" s="25"/>
      <c r="F1716" s="17"/>
      <c r="G1716" s="25"/>
    </row>
    <row r="1717" ht="15">
      <c r="A1717" s="25"/>
      <c r="B1717" s="25"/>
      <c r="C1717" s="25"/>
      <c r="D1717" s="25"/>
      <c r="E1717" s="25"/>
      <c r="F1717" s="17"/>
      <c r="G1717" s="25"/>
    </row>
    <row r="1718" ht="15">
      <c r="A1718" s="25"/>
      <c r="B1718" s="25"/>
      <c r="C1718" s="25"/>
      <c r="D1718" s="25"/>
      <c r="E1718" s="25"/>
      <c r="F1718" s="17"/>
      <c r="G1718" s="25"/>
    </row>
    <row r="1719" ht="15">
      <c r="A1719" s="25"/>
      <c r="B1719" s="25"/>
      <c r="C1719" s="25"/>
      <c r="D1719" s="25"/>
      <c r="E1719" s="25"/>
      <c r="F1719" s="17"/>
      <c r="G1719" s="25"/>
    </row>
    <row r="1720" ht="15">
      <c r="A1720" s="25"/>
      <c r="B1720" s="25"/>
      <c r="C1720" s="25"/>
      <c r="D1720" s="25"/>
      <c r="E1720" s="25"/>
      <c r="F1720" s="17"/>
      <c r="G1720" s="25"/>
    </row>
    <row r="1721" ht="15">
      <c r="A1721" s="25"/>
      <c r="B1721" s="25"/>
      <c r="C1721" s="25"/>
      <c r="D1721" s="25"/>
      <c r="E1721" s="25"/>
      <c r="F1721" s="17"/>
      <c r="G1721" s="25"/>
    </row>
    <row r="1722" ht="15">
      <c r="A1722" s="25"/>
      <c r="B1722" s="25"/>
      <c r="C1722" s="25"/>
      <c r="D1722" s="25"/>
      <c r="E1722" s="25"/>
      <c r="F1722" s="17"/>
      <c r="G1722" s="25"/>
    </row>
    <row r="1723" ht="15">
      <c r="A1723" s="25"/>
      <c r="B1723" s="25"/>
      <c r="C1723" s="25"/>
      <c r="D1723" s="25"/>
      <c r="E1723" s="25"/>
      <c r="F1723" s="17"/>
      <c r="G1723" s="25"/>
    </row>
    <row r="1724" ht="15">
      <c r="A1724" s="25"/>
      <c r="B1724" s="25"/>
      <c r="C1724" s="25"/>
      <c r="D1724" s="25"/>
      <c r="E1724" s="25"/>
      <c r="F1724" s="17"/>
      <c r="G1724" s="25"/>
    </row>
    <row r="1725" ht="15">
      <c r="A1725" s="25"/>
      <c r="B1725" s="25"/>
      <c r="C1725" s="25"/>
      <c r="D1725" s="25"/>
      <c r="E1725" s="25"/>
      <c r="F1725" s="17"/>
      <c r="G1725" s="25"/>
    </row>
    <row r="1726" ht="15">
      <c r="A1726" s="25"/>
      <c r="B1726" s="25"/>
      <c r="C1726" s="25"/>
      <c r="D1726" s="25"/>
      <c r="E1726" s="25"/>
      <c r="F1726" s="17"/>
      <c r="G1726" s="25"/>
    </row>
    <row r="1727" ht="15">
      <c r="A1727" s="25"/>
      <c r="B1727" s="25"/>
      <c r="C1727" s="25"/>
      <c r="D1727" s="25"/>
      <c r="E1727" s="25"/>
      <c r="F1727" s="17"/>
      <c r="G1727" s="25"/>
    </row>
    <row r="1728" ht="15">
      <c r="A1728" s="25"/>
      <c r="B1728" s="25"/>
      <c r="C1728" s="25"/>
      <c r="D1728" s="25"/>
      <c r="E1728" s="25"/>
      <c r="F1728" s="17"/>
      <c r="G1728" s="25"/>
    </row>
    <row r="1729" ht="15">
      <c r="A1729" s="25"/>
      <c r="B1729" s="25"/>
      <c r="C1729" s="25"/>
      <c r="D1729" s="25"/>
      <c r="E1729" s="25"/>
      <c r="F1729" s="17"/>
      <c r="G1729" s="25"/>
    </row>
    <row r="1730" ht="15">
      <c r="A1730" s="25"/>
      <c r="B1730" s="25"/>
      <c r="C1730" s="25"/>
      <c r="D1730" s="25"/>
      <c r="E1730" s="25"/>
      <c r="F1730" s="17"/>
      <c r="G1730" s="25"/>
    </row>
    <row r="1731" ht="15">
      <c r="A1731" s="25"/>
      <c r="B1731" s="25"/>
      <c r="C1731" s="25"/>
      <c r="D1731" s="25"/>
      <c r="E1731" s="25"/>
      <c r="F1731" s="17"/>
      <c r="G1731" s="25"/>
    </row>
    <row r="1732" ht="15">
      <c r="A1732" s="25"/>
      <c r="B1732" s="25"/>
      <c r="C1732" s="25"/>
      <c r="D1732" s="25"/>
      <c r="E1732" s="25"/>
      <c r="F1732" s="17"/>
      <c r="G1732" s="25"/>
    </row>
    <row r="1733" ht="15">
      <c r="A1733" s="25"/>
      <c r="B1733" s="25"/>
      <c r="C1733" s="25"/>
      <c r="D1733" s="25"/>
      <c r="E1733" s="25"/>
      <c r="F1733" s="17"/>
      <c r="G1733" s="25"/>
    </row>
    <row r="1734" ht="15">
      <c r="A1734" s="25"/>
      <c r="B1734" s="25"/>
      <c r="C1734" s="25"/>
      <c r="D1734" s="25"/>
      <c r="E1734" s="25"/>
      <c r="F1734" s="17"/>
      <c r="G1734" s="25"/>
    </row>
    <row r="1735" ht="15">
      <c r="A1735" s="25"/>
      <c r="B1735" s="25"/>
      <c r="C1735" s="25"/>
      <c r="D1735" s="25"/>
      <c r="E1735" s="25"/>
      <c r="F1735" s="17"/>
      <c r="G1735" s="25"/>
    </row>
    <row r="1736" ht="15">
      <c r="A1736" s="25"/>
      <c r="B1736" s="25"/>
      <c r="C1736" s="25"/>
      <c r="D1736" s="25"/>
      <c r="E1736" s="25"/>
      <c r="F1736" s="17"/>
      <c r="G1736" s="25"/>
    </row>
    <row r="1737" ht="15">
      <c r="A1737" s="25"/>
      <c r="B1737" s="25"/>
      <c r="C1737" s="25"/>
      <c r="D1737" s="25"/>
      <c r="E1737" s="25"/>
      <c r="F1737" s="17"/>
      <c r="G1737" s="25"/>
    </row>
    <row r="1738" ht="15">
      <c r="A1738" s="25"/>
      <c r="B1738" s="25"/>
      <c r="C1738" s="25"/>
      <c r="D1738" s="25"/>
      <c r="E1738" s="25"/>
      <c r="F1738" s="17"/>
      <c r="G1738" s="25"/>
    </row>
    <row r="1739" ht="15">
      <c r="A1739" s="25"/>
      <c r="B1739" s="25"/>
      <c r="C1739" s="25"/>
      <c r="D1739" s="25"/>
      <c r="E1739" s="25"/>
      <c r="F1739" s="17"/>
      <c r="G1739" s="25"/>
    </row>
    <row r="1740" ht="15">
      <c r="A1740" s="25"/>
      <c r="B1740" s="25"/>
      <c r="C1740" s="25"/>
      <c r="D1740" s="25"/>
      <c r="E1740" s="25"/>
      <c r="F1740" s="17"/>
      <c r="G1740" s="25"/>
    </row>
    <row r="1741" ht="15">
      <c r="A1741" s="25"/>
      <c r="B1741" s="25"/>
      <c r="C1741" s="25"/>
      <c r="D1741" s="25"/>
      <c r="E1741" s="25"/>
      <c r="F1741" s="17"/>
      <c r="G1741" s="25"/>
    </row>
    <row r="1742" ht="15">
      <c r="A1742" s="25"/>
      <c r="B1742" s="25"/>
      <c r="C1742" s="25"/>
      <c r="D1742" s="25"/>
      <c r="E1742" s="25"/>
      <c r="F1742" s="17"/>
      <c r="G1742" s="25"/>
    </row>
    <row r="1743" ht="15">
      <c r="A1743" s="25"/>
      <c r="B1743" s="25"/>
      <c r="C1743" s="25"/>
      <c r="D1743" s="25"/>
      <c r="E1743" s="25"/>
      <c r="F1743" s="17"/>
      <c r="G1743" s="25"/>
    </row>
    <row r="1744" ht="15">
      <c r="A1744" s="25"/>
      <c r="B1744" s="25"/>
      <c r="C1744" s="25"/>
      <c r="D1744" s="25"/>
      <c r="E1744" s="25"/>
      <c r="F1744" s="17"/>
      <c r="G1744" s="25"/>
    </row>
    <row r="1745" ht="15">
      <c r="A1745" s="25"/>
      <c r="B1745" s="25"/>
      <c r="C1745" s="25"/>
      <c r="D1745" s="25"/>
      <c r="E1745" s="25"/>
      <c r="F1745" s="17"/>
      <c r="G1745" s="25"/>
    </row>
    <row r="1746" ht="15">
      <c r="A1746" s="25"/>
      <c r="B1746" s="25"/>
      <c r="C1746" s="25"/>
      <c r="D1746" s="25"/>
      <c r="E1746" s="25"/>
      <c r="F1746" s="17"/>
      <c r="G1746" s="25"/>
    </row>
    <row r="1747" ht="15">
      <c r="A1747" s="25"/>
      <c r="B1747" s="25"/>
      <c r="C1747" s="25"/>
      <c r="D1747" s="25"/>
      <c r="E1747" s="25"/>
      <c r="F1747" s="17"/>
      <c r="G1747" s="25"/>
    </row>
    <row r="1748" ht="15">
      <c r="A1748" s="25"/>
      <c r="B1748" s="25"/>
      <c r="C1748" s="25"/>
      <c r="D1748" s="25"/>
      <c r="E1748" s="25"/>
      <c r="F1748" s="17"/>
      <c r="G1748" s="25"/>
    </row>
    <row r="1749" ht="15">
      <c r="A1749" s="25"/>
      <c r="B1749" s="25"/>
      <c r="C1749" s="25"/>
      <c r="D1749" s="25"/>
      <c r="E1749" s="25"/>
      <c r="F1749" s="17"/>
      <c r="G1749" s="25"/>
    </row>
    <row r="1750" ht="15">
      <c r="A1750" s="25"/>
      <c r="B1750" s="25"/>
      <c r="C1750" s="25"/>
      <c r="D1750" s="25"/>
      <c r="E1750" s="25"/>
      <c r="F1750" s="17"/>
      <c r="G1750" s="25"/>
    </row>
    <row r="1751" ht="15">
      <c r="A1751" s="25"/>
      <c r="B1751" s="25"/>
      <c r="C1751" s="25"/>
      <c r="D1751" s="25"/>
      <c r="E1751" s="25"/>
      <c r="F1751" s="17"/>
      <c r="G1751" s="25"/>
    </row>
    <row r="1752" ht="15">
      <c r="A1752" s="25"/>
      <c r="B1752" s="25"/>
      <c r="C1752" s="25"/>
      <c r="D1752" s="25"/>
      <c r="E1752" s="25"/>
      <c r="F1752" s="17"/>
      <c r="G1752" s="18"/>
      <c r="H1752" s="18"/>
      <c r="I1752" s="18"/>
    </row>
    <row r="1753" ht="15">
      <c r="A1753" s="25"/>
      <c r="B1753" s="25"/>
      <c r="C1753" s="25"/>
      <c r="D1753" s="25"/>
      <c r="E1753" s="25"/>
      <c r="F1753" s="17"/>
      <c r="G1753" s="18"/>
      <c r="H1753" s="18"/>
      <c r="I1753" s="18"/>
    </row>
    <row r="1754" ht="15">
      <c r="A1754" s="25"/>
      <c r="B1754" s="25"/>
      <c r="C1754" s="25"/>
      <c r="D1754" s="25"/>
      <c r="E1754" s="25"/>
      <c r="F1754" s="17"/>
      <c r="G1754" s="18"/>
      <c r="H1754" s="18"/>
      <c r="I1754" s="18"/>
    </row>
    <row r="1755" ht="15">
      <c r="A1755" s="25"/>
      <c r="B1755" s="25"/>
      <c r="C1755" s="25"/>
      <c r="D1755" s="25"/>
      <c r="E1755" s="25"/>
      <c r="F1755" s="17"/>
      <c r="G1755" s="18"/>
      <c r="H1755" s="18"/>
      <c r="I1755" s="18"/>
    </row>
    <row r="1756" ht="15">
      <c r="A1756" s="25"/>
      <c r="B1756" s="25"/>
      <c r="C1756" s="25"/>
      <c r="D1756" s="25"/>
      <c r="E1756" s="25"/>
      <c r="F1756" s="17"/>
      <c r="G1756" s="18"/>
      <c r="H1756" s="18"/>
      <c r="I1756" s="18"/>
    </row>
    <row r="1757" ht="15">
      <c r="A1757" s="25"/>
      <c r="B1757" s="25"/>
      <c r="C1757" s="25"/>
      <c r="D1757" s="25"/>
      <c r="E1757" s="25"/>
      <c r="F1757" s="17"/>
      <c r="G1757" s="18"/>
      <c r="H1757" s="18"/>
      <c r="I1757" s="18"/>
    </row>
    <row r="1758" ht="15">
      <c r="A1758" s="25"/>
      <c r="B1758" s="25"/>
      <c r="C1758" s="25"/>
      <c r="D1758" s="25"/>
      <c r="E1758" s="25"/>
      <c r="F1758" s="17"/>
      <c r="G1758" s="18"/>
      <c r="H1758" s="18"/>
      <c r="I1758" s="18"/>
    </row>
    <row r="1759" ht="15">
      <c r="A1759" s="25"/>
      <c r="B1759" s="25"/>
      <c r="C1759" s="25"/>
      <c r="D1759" s="25"/>
      <c r="E1759" s="25"/>
      <c r="F1759" s="17"/>
      <c r="G1759" s="18"/>
      <c r="H1759" s="18"/>
      <c r="I1759" s="18"/>
    </row>
    <row r="1760" ht="15">
      <c r="A1760" s="25"/>
      <c r="B1760" s="25"/>
      <c r="C1760" s="25"/>
      <c r="D1760" s="25"/>
      <c r="E1760" s="25"/>
      <c r="F1760" s="17"/>
      <c r="G1760" s="18"/>
      <c r="H1760" s="18"/>
      <c r="I1760" s="18"/>
    </row>
    <row r="1761" ht="15">
      <c r="A1761" s="25"/>
      <c r="B1761" s="25"/>
      <c r="C1761" s="25"/>
      <c r="D1761" s="25"/>
      <c r="E1761" s="25"/>
      <c r="F1761" s="17"/>
      <c r="G1761" s="18"/>
      <c r="H1761" s="18"/>
      <c r="I1761" s="18"/>
    </row>
    <row r="1762" ht="15">
      <c r="A1762" s="25"/>
      <c r="B1762" s="25"/>
      <c r="C1762" s="25"/>
      <c r="D1762" s="25"/>
      <c r="E1762" s="25"/>
      <c r="F1762" s="17"/>
      <c r="G1762" s="18"/>
      <c r="H1762" s="18"/>
      <c r="I1762" s="18"/>
    </row>
    <row r="1763" ht="15">
      <c r="A1763" s="25"/>
      <c r="B1763" s="25"/>
      <c r="C1763" s="25"/>
      <c r="D1763" s="25"/>
      <c r="E1763" s="25"/>
      <c r="F1763" s="17"/>
      <c r="G1763" s="18"/>
      <c r="H1763" s="18"/>
      <c r="I1763" s="18"/>
    </row>
    <row r="1764" ht="15">
      <c r="A1764" s="25"/>
      <c r="B1764" s="25"/>
      <c r="C1764" s="25"/>
      <c r="D1764" s="25"/>
      <c r="E1764" s="25"/>
      <c r="F1764" s="17"/>
      <c r="G1764" s="18"/>
      <c r="H1764" s="18"/>
      <c r="I1764" s="18"/>
    </row>
    <row r="1765" ht="15">
      <c r="A1765" s="25"/>
      <c r="B1765" s="25"/>
      <c r="C1765" s="25"/>
      <c r="D1765" s="25"/>
      <c r="E1765" s="25"/>
      <c r="F1765" s="17"/>
      <c r="G1765" s="18"/>
      <c r="H1765" s="18"/>
      <c r="I1765" s="18"/>
    </row>
    <row r="1766" ht="15">
      <c r="A1766" s="25"/>
      <c r="B1766" s="25"/>
      <c r="C1766" s="25"/>
      <c r="D1766" s="25"/>
      <c r="E1766" s="25"/>
      <c r="F1766" s="17"/>
      <c r="G1766" s="18"/>
      <c r="H1766" s="18"/>
      <c r="I1766" s="18"/>
    </row>
    <row r="1767" ht="15">
      <c r="A1767" s="25"/>
      <c r="B1767" s="25"/>
      <c r="C1767" s="25"/>
      <c r="D1767" s="25"/>
      <c r="E1767" s="25"/>
      <c r="F1767" s="17"/>
      <c r="G1767" s="18"/>
      <c r="H1767" s="18"/>
      <c r="I1767" s="18"/>
    </row>
    <row r="1768" ht="15">
      <c r="A1768" s="25"/>
      <c r="B1768" s="25"/>
      <c r="C1768" s="25"/>
      <c r="D1768" s="25"/>
      <c r="E1768" s="25"/>
      <c r="F1768" s="17"/>
      <c r="G1768" s="18"/>
      <c r="H1768" s="18"/>
      <c r="I1768" s="18"/>
    </row>
    <row r="1769" ht="15">
      <c r="A1769" s="25"/>
      <c r="B1769" s="25"/>
      <c r="C1769" s="25"/>
      <c r="D1769" s="25"/>
      <c r="E1769" s="25"/>
      <c r="F1769" s="17"/>
      <c r="G1769" s="18"/>
      <c r="H1769" s="18"/>
      <c r="I1769" s="18"/>
    </row>
    <row r="1770" ht="15">
      <c r="A1770" s="25"/>
      <c r="B1770" s="25"/>
      <c r="C1770" s="25"/>
      <c r="D1770" s="25"/>
      <c r="E1770" s="25"/>
      <c r="F1770" s="17"/>
      <c r="G1770" s="18"/>
      <c r="H1770" s="18"/>
      <c r="I1770" s="18"/>
    </row>
    <row r="1771" ht="15">
      <c r="A1771" s="25"/>
      <c r="B1771" s="25"/>
      <c r="C1771" s="25"/>
      <c r="D1771" s="25"/>
      <c r="E1771" s="25"/>
      <c r="F1771" s="17"/>
      <c r="G1771" s="18"/>
      <c r="H1771" s="18"/>
      <c r="I1771" s="18"/>
    </row>
    <row r="1772" ht="15">
      <c r="A1772" s="25"/>
      <c r="B1772" s="25"/>
      <c r="C1772" s="25"/>
      <c r="D1772" s="25"/>
      <c r="E1772" s="25"/>
      <c r="F1772" s="17"/>
      <c r="G1772" s="18"/>
      <c r="H1772" s="18"/>
      <c r="I1772" s="18"/>
    </row>
    <row r="1773" ht="15">
      <c r="A1773" s="25"/>
      <c r="B1773" s="25"/>
      <c r="C1773" s="25"/>
      <c r="D1773" s="25"/>
      <c r="E1773" s="25"/>
      <c r="F1773" s="17"/>
      <c r="G1773" s="18"/>
      <c r="H1773" s="18"/>
      <c r="I1773" s="18"/>
    </row>
    <row r="1774" ht="15">
      <c r="A1774" s="25"/>
      <c r="B1774" s="25"/>
      <c r="C1774" s="25"/>
      <c r="D1774" s="25"/>
      <c r="E1774" s="25"/>
      <c r="F1774" s="17"/>
      <c r="G1774" s="18"/>
      <c r="H1774" s="18"/>
      <c r="I1774" s="18"/>
    </row>
    <row r="1775" ht="15">
      <c r="A1775" s="25"/>
      <c r="B1775" s="25"/>
      <c r="C1775" s="25"/>
      <c r="D1775" s="25"/>
      <c r="E1775" s="25"/>
      <c r="F1775" s="17"/>
      <c r="G1775" s="18"/>
      <c r="H1775" s="18"/>
      <c r="I1775" s="18"/>
    </row>
    <row r="1776" ht="15">
      <c r="A1776" s="25"/>
      <c r="B1776" s="25"/>
      <c r="C1776" s="25"/>
      <c r="D1776" s="25"/>
      <c r="E1776" s="25"/>
      <c r="F1776" s="17"/>
      <c r="G1776" s="18"/>
      <c r="H1776" s="18"/>
      <c r="I1776" s="18"/>
    </row>
    <row r="1777" ht="15">
      <c r="A1777" s="25"/>
      <c r="B1777" s="25"/>
      <c r="C1777" s="25"/>
      <c r="D1777" s="25"/>
      <c r="E1777" s="25"/>
      <c r="F1777" s="17"/>
      <c r="G1777" s="18"/>
      <c r="H1777" s="18"/>
      <c r="I1777" s="18"/>
    </row>
    <row r="1778" ht="15">
      <c r="A1778" s="25"/>
      <c r="B1778" s="25"/>
      <c r="C1778" s="25"/>
      <c r="D1778" s="25"/>
      <c r="E1778" s="25"/>
      <c r="F1778" s="17"/>
      <c r="G1778" s="18"/>
      <c r="H1778" s="18"/>
      <c r="I1778" s="18"/>
    </row>
    <row r="1779" ht="15">
      <c r="A1779" s="25"/>
      <c r="B1779" s="25"/>
      <c r="C1779" s="25"/>
      <c r="D1779" s="25"/>
      <c r="E1779" s="25"/>
      <c r="F1779" s="17"/>
      <c r="G1779" s="18"/>
      <c r="H1779" s="18"/>
      <c r="I1779" s="18"/>
    </row>
    <row r="1780" ht="15">
      <c r="A1780" s="25"/>
      <c r="B1780" s="25"/>
      <c r="C1780" s="25"/>
      <c r="D1780" s="25"/>
      <c r="E1780" s="25"/>
      <c r="F1780" s="17"/>
      <c r="G1780" s="18"/>
      <c r="H1780" s="18"/>
      <c r="I1780" s="18"/>
    </row>
    <row r="1781" ht="15">
      <c r="A1781" s="25"/>
      <c r="B1781" s="25"/>
      <c r="C1781" s="25"/>
      <c r="D1781" s="25"/>
      <c r="E1781" s="25"/>
      <c r="F1781" s="17"/>
      <c r="G1781" s="18"/>
      <c r="H1781" s="18"/>
      <c r="I1781" s="18"/>
    </row>
    <row r="1782" ht="15">
      <c r="A1782" s="25"/>
      <c r="B1782" s="25"/>
      <c r="C1782" s="25"/>
      <c r="D1782" s="25"/>
      <c r="E1782" s="25"/>
      <c r="F1782" s="17"/>
      <c r="G1782" s="18"/>
      <c r="H1782" s="18"/>
      <c r="I1782" s="18"/>
    </row>
    <row r="1783" ht="15">
      <c r="A1783" s="25"/>
      <c r="B1783" s="25"/>
      <c r="C1783" s="25"/>
      <c r="D1783" s="25"/>
      <c r="E1783" s="25"/>
      <c r="F1783" s="17"/>
      <c r="G1783" s="18"/>
      <c r="H1783" s="18"/>
      <c r="I1783" s="18"/>
    </row>
    <row r="1784" ht="15">
      <c r="A1784" s="25"/>
      <c r="B1784" s="25"/>
      <c r="C1784" s="25"/>
      <c r="D1784" s="25"/>
      <c r="E1784" s="25"/>
      <c r="F1784" s="17"/>
      <c r="G1784" s="18"/>
      <c r="H1784" s="18"/>
      <c r="I1784" s="18"/>
    </row>
    <row r="1785" ht="15">
      <c r="A1785" s="25"/>
      <c r="B1785" s="25"/>
      <c r="C1785" s="25"/>
      <c r="D1785" s="25"/>
      <c r="E1785" s="25"/>
      <c r="F1785" s="17"/>
      <c r="G1785" s="18"/>
      <c r="H1785" s="18"/>
      <c r="I1785" s="18"/>
    </row>
    <row r="1786" ht="15">
      <c r="A1786" s="25"/>
      <c r="B1786" s="25"/>
      <c r="C1786" s="25"/>
      <c r="D1786" s="25"/>
      <c r="E1786" s="25"/>
      <c r="F1786" s="17"/>
      <c r="G1786" s="18"/>
      <c r="H1786" s="18"/>
      <c r="I1786" s="18"/>
    </row>
    <row r="1787" ht="15">
      <c r="A1787" s="25"/>
      <c r="B1787" s="25"/>
      <c r="C1787" s="25"/>
      <c r="D1787" s="25"/>
      <c r="E1787" s="25"/>
      <c r="F1787" s="17"/>
      <c r="G1787" s="18"/>
      <c r="H1787" s="18"/>
      <c r="I1787" s="18"/>
    </row>
    <row r="1788" ht="15">
      <c r="A1788" s="25"/>
      <c r="B1788" s="25"/>
      <c r="C1788" s="25"/>
      <c r="D1788" s="25"/>
      <c r="E1788" s="25"/>
      <c r="F1788" s="17"/>
      <c r="G1788" s="18"/>
      <c r="H1788" s="18"/>
      <c r="I1788" s="18"/>
    </row>
    <row r="1789" ht="15">
      <c r="A1789" s="25"/>
      <c r="B1789" s="25"/>
      <c r="C1789" s="25"/>
      <c r="D1789" s="25"/>
      <c r="E1789" s="25"/>
      <c r="F1789" s="17"/>
      <c r="G1789" s="18"/>
      <c r="H1789" s="18"/>
      <c r="I1789" s="18"/>
    </row>
    <row r="1790" ht="15">
      <c r="A1790" s="25"/>
      <c r="B1790" s="25"/>
      <c r="C1790" s="25"/>
      <c r="D1790" s="25"/>
      <c r="E1790" s="25"/>
      <c r="F1790" s="17"/>
      <c r="G1790" s="18"/>
      <c r="H1790" s="18"/>
      <c r="I1790" s="18"/>
    </row>
    <row r="1791" ht="15">
      <c r="A1791" s="25"/>
      <c r="B1791" s="25"/>
      <c r="C1791" s="25"/>
      <c r="D1791" s="25"/>
      <c r="E1791" s="25"/>
      <c r="F1791" s="17"/>
      <c r="G1791" s="18"/>
      <c r="H1791" s="18"/>
      <c r="I1791" s="18"/>
    </row>
    <row r="1792" ht="15">
      <c r="A1792" s="25"/>
      <c r="B1792" s="25"/>
      <c r="C1792" s="25"/>
      <c r="D1792" s="25"/>
      <c r="E1792" s="25"/>
      <c r="F1792" s="17"/>
      <c r="G1792" s="18"/>
      <c r="H1792" s="18"/>
      <c r="I1792" s="18"/>
    </row>
    <row r="1793" ht="15">
      <c r="A1793" s="25"/>
      <c r="B1793" s="25"/>
      <c r="C1793" s="25"/>
      <c r="D1793" s="25"/>
      <c r="E1793" s="25"/>
      <c r="F1793" s="17"/>
      <c r="G1793" s="18"/>
      <c r="H1793" s="18"/>
      <c r="I1793" s="18"/>
    </row>
    <row r="1794" ht="15">
      <c r="A1794" s="25"/>
      <c r="B1794" s="25"/>
      <c r="C1794" s="25"/>
      <c r="D1794" s="25"/>
      <c r="E1794" s="25"/>
      <c r="F1794" s="17"/>
      <c r="G1794" s="18"/>
      <c r="H1794" s="18"/>
      <c r="I1794" s="18"/>
    </row>
    <row r="1795" ht="15">
      <c r="A1795" s="25"/>
      <c r="B1795" s="25"/>
      <c r="C1795" s="25"/>
      <c r="D1795" s="25"/>
      <c r="E1795" s="25"/>
      <c r="F1795" s="17"/>
      <c r="G1795" s="18"/>
      <c r="H1795" s="18"/>
      <c r="I1795" s="18"/>
    </row>
    <row r="1796" ht="15">
      <c r="A1796" s="25"/>
      <c r="B1796" s="25"/>
      <c r="C1796" s="25"/>
      <c r="D1796" s="25"/>
      <c r="E1796" s="25"/>
      <c r="F1796" s="17"/>
      <c r="G1796" s="18"/>
      <c r="H1796" s="18"/>
      <c r="I1796" s="18"/>
    </row>
    <row r="1797" ht="15">
      <c r="A1797" s="25"/>
      <c r="B1797" s="25"/>
      <c r="C1797" s="25"/>
      <c r="D1797" s="25"/>
      <c r="E1797" s="25"/>
      <c r="F1797" s="17"/>
      <c r="G1797" s="18"/>
      <c r="H1797" s="18"/>
      <c r="I1797" s="18"/>
    </row>
    <row r="1798" ht="15">
      <c r="A1798" s="25"/>
      <c r="B1798" s="25"/>
      <c r="C1798" s="25"/>
      <c r="D1798" s="25"/>
      <c r="E1798" s="25"/>
      <c r="F1798" s="17"/>
      <c r="G1798" s="18"/>
      <c r="H1798" s="18"/>
      <c r="I1798" s="18"/>
    </row>
    <row r="1799" ht="15">
      <c r="A1799" s="25"/>
      <c r="B1799" s="25"/>
      <c r="C1799" s="25"/>
      <c r="D1799" s="25"/>
      <c r="E1799" s="25"/>
      <c r="F1799" s="17"/>
      <c r="G1799" s="18"/>
      <c r="H1799" s="18"/>
      <c r="I1799" s="18"/>
    </row>
    <row r="1800" ht="15">
      <c r="A1800" s="25"/>
      <c r="B1800" s="25"/>
      <c r="C1800" s="25"/>
      <c r="D1800" s="25"/>
      <c r="E1800" s="25"/>
      <c r="F1800" s="17"/>
      <c r="G1800" s="18"/>
      <c r="H1800" s="18"/>
      <c r="I1800" s="18"/>
    </row>
    <row r="1801" ht="15">
      <c r="A1801" s="25"/>
      <c r="B1801" s="25"/>
      <c r="C1801" s="25"/>
      <c r="D1801" s="25"/>
      <c r="E1801" s="25"/>
      <c r="F1801" s="17"/>
      <c r="G1801" s="18"/>
      <c r="H1801" s="18"/>
      <c r="I1801" s="18"/>
    </row>
    <row r="1802" ht="15">
      <c r="A1802" s="25"/>
      <c r="B1802" s="25"/>
      <c r="C1802" s="25"/>
      <c r="D1802" s="25"/>
      <c r="E1802" s="25"/>
      <c r="F1802" s="17"/>
      <c r="G1802" s="18"/>
      <c r="H1802" s="18"/>
      <c r="I1802" s="18"/>
    </row>
    <row r="1803" ht="15">
      <c r="A1803" s="25"/>
      <c r="B1803" s="25"/>
      <c r="C1803" s="25"/>
      <c r="D1803" s="25"/>
      <c r="E1803" s="25"/>
      <c r="F1803" s="17"/>
      <c r="G1803" s="18"/>
      <c r="H1803" s="18"/>
      <c r="I1803" s="18"/>
    </row>
    <row r="1804" ht="15">
      <c r="A1804" s="25"/>
      <c r="B1804" s="25"/>
      <c r="C1804" s="25"/>
      <c r="D1804" s="25"/>
      <c r="E1804" s="25"/>
      <c r="F1804" s="17"/>
      <c r="G1804" s="18"/>
      <c r="H1804" s="18"/>
      <c r="I1804" s="18"/>
    </row>
    <row r="1805" ht="15">
      <c r="A1805" s="25"/>
      <c r="B1805" s="25"/>
      <c r="C1805" s="25"/>
      <c r="D1805" s="25"/>
      <c r="E1805" s="25"/>
      <c r="F1805" s="17"/>
      <c r="G1805" s="18"/>
      <c r="H1805" s="18"/>
      <c r="I1805" s="18"/>
    </row>
    <row r="1806" ht="15">
      <c r="A1806" s="25"/>
      <c r="B1806" s="25"/>
      <c r="C1806" s="25"/>
      <c r="D1806" s="25"/>
      <c r="E1806" s="25"/>
      <c r="F1806" s="17"/>
      <c r="G1806" s="18"/>
      <c r="H1806" s="18"/>
      <c r="I1806" s="18"/>
    </row>
    <row r="1807" ht="15">
      <c r="A1807" s="25"/>
      <c r="B1807" s="25"/>
      <c r="C1807" s="25"/>
      <c r="D1807" s="25"/>
      <c r="E1807" s="25"/>
      <c r="F1807" s="17"/>
      <c r="G1807" s="18"/>
      <c r="H1807" s="18"/>
      <c r="I1807" s="18"/>
    </row>
    <row r="1808" ht="15">
      <c r="A1808" s="25"/>
      <c r="B1808" s="25"/>
      <c r="C1808" s="25"/>
      <c r="D1808" s="25"/>
      <c r="E1808" s="25"/>
      <c r="F1808" s="17"/>
      <c r="G1808" s="18"/>
      <c r="H1808" s="18"/>
      <c r="I1808" s="18"/>
    </row>
    <row r="1809" ht="15">
      <c r="A1809" s="25"/>
      <c r="B1809" s="25"/>
      <c r="C1809" s="25"/>
      <c r="D1809" s="25"/>
      <c r="E1809" s="25"/>
      <c r="F1809" s="17"/>
      <c r="G1809" s="18"/>
      <c r="H1809" s="18"/>
      <c r="I1809" s="18"/>
    </row>
    <row r="1810" ht="15">
      <c r="A1810" s="25"/>
      <c r="B1810" s="25"/>
      <c r="C1810" s="25"/>
      <c r="D1810" s="25"/>
      <c r="E1810" s="25"/>
      <c r="F1810" s="17"/>
      <c r="G1810" s="18"/>
      <c r="H1810" s="18"/>
      <c r="I1810" s="18"/>
    </row>
    <row r="1811" ht="15">
      <c r="A1811" s="25"/>
      <c r="B1811" s="25"/>
      <c r="C1811" s="25"/>
      <c r="D1811" s="25"/>
      <c r="E1811" s="25"/>
      <c r="F1811" s="17"/>
      <c r="G1811" s="18"/>
      <c r="H1811" s="18"/>
      <c r="I1811" s="18"/>
    </row>
    <row r="1812" ht="15">
      <c r="A1812" s="25"/>
      <c r="B1812" s="25"/>
      <c r="C1812" s="25"/>
      <c r="D1812" s="25"/>
      <c r="E1812" s="25"/>
      <c r="F1812" s="17"/>
      <c r="G1812" s="18"/>
      <c r="H1812" s="18"/>
      <c r="I1812" s="18"/>
    </row>
    <row r="1813" ht="15">
      <c r="A1813" s="25"/>
      <c r="B1813" s="25"/>
      <c r="C1813" s="25"/>
      <c r="D1813" s="25"/>
      <c r="E1813" s="25"/>
      <c r="F1813" s="17"/>
      <c r="G1813" s="18"/>
      <c r="H1813" s="18"/>
      <c r="I1813" s="18"/>
    </row>
    <row r="1814" ht="15">
      <c r="A1814" s="25"/>
      <c r="B1814" s="25"/>
      <c r="C1814" s="25"/>
      <c r="D1814" s="25"/>
      <c r="E1814" s="25"/>
      <c r="F1814" s="17"/>
      <c r="G1814" s="18"/>
      <c r="H1814" s="18"/>
      <c r="I1814" s="18"/>
    </row>
    <row r="1815" ht="15">
      <c r="A1815" s="25"/>
      <c r="B1815" s="25"/>
      <c r="C1815" s="25"/>
      <c r="D1815" s="25"/>
      <c r="E1815" s="25"/>
      <c r="F1815" s="17"/>
      <c r="G1815" s="18"/>
      <c r="H1815" s="18"/>
      <c r="I1815" s="18"/>
    </row>
    <row r="1816" ht="15">
      <c r="A1816" s="25"/>
      <c r="B1816" s="25"/>
      <c r="C1816" s="25"/>
      <c r="D1816" s="25"/>
      <c r="E1816" s="25"/>
      <c r="F1816" s="17"/>
      <c r="G1816" s="18"/>
      <c r="H1816" s="18"/>
      <c r="I1816" s="18"/>
    </row>
    <row r="1817" ht="15">
      <c r="A1817" s="25"/>
      <c r="B1817" s="25"/>
      <c r="C1817" s="25"/>
      <c r="D1817" s="25"/>
      <c r="E1817" s="25"/>
      <c r="F1817" s="17"/>
      <c r="G1817" s="18"/>
      <c r="H1817" s="18"/>
      <c r="I1817" s="18"/>
    </row>
    <row r="1818" ht="15">
      <c r="A1818" s="25"/>
      <c r="B1818" s="25"/>
      <c r="C1818" s="25"/>
      <c r="D1818" s="25"/>
      <c r="E1818" s="25"/>
      <c r="F1818" s="17"/>
      <c r="G1818" s="18"/>
      <c r="H1818" s="18"/>
      <c r="I1818" s="18"/>
    </row>
    <row r="1819" ht="15">
      <c r="A1819" s="25"/>
      <c r="B1819" s="25"/>
      <c r="C1819" s="25"/>
      <c r="D1819" s="25"/>
      <c r="E1819" s="25"/>
      <c r="F1819" s="17"/>
      <c r="G1819" s="18"/>
      <c r="H1819" s="18"/>
      <c r="I1819" s="18"/>
    </row>
    <row r="1820" ht="15">
      <c r="A1820" s="25"/>
      <c r="B1820" s="25"/>
      <c r="C1820" s="25"/>
      <c r="D1820" s="25"/>
      <c r="E1820" s="25"/>
      <c r="F1820" s="17"/>
      <c r="G1820" s="18"/>
      <c r="H1820" s="18"/>
      <c r="I1820" s="18"/>
    </row>
    <row r="1821" ht="15">
      <c r="A1821" s="25"/>
      <c r="B1821" s="25"/>
      <c r="C1821" s="25"/>
      <c r="D1821" s="25"/>
      <c r="E1821" s="25"/>
      <c r="F1821" s="17"/>
      <c r="G1821" s="18"/>
      <c r="H1821" s="18"/>
      <c r="I1821" s="18"/>
    </row>
    <row r="1822" ht="15">
      <c r="A1822" s="25"/>
      <c r="B1822" s="25"/>
      <c r="C1822" s="25"/>
      <c r="D1822" s="25"/>
      <c r="E1822" s="25"/>
      <c r="F1822" s="17"/>
      <c r="G1822" s="18"/>
      <c r="H1822" s="18"/>
      <c r="I1822" s="18"/>
    </row>
    <row r="1823" ht="15">
      <c r="A1823" s="25"/>
      <c r="B1823" s="25"/>
      <c r="C1823" s="25"/>
      <c r="D1823" s="25"/>
      <c r="E1823" s="25"/>
      <c r="F1823" s="17"/>
      <c r="G1823" s="18"/>
      <c r="H1823" s="18"/>
      <c r="I1823" s="18"/>
    </row>
    <row r="1824" ht="15">
      <c r="A1824" s="25"/>
      <c r="B1824" s="25"/>
      <c r="C1824" s="25"/>
      <c r="D1824" s="25"/>
      <c r="E1824" s="25"/>
      <c r="F1824" s="17"/>
      <c r="G1824" s="18"/>
      <c r="H1824" s="18"/>
      <c r="I1824" s="18"/>
    </row>
    <row r="1825" ht="15">
      <c r="A1825" s="25"/>
      <c r="B1825" s="25"/>
      <c r="C1825" s="25"/>
      <c r="D1825" s="25"/>
      <c r="E1825" s="25"/>
      <c r="F1825" s="17"/>
      <c r="G1825" s="18"/>
      <c r="H1825" s="18"/>
      <c r="I1825" s="18"/>
    </row>
    <row r="1826" ht="15">
      <c r="A1826" s="25"/>
      <c r="B1826" s="25"/>
      <c r="C1826" s="25"/>
      <c r="D1826" s="25"/>
      <c r="E1826" s="25"/>
      <c r="F1826" s="17"/>
      <c r="G1826" s="18"/>
      <c r="H1826" s="18"/>
      <c r="I1826" s="18"/>
    </row>
    <row r="1827" ht="15">
      <c r="A1827" s="25"/>
      <c r="B1827" s="25"/>
      <c r="C1827" s="25"/>
      <c r="D1827" s="25"/>
      <c r="E1827" s="25"/>
      <c r="F1827" s="17"/>
      <c r="G1827" s="18"/>
      <c r="H1827" s="18"/>
      <c r="I1827" s="18"/>
    </row>
    <row r="1828" ht="15">
      <c r="A1828" s="25"/>
      <c r="B1828" s="25"/>
      <c r="C1828" s="25"/>
      <c r="D1828" s="25"/>
      <c r="E1828" s="25"/>
      <c r="F1828" s="17"/>
      <c r="G1828" s="18"/>
      <c r="H1828" s="18"/>
      <c r="I1828" s="18"/>
    </row>
    <row r="1829" ht="15">
      <c r="A1829" s="25"/>
      <c r="B1829" s="25"/>
      <c r="C1829" s="25"/>
      <c r="D1829" s="25"/>
      <c r="E1829" s="25"/>
      <c r="F1829" s="17"/>
      <c r="G1829" s="18"/>
      <c r="H1829" s="18"/>
      <c r="I1829" s="18"/>
    </row>
    <row r="1830" ht="15">
      <c r="A1830" s="25"/>
      <c r="B1830" s="25"/>
      <c r="C1830" s="25"/>
      <c r="D1830" s="25"/>
      <c r="E1830" s="25"/>
      <c r="F1830" s="17"/>
      <c r="G1830" s="18"/>
      <c r="H1830" s="18"/>
      <c r="I1830" s="18"/>
    </row>
    <row r="1831" ht="15">
      <c r="A1831" s="25"/>
      <c r="B1831" s="25"/>
      <c r="C1831" s="25"/>
      <c r="D1831" s="25"/>
      <c r="E1831" s="25"/>
      <c r="F1831" s="17"/>
      <c r="G1831" s="18"/>
      <c r="H1831" s="18"/>
      <c r="I1831" s="18"/>
    </row>
    <row r="1832" ht="15">
      <c r="A1832" s="25"/>
      <c r="B1832" s="25"/>
      <c r="C1832" s="25"/>
      <c r="D1832" s="25"/>
      <c r="E1832" s="25"/>
      <c r="F1832" s="17"/>
      <c r="G1832" s="18"/>
      <c r="H1832" s="18"/>
      <c r="I1832" s="18"/>
    </row>
    <row r="1833" ht="15">
      <c r="A1833" s="25"/>
      <c r="B1833" s="25"/>
      <c r="C1833" s="25"/>
      <c r="D1833" s="25"/>
      <c r="E1833" s="25"/>
      <c r="F1833" s="17"/>
      <c r="G1833" s="18"/>
      <c r="H1833" s="18"/>
      <c r="I1833" s="18"/>
    </row>
    <row r="1834" ht="15">
      <c r="A1834" s="25"/>
      <c r="B1834" s="25"/>
      <c r="C1834" s="25"/>
      <c r="D1834" s="25"/>
      <c r="E1834" s="25"/>
      <c r="F1834" s="17"/>
      <c r="G1834" s="18"/>
      <c r="H1834" s="18"/>
      <c r="I1834" s="18"/>
    </row>
    <row r="1835" ht="15">
      <c r="A1835" s="25"/>
      <c r="B1835" s="25"/>
      <c r="C1835" s="25"/>
      <c r="D1835" s="25"/>
      <c r="E1835" s="25"/>
      <c r="F1835" s="17"/>
      <c r="G1835" s="18"/>
      <c r="H1835" s="18"/>
      <c r="I1835" s="18"/>
    </row>
    <row r="1836" ht="15">
      <c r="A1836" s="25"/>
      <c r="B1836" s="25"/>
      <c r="C1836" s="25"/>
      <c r="D1836" s="25"/>
      <c r="E1836" s="25"/>
      <c r="F1836" s="17"/>
      <c r="G1836" s="18"/>
      <c r="H1836" s="18"/>
      <c r="I1836" s="18"/>
    </row>
    <row r="1837" ht="15">
      <c r="A1837" s="25"/>
      <c r="B1837" s="25"/>
      <c r="C1837" s="25"/>
      <c r="D1837" s="25"/>
      <c r="E1837" s="25"/>
      <c r="F1837" s="17"/>
      <c r="G1837" s="18"/>
      <c r="H1837" s="18"/>
      <c r="I1837" s="18"/>
    </row>
    <row r="1838" ht="15">
      <c r="A1838" s="25"/>
      <c r="B1838" s="25"/>
      <c r="C1838" s="25"/>
      <c r="D1838" s="25"/>
      <c r="E1838" s="25"/>
      <c r="F1838" s="17"/>
      <c r="G1838" s="18"/>
      <c r="H1838" s="18"/>
      <c r="I1838" s="18"/>
    </row>
    <row r="1839" ht="15">
      <c r="A1839" s="25"/>
      <c r="B1839" s="25"/>
      <c r="C1839" s="25"/>
      <c r="D1839" s="25"/>
      <c r="E1839" s="25"/>
      <c r="F1839" s="17"/>
      <c r="G1839" s="18"/>
      <c r="H1839" s="18"/>
      <c r="I1839" s="18"/>
    </row>
    <row r="1840" ht="15">
      <c r="A1840" s="25"/>
      <c r="B1840" s="25"/>
      <c r="C1840" s="25"/>
      <c r="D1840" s="25"/>
      <c r="E1840" s="25"/>
      <c r="F1840" s="17"/>
      <c r="G1840" s="18"/>
      <c r="H1840" s="18"/>
      <c r="I1840" s="18"/>
    </row>
    <row r="1841" ht="15">
      <c r="A1841" s="25"/>
      <c r="B1841" s="25"/>
      <c r="C1841" s="25"/>
      <c r="D1841" s="25"/>
      <c r="E1841" s="25"/>
      <c r="F1841" s="17"/>
      <c r="G1841" s="18"/>
      <c r="H1841" s="18"/>
      <c r="I1841" s="18"/>
    </row>
    <row r="1842" ht="15">
      <c r="A1842" s="25"/>
      <c r="B1842" s="25"/>
      <c r="C1842" s="25"/>
      <c r="D1842" s="25"/>
      <c r="E1842" s="25"/>
      <c r="F1842" s="17"/>
      <c r="G1842" s="18"/>
      <c r="H1842" s="18"/>
      <c r="I1842" s="18"/>
    </row>
    <row r="1843" ht="15">
      <c r="A1843" s="25"/>
      <c r="B1843" s="25"/>
      <c r="C1843" s="25"/>
      <c r="D1843" s="25"/>
      <c r="E1843" s="25"/>
      <c r="F1843" s="17"/>
      <c r="G1843" s="18"/>
      <c r="H1843" s="18"/>
      <c r="I1843" s="18"/>
    </row>
    <row r="1844" ht="15">
      <c r="A1844" s="25"/>
      <c r="B1844" s="25"/>
      <c r="C1844" s="25"/>
      <c r="D1844" s="25"/>
      <c r="E1844" s="25"/>
      <c r="F1844" s="17"/>
      <c r="G1844" s="18"/>
      <c r="H1844" s="18"/>
      <c r="I1844" s="18"/>
    </row>
    <row r="1845" ht="15">
      <c r="A1845" s="25"/>
      <c r="B1845" s="25"/>
      <c r="C1845" s="25"/>
      <c r="D1845" s="25"/>
      <c r="E1845" s="25"/>
      <c r="F1845" s="17"/>
      <c r="G1845" s="18"/>
      <c r="H1845" s="18"/>
      <c r="I1845" s="18"/>
    </row>
    <row r="1846" ht="15">
      <c r="A1846" s="25"/>
      <c r="B1846" s="25"/>
      <c r="C1846" s="25"/>
      <c r="D1846" s="25"/>
      <c r="E1846" s="25"/>
      <c r="F1846" s="17"/>
      <c r="G1846" s="18"/>
      <c r="H1846" s="18"/>
      <c r="I1846" s="18"/>
    </row>
    <row r="1847" ht="15">
      <c r="A1847" s="25"/>
      <c r="B1847" s="25"/>
      <c r="C1847" s="25"/>
      <c r="D1847" s="25"/>
      <c r="E1847" s="25"/>
      <c r="F1847" s="17"/>
      <c r="G1847" s="18"/>
      <c r="H1847" s="18"/>
      <c r="I1847" s="18"/>
    </row>
    <row r="1848" ht="15">
      <c r="A1848" s="25"/>
      <c r="B1848" s="25"/>
      <c r="C1848" s="25"/>
      <c r="D1848" s="25"/>
      <c r="E1848" s="25"/>
      <c r="F1848" s="17"/>
      <c r="G1848" s="18"/>
      <c r="H1848" s="18"/>
      <c r="I1848" s="18"/>
    </row>
    <row r="1849" ht="15">
      <c r="A1849" s="25"/>
      <c r="B1849" s="25"/>
      <c r="C1849" s="25"/>
      <c r="D1849" s="25"/>
      <c r="E1849" s="25"/>
      <c r="F1849" s="17"/>
      <c r="G1849" s="18"/>
      <c r="H1849" s="18"/>
      <c r="I1849" s="18"/>
    </row>
    <row r="1850" ht="15">
      <c r="A1850" s="25"/>
      <c r="B1850" s="25"/>
      <c r="C1850" s="25"/>
      <c r="D1850" s="25"/>
      <c r="E1850" s="25"/>
      <c r="F1850" s="17"/>
      <c r="G1850" s="18"/>
      <c r="H1850" s="18"/>
      <c r="I1850" s="18"/>
    </row>
    <row r="1851" ht="15">
      <c r="A1851" s="25"/>
      <c r="B1851" s="25"/>
      <c r="C1851" s="25"/>
      <c r="D1851" s="25"/>
      <c r="E1851" s="25"/>
      <c r="F1851" s="17"/>
      <c r="G1851" s="18"/>
      <c r="H1851" s="18"/>
      <c r="I1851" s="18"/>
    </row>
    <row r="1852" ht="15">
      <c r="A1852" s="25"/>
      <c r="B1852" s="25"/>
      <c r="C1852" s="25"/>
      <c r="D1852" s="25"/>
      <c r="E1852" s="25"/>
      <c r="F1852" s="17"/>
      <c r="G1852" s="18"/>
      <c r="H1852" s="18"/>
      <c r="I1852" s="18"/>
    </row>
    <row r="1853" ht="15">
      <c r="A1853" s="25"/>
      <c r="B1853" s="25"/>
      <c r="C1853" s="25"/>
      <c r="D1853" s="25"/>
      <c r="E1853" s="25"/>
      <c r="F1853" s="17"/>
      <c r="G1853" s="18"/>
      <c r="H1853" s="18"/>
      <c r="I1853" s="18"/>
    </row>
    <row r="1854" ht="15">
      <c r="A1854" s="25"/>
      <c r="B1854" s="25"/>
      <c r="C1854" s="25"/>
      <c r="D1854" s="25"/>
      <c r="E1854" s="25"/>
      <c r="F1854" s="17"/>
      <c r="G1854" s="18"/>
      <c r="H1854" s="18"/>
      <c r="I1854" s="18"/>
    </row>
    <row r="1855" ht="15">
      <c r="A1855" s="25"/>
      <c r="B1855" s="25"/>
      <c r="C1855" s="25"/>
      <c r="D1855" s="25"/>
      <c r="E1855" s="25"/>
      <c r="F1855" s="17"/>
      <c r="G1855" s="18"/>
      <c r="H1855" s="18"/>
      <c r="I1855" s="18"/>
    </row>
    <row r="1856" ht="15">
      <c r="A1856" s="25"/>
      <c r="B1856" s="25"/>
      <c r="C1856" s="25"/>
      <c r="D1856" s="25"/>
      <c r="E1856" s="25"/>
      <c r="F1856" s="17"/>
      <c r="G1856" s="18"/>
      <c r="H1856" s="18"/>
      <c r="I1856" s="18"/>
    </row>
    <row r="1857" ht="15">
      <c r="A1857" s="25"/>
      <c r="B1857" s="25"/>
      <c r="C1857" s="25"/>
      <c r="D1857" s="25"/>
      <c r="E1857" s="25"/>
      <c r="F1857" s="17"/>
      <c r="G1857" s="18"/>
      <c r="H1857" s="18"/>
      <c r="I1857" s="18"/>
    </row>
    <row r="1858" ht="15">
      <c r="A1858" s="25"/>
      <c r="B1858" s="25"/>
      <c r="C1858" s="25"/>
      <c r="D1858" s="25"/>
      <c r="E1858" s="25"/>
      <c r="F1858" s="17"/>
      <c r="G1858" s="18"/>
      <c r="H1858" s="18"/>
      <c r="I1858" s="18"/>
    </row>
    <row r="1859" ht="15">
      <c r="A1859" s="25"/>
      <c r="B1859" s="25"/>
      <c r="C1859" s="25"/>
      <c r="D1859" s="25"/>
      <c r="E1859" s="25"/>
      <c r="F1859" s="17"/>
      <c r="G1859" s="18"/>
      <c r="H1859" s="18"/>
      <c r="I1859" s="18"/>
    </row>
    <row r="1860" ht="15">
      <c r="A1860" s="25"/>
      <c r="B1860" s="25"/>
      <c r="C1860" s="25"/>
      <c r="D1860" s="25"/>
      <c r="E1860" s="25"/>
      <c r="F1860" s="17"/>
      <c r="G1860" s="18"/>
      <c r="H1860" s="18"/>
      <c r="I1860" s="18"/>
    </row>
    <row r="1861" ht="15">
      <c r="A1861" s="25"/>
      <c r="B1861" s="25"/>
      <c r="C1861" s="25"/>
      <c r="D1861" s="25"/>
      <c r="E1861" s="25"/>
      <c r="F1861" s="17"/>
      <c r="G1861" s="18"/>
      <c r="H1861" s="18"/>
      <c r="I1861" s="18"/>
    </row>
    <row r="1862" ht="15">
      <c r="A1862" s="25"/>
      <c r="B1862" s="25"/>
      <c r="C1862" s="25"/>
      <c r="D1862" s="25"/>
      <c r="E1862" s="25"/>
      <c r="F1862" s="17"/>
      <c r="G1862" s="18"/>
      <c r="H1862" s="18"/>
      <c r="I1862" s="18"/>
    </row>
    <row r="1863" ht="15">
      <c r="A1863" s="25"/>
      <c r="B1863" s="25"/>
      <c r="C1863" s="25"/>
      <c r="D1863" s="25"/>
      <c r="E1863" s="25"/>
      <c r="F1863" s="17"/>
      <c r="G1863" s="18"/>
      <c r="H1863" s="18"/>
      <c r="I1863" s="18"/>
    </row>
    <row r="1864" ht="15">
      <c r="A1864" s="25"/>
      <c r="B1864" s="25"/>
      <c r="C1864" s="25"/>
      <c r="D1864" s="25"/>
      <c r="E1864" s="25"/>
      <c r="F1864" s="17"/>
      <c r="G1864" s="18"/>
      <c r="H1864" s="18"/>
      <c r="I1864" s="18"/>
    </row>
    <row r="1865" ht="15">
      <c r="A1865" s="25"/>
      <c r="B1865" s="25"/>
      <c r="C1865" s="25"/>
      <c r="D1865" s="25"/>
      <c r="E1865" s="25"/>
      <c r="F1865" s="17"/>
      <c r="G1865" s="18"/>
      <c r="H1865" s="18"/>
      <c r="I1865" s="18"/>
    </row>
    <row r="1866" ht="15">
      <c r="A1866" s="25"/>
      <c r="B1866" s="25"/>
      <c r="C1866" s="25"/>
      <c r="D1866" s="25"/>
      <c r="E1866" s="25"/>
      <c r="F1866" s="17"/>
      <c r="G1866" s="18"/>
      <c r="H1866" s="18"/>
      <c r="I1866" s="18"/>
    </row>
    <row r="1867" ht="15">
      <c r="A1867" s="25"/>
      <c r="B1867" s="25"/>
      <c r="C1867" s="25"/>
      <c r="D1867" s="25"/>
      <c r="E1867" s="25"/>
      <c r="F1867" s="17"/>
      <c r="G1867" s="18"/>
      <c r="H1867" s="18"/>
      <c r="I1867" s="18"/>
    </row>
    <row r="1868" ht="15">
      <c r="A1868" s="25"/>
      <c r="B1868" s="25"/>
      <c r="C1868" s="25"/>
      <c r="D1868" s="25"/>
      <c r="E1868" s="25"/>
      <c r="F1868" s="17"/>
      <c r="G1868" s="18"/>
      <c r="H1868" s="18"/>
      <c r="I1868" s="18"/>
    </row>
    <row r="1869" ht="15">
      <c r="A1869" s="25"/>
      <c r="B1869" s="25"/>
      <c r="C1869" s="25"/>
      <c r="D1869" s="25"/>
      <c r="E1869" s="25"/>
      <c r="F1869" s="17"/>
      <c r="G1869" s="18"/>
      <c r="H1869" s="18"/>
      <c r="I1869" s="18"/>
    </row>
    <row r="1870" ht="15">
      <c r="A1870" s="25"/>
      <c r="B1870" s="25"/>
      <c r="C1870" s="25"/>
      <c r="D1870" s="25"/>
      <c r="E1870" s="25"/>
      <c r="F1870" s="17"/>
      <c r="G1870" s="18"/>
      <c r="H1870" s="18"/>
      <c r="I1870" s="18"/>
    </row>
    <row r="1871" ht="15">
      <c r="A1871" s="25"/>
      <c r="B1871" s="25"/>
      <c r="C1871" s="25"/>
      <c r="D1871" s="25"/>
      <c r="E1871" s="25"/>
      <c r="F1871" s="17"/>
      <c r="G1871" s="18"/>
      <c r="H1871" s="18"/>
      <c r="I1871" s="18"/>
    </row>
    <row r="1872" ht="15">
      <c r="A1872" s="25"/>
      <c r="B1872" s="25"/>
      <c r="C1872" s="25"/>
      <c r="D1872" s="25"/>
      <c r="E1872" s="25"/>
      <c r="F1872" s="17"/>
      <c r="G1872" s="18"/>
      <c r="H1872" s="18"/>
      <c r="I1872" s="18"/>
    </row>
    <row r="1873" ht="15">
      <c r="A1873" s="25"/>
      <c r="B1873" s="25"/>
      <c r="C1873" s="25"/>
      <c r="D1873" s="25"/>
      <c r="E1873" s="25"/>
      <c r="F1873" s="17"/>
      <c r="G1873" s="18"/>
      <c r="H1873" s="18"/>
      <c r="I1873" s="18"/>
    </row>
    <row r="1874" ht="15">
      <c r="A1874" s="25"/>
      <c r="B1874" s="25"/>
      <c r="C1874" s="25"/>
      <c r="D1874" s="25"/>
      <c r="E1874" s="25"/>
      <c r="F1874" s="17"/>
      <c r="G1874" s="18"/>
      <c r="H1874" s="18"/>
      <c r="I1874" s="18"/>
    </row>
    <row r="1875" ht="15">
      <c r="A1875" s="25"/>
      <c r="B1875" s="25"/>
      <c r="C1875" s="25"/>
      <c r="D1875" s="25"/>
      <c r="E1875" s="25"/>
      <c r="F1875" s="17"/>
      <c r="G1875" s="18"/>
      <c r="H1875" s="18"/>
      <c r="I1875" s="18"/>
    </row>
    <row r="1876" ht="15">
      <c r="A1876" s="25"/>
      <c r="B1876" s="25"/>
      <c r="C1876" s="25"/>
      <c r="D1876" s="25"/>
      <c r="E1876" s="25"/>
      <c r="F1876" s="17"/>
      <c r="G1876" s="18"/>
      <c r="H1876" s="18"/>
      <c r="I1876" s="18"/>
    </row>
    <row r="1877" ht="15">
      <c r="A1877" s="25"/>
      <c r="B1877" s="25"/>
      <c r="C1877" s="25"/>
      <c r="D1877" s="25"/>
      <c r="E1877" s="25"/>
      <c r="F1877" s="17"/>
      <c r="G1877" s="18"/>
      <c r="H1877" s="18"/>
      <c r="I1877" s="18"/>
    </row>
    <row r="1878" ht="15">
      <c r="A1878" s="25"/>
      <c r="B1878" s="25"/>
      <c r="C1878" s="25"/>
      <c r="D1878" s="25"/>
      <c r="E1878" s="25"/>
      <c r="F1878" s="17"/>
      <c r="G1878" s="18"/>
      <c r="H1878" s="18"/>
      <c r="I1878" s="18"/>
    </row>
    <row r="1879" ht="15">
      <c r="A1879" s="25"/>
      <c r="B1879" s="25"/>
      <c r="C1879" s="25"/>
      <c r="D1879" s="25"/>
      <c r="E1879" s="25"/>
      <c r="F1879" s="17"/>
      <c r="G1879" s="18"/>
      <c r="H1879" s="18"/>
      <c r="I1879" s="18"/>
    </row>
    <row r="1880" ht="15">
      <c r="A1880" s="25"/>
      <c r="B1880" s="25"/>
      <c r="C1880" s="25"/>
      <c r="D1880" s="25"/>
      <c r="E1880" s="25"/>
      <c r="F1880" s="17"/>
      <c r="G1880" s="18"/>
      <c r="H1880" s="18"/>
      <c r="I1880" s="18"/>
    </row>
    <row r="1881" ht="15">
      <c r="A1881" s="25"/>
      <c r="B1881" s="25"/>
      <c r="C1881" s="25"/>
      <c r="D1881" s="25"/>
      <c r="E1881" s="25"/>
      <c r="F1881" s="17"/>
      <c r="G1881" s="18"/>
      <c r="H1881" s="18"/>
      <c r="I1881" s="18"/>
    </row>
    <row r="1882" ht="15">
      <c r="A1882" s="25"/>
      <c r="B1882" s="25"/>
      <c r="C1882" s="25"/>
      <c r="D1882" s="25"/>
      <c r="E1882" s="25"/>
      <c r="F1882" s="17"/>
      <c r="G1882" s="18"/>
      <c r="H1882" s="18"/>
      <c r="I1882" s="18"/>
    </row>
    <row r="1883" ht="15">
      <c r="A1883" s="25"/>
      <c r="B1883" s="25"/>
      <c r="C1883" s="25"/>
      <c r="D1883" s="25"/>
      <c r="E1883" s="25"/>
      <c r="F1883" s="17"/>
      <c r="G1883" s="18"/>
      <c r="H1883" s="18"/>
      <c r="I1883" s="18"/>
    </row>
    <row r="1884" ht="15">
      <c r="A1884" s="25"/>
      <c r="B1884" s="25"/>
      <c r="C1884" s="25"/>
      <c r="D1884" s="25"/>
      <c r="E1884" s="25"/>
      <c r="F1884" s="17"/>
      <c r="G1884" s="18"/>
      <c r="H1884" s="18"/>
      <c r="I1884" s="18"/>
    </row>
    <row r="1885" ht="15">
      <c r="A1885" s="25"/>
      <c r="B1885" s="25"/>
      <c r="C1885" s="25"/>
      <c r="D1885" s="25"/>
      <c r="E1885" s="25"/>
      <c r="F1885" s="17"/>
      <c r="G1885" s="18"/>
      <c r="H1885" s="18"/>
      <c r="I1885" s="18"/>
    </row>
    <row r="1886" ht="15">
      <c r="A1886" s="25"/>
      <c r="B1886" s="25"/>
      <c r="C1886" s="25"/>
      <c r="D1886" s="25"/>
      <c r="E1886" s="25"/>
      <c r="F1886" s="17"/>
      <c r="G1886" s="18"/>
      <c r="H1886" s="18"/>
      <c r="I1886" s="18"/>
    </row>
    <row r="1887" ht="15">
      <c r="A1887" s="25"/>
      <c r="B1887" s="25"/>
      <c r="C1887" s="25"/>
      <c r="D1887" s="25"/>
      <c r="E1887" s="25"/>
      <c r="F1887" s="17"/>
      <c r="G1887" s="18"/>
      <c r="H1887" s="18"/>
      <c r="I1887" s="18"/>
    </row>
    <row r="1888" ht="15">
      <c r="A1888" s="25"/>
      <c r="B1888" s="25"/>
      <c r="C1888" s="25"/>
      <c r="D1888" s="25"/>
      <c r="E1888" s="25"/>
      <c r="F1888" s="17"/>
      <c r="G1888" s="18"/>
      <c r="H1888" s="18"/>
      <c r="I1888" s="18"/>
    </row>
    <row r="1889" ht="15">
      <c r="A1889" s="25"/>
      <c r="B1889" s="25"/>
      <c r="C1889" s="25"/>
      <c r="D1889" s="25"/>
      <c r="E1889" s="25"/>
      <c r="F1889" s="17"/>
      <c r="G1889" s="18"/>
      <c r="H1889" s="18"/>
      <c r="I1889" s="18"/>
    </row>
    <row r="1890" ht="15">
      <c r="A1890" s="25"/>
      <c r="B1890" s="25"/>
      <c r="C1890" s="25"/>
      <c r="D1890" s="25"/>
      <c r="E1890" s="25"/>
      <c r="F1890" s="17"/>
      <c r="G1890" s="18"/>
      <c r="H1890" s="18"/>
      <c r="I1890" s="18"/>
    </row>
    <row r="1891" ht="15">
      <c r="A1891" s="25"/>
      <c r="B1891" s="25"/>
      <c r="C1891" s="25"/>
      <c r="D1891" s="25"/>
      <c r="E1891" s="25"/>
      <c r="F1891" s="17"/>
      <c r="G1891" s="18"/>
      <c r="H1891" s="18"/>
      <c r="I1891" s="18"/>
    </row>
    <row r="1892" ht="15">
      <c r="A1892" s="25"/>
      <c r="B1892" s="25"/>
      <c r="C1892" s="25"/>
      <c r="D1892" s="25"/>
      <c r="E1892" s="25"/>
      <c r="F1892" s="17"/>
      <c r="G1892" s="18"/>
      <c r="H1892" s="18"/>
      <c r="I1892" s="18"/>
    </row>
    <row r="1893" ht="15">
      <c r="A1893" s="25"/>
      <c r="B1893" s="25"/>
      <c r="C1893" s="25"/>
      <c r="D1893" s="25"/>
      <c r="E1893" s="25"/>
      <c r="F1893" s="17"/>
      <c r="G1893" s="18"/>
      <c r="H1893" s="18"/>
      <c r="I1893" s="18"/>
    </row>
    <row r="1894" ht="15">
      <c r="A1894" s="25"/>
      <c r="B1894" s="25"/>
      <c r="C1894" s="25"/>
      <c r="D1894" s="25"/>
      <c r="E1894" s="25"/>
      <c r="F1894" s="17"/>
      <c r="G1894" s="18"/>
      <c r="H1894" s="18"/>
      <c r="I1894" s="18"/>
    </row>
    <row r="1895" ht="15">
      <c r="A1895" s="25"/>
      <c r="B1895" s="25"/>
      <c r="C1895" s="25"/>
      <c r="D1895" s="25"/>
      <c r="E1895" s="25"/>
      <c r="F1895" s="17"/>
      <c r="G1895" s="18"/>
      <c r="H1895" s="18"/>
      <c r="I1895" s="18"/>
    </row>
    <row r="1896" ht="15">
      <c r="A1896" s="25"/>
      <c r="B1896" s="25"/>
      <c r="C1896" s="25"/>
      <c r="D1896" s="25"/>
      <c r="E1896" s="25"/>
      <c r="F1896" s="17"/>
      <c r="G1896" s="18"/>
      <c r="H1896" s="18"/>
      <c r="I1896" s="18"/>
    </row>
    <row r="1897" ht="15">
      <c r="A1897" s="25"/>
      <c r="B1897" s="25"/>
      <c r="C1897" s="25"/>
      <c r="D1897" s="25"/>
      <c r="E1897" s="25"/>
      <c r="F1897" s="17"/>
      <c r="G1897" s="18"/>
      <c r="H1897" s="18"/>
      <c r="I1897" s="18"/>
    </row>
    <row r="1898" ht="15">
      <c r="A1898" s="25"/>
      <c r="B1898" s="25"/>
      <c r="C1898" s="25"/>
      <c r="D1898" s="25"/>
      <c r="E1898" s="25"/>
      <c r="F1898" s="17"/>
      <c r="G1898" s="18"/>
      <c r="H1898" s="18"/>
      <c r="I1898" s="18"/>
    </row>
    <row r="1899" ht="15">
      <c r="A1899" s="25"/>
      <c r="B1899" s="25"/>
      <c r="C1899" s="25"/>
      <c r="D1899" s="25"/>
      <c r="E1899" s="25"/>
      <c r="F1899" s="17"/>
      <c r="G1899" s="18"/>
      <c r="H1899" s="18"/>
      <c r="I1899" s="18"/>
    </row>
    <row r="1900" ht="15">
      <c r="A1900" s="25"/>
      <c r="B1900" s="25"/>
      <c r="C1900" s="25"/>
      <c r="D1900" s="25"/>
      <c r="E1900" s="25"/>
      <c r="F1900" s="17"/>
      <c r="G1900" s="18"/>
      <c r="H1900" s="18"/>
      <c r="I1900" s="18"/>
    </row>
    <row r="1901" ht="15">
      <c r="A1901" s="25"/>
      <c r="B1901" s="25"/>
      <c r="C1901" s="25"/>
      <c r="D1901" s="25"/>
      <c r="E1901" s="25"/>
      <c r="F1901" s="17"/>
      <c r="G1901" s="18"/>
      <c r="H1901" s="18"/>
      <c r="I1901" s="18"/>
    </row>
    <row r="1902" ht="15">
      <c r="A1902" s="25"/>
      <c r="B1902" s="25"/>
      <c r="C1902" s="25"/>
      <c r="D1902" s="25"/>
      <c r="E1902" s="25"/>
      <c r="F1902" s="17"/>
      <c r="G1902" s="18"/>
      <c r="H1902" s="18"/>
      <c r="I1902" s="18"/>
    </row>
    <row r="1903" ht="15">
      <c r="A1903" s="25"/>
      <c r="B1903" s="25"/>
      <c r="C1903" s="25"/>
      <c r="D1903" s="25"/>
      <c r="E1903" s="25"/>
      <c r="F1903" s="17"/>
      <c r="G1903" s="18"/>
      <c r="H1903" s="18"/>
      <c r="I1903" s="18"/>
    </row>
    <row r="1904" ht="15">
      <c r="A1904" s="25"/>
      <c r="B1904" s="25"/>
      <c r="C1904" s="25"/>
      <c r="D1904" s="25"/>
      <c r="E1904" s="25"/>
      <c r="F1904" s="17"/>
      <c r="G1904" s="18"/>
      <c r="H1904" s="18"/>
      <c r="I1904" s="18"/>
    </row>
    <row r="1905" ht="15">
      <c r="A1905" s="25"/>
      <c r="B1905" s="25"/>
      <c r="C1905" s="25"/>
      <c r="D1905" s="25"/>
      <c r="E1905" s="25"/>
      <c r="F1905" s="17"/>
      <c r="G1905" s="18"/>
      <c r="H1905" s="18"/>
      <c r="I1905" s="18"/>
    </row>
    <row r="1906" ht="15">
      <c r="A1906" s="25"/>
      <c r="B1906" s="25"/>
      <c r="C1906" s="25"/>
      <c r="D1906" s="25"/>
      <c r="E1906" s="25"/>
      <c r="F1906" s="17"/>
      <c r="G1906" s="18"/>
      <c r="H1906" s="18"/>
      <c r="I1906" s="18"/>
    </row>
    <row r="1907" ht="15">
      <c r="A1907" s="25"/>
      <c r="B1907" s="25"/>
      <c r="C1907" s="25"/>
      <c r="D1907" s="25"/>
      <c r="E1907" s="25"/>
      <c r="F1907" s="17"/>
      <c r="G1907" s="18"/>
      <c r="H1907" s="18"/>
      <c r="I1907" s="18"/>
    </row>
    <row r="1908" ht="15">
      <c r="A1908" s="25"/>
      <c r="B1908" s="25"/>
      <c r="C1908" s="25"/>
      <c r="D1908" s="25"/>
      <c r="E1908" s="25"/>
      <c r="F1908" s="17"/>
      <c r="G1908" s="18"/>
      <c r="H1908" s="18"/>
      <c r="I1908" s="18"/>
    </row>
    <row r="1909" ht="15">
      <c r="A1909" s="25"/>
      <c r="B1909" s="25"/>
      <c r="C1909" s="25"/>
      <c r="D1909" s="25"/>
      <c r="E1909" s="25"/>
      <c r="F1909" s="17"/>
      <c r="G1909" s="18"/>
      <c r="H1909" s="18"/>
      <c r="I1909" s="18"/>
    </row>
    <row r="1910" ht="15">
      <c r="A1910" s="25"/>
      <c r="B1910" s="25"/>
      <c r="C1910" s="25"/>
      <c r="D1910" s="25"/>
      <c r="E1910" s="25"/>
      <c r="F1910" s="17"/>
      <c r="G1910" s="18"/>
      <c r="H1910" s="18"/>
      <c r="I1910" s="18"/>
    </row>
    <row r="1911" ht="15">
      <c r="A1911" s="25"/>
      <c r="B1911" s="25"/>
      <c r="C1911" s="25"/>
      <c r="D1911" s="25"/>
      <c r="E1911" s="25"/>
      <c r="F1911" s="17"/>
      <c r="G1911" s="18"/>
      <c r="H1911" s="18"/>
      <c r="I1911" s="18"/>
    </row>
    <row r="1912" ht="15">
      <c r="A1912" s="25"/>
      <c r="B1912" s="25"/>
      <c r="C1912" s="25"/>
      <c r="D1912" s="25"/>
      <c r="E1912" s="25"/>
      <c r="F1912" s="17"/>
      <c r="G1912" s="18"/>
      <c r="H1912" s="18"/>
      <c r="I1912" s="18"/>
    </row>
    <row r="1913" ht="15">
      <c r="A1913" s="25"/>
      <c r="B1913" s="25"/>
      <c r="C1913" s="25"/>
      <c r="D1913" s="25"/>
      <c r="E1913" s="25"/>
      <c r="F1913" s="17"/>
      <c r="G1913" s="18"/>
      <c r="H1913" s="18"/>
      <c r="I1913" s="18"/>
    </row>
    <row r="1914" ht="15">
      <c r="A1914" s="25"/>
      <c r="B1914" s="25"/>
      <c r="C1914" s="25"/>
      <c r="D1914" s="25"/>
      <c r="E1914" s="25"/>
      <c r="F1914" s="17"/>
      <c r="G1914" s="18"/>
      <c r="H1914" s="18"/>
      <c r="I1914" s="18"/>
    </row>
    <row r="1915" ht="15">
      <c r="A1915" s="25"/>
      <c r="B1915" s="25"/>
      <c r="C1915" s="25"/>
      <c r="D1915" s="25"/>
      <c r="E1915" s="25"/>
      <c r="F1915" s="17"/>
      <c r="G1915" s="18"/>
      <c r="H1915" s="18"/>
      <c r="I1915" s="18"/>
    </row>
    <row r="1916" ht="15">
      <c r="A1916" s="25"/>
      <c r="B1916" s="25"/>
      <c r="C1916" s="25"/>
      <c r="D1916" s="25"/>
      <c r="E1916" s="25"/>
      <c r="F1916" s="17"/>
      <c r="G1916" s="18"/>
      <c r="H1916" s="18"/>
      <c r="I1916" s="18"/>
    </row>
    <row r="1917" ht="15">
      <c r="A1917" s="25"/>
      <c r="B1917" s="25"/>
      <c r="C1917" s="25"/>
      <c r="D1917" s="25"/>
      <c r="E1917" s="25"/>
      <c r="F1917" s="17"/>
      <c r="G1917" s="18"/>
      <c r="H1917" s="18"/>
      <c r="I1917" s="18"/>
    </row>
    <row r="1918" ht="15">
      <c r="A1918" s="25"/>
      <c r="B1918" s="25"/>
      <c r="C1918" s="25"/>
      <c r="D1918" s="25"/>
      <c r="E1918" s="25"/>
      <c r="F1918" s="17"/>
      <c r="G1918" s="18"/>
      <c r="H1918" s="18"/>
      <c r="I1918" s="18"/>
    </row>
    <row r="1919" ht="15">
      <c r="A1919" s="25"/>
      <c r="B1919" s="25"/>
      <c r="C1919" s="25"/>
      <c r="D1919" s="25"/>
      <c r="E1919" s="25"/>
      <c r="F1919" s="17"/>
      <c r="G1919" s="18"/>
      <c r="H1919" s="18"/>
      <c r="I1919" s="18"/>
    </row>
    <row r="1920" ht="15">
      <c r="A1920" s="25"/>
      <c r="B1920" s="25"/>
      <c r="C1920" s="25"/>
      <c r="D1920" s="25"/>
      <c r="E1920" s="25"/>
      <c r="F1920" s="17"/>
      <c r="G1920" s="18"/>
      <c r="H1920" s="18"/>
      <c r="I1920" s="18"/>
    </row>
    <row r="1921" ht="15">
      <c r="A1921" s="25"/>
      <c r="B1921" s="25"/>
      <c r="C1921" s="25"/>
      <c r="D1921" s="25"/>
      <c r="E1921" s="25"/>
      <c r="F1921" s="17"/>
      <c r="G1921" s="18"/>
      <c r="H1921" s="18"/>
      <c r="I1921" s="18"/>
    </row>
    <row r="1922" ht="15">
      <c r="A1922" s="25"/>
      <c r="B1922" s="25"/>
      <c r="C1922" s="25"/>
      <c r="D1922" s="25"/>
      <c r="E1922" s="25"/>
      <c r="F1922" s="17"/>
      <c r="G1922" s="18"/>
      <c r="H1922" s="18"/>
      <c r="I1922" s="18"/>
    </row>
    <row r="1923" ht="15">
      <c r="A1923" s="25"/>
      <c r="B1923" s="25"/>
      <c r="C1923" s="25"/>
      <c r="D1923" s="25"/>
      <c r="E1923" s="25"/>
      <c r="F1923" s="17"/>
      <c r="G1923" s="18"/>
      <c r="H1923" s="18"/>
      <c r="I1923" s="18"/>
    </row>
    <row r="1924" ht="15">
      <c r="A1924" s="25"/>
      <c r="B1924" s="25"/>
      <c r="C1924" s="25"/>
      <c r="D1924" s="25"/>
      <c r="E1924" s="25"/>
      <c r="F1924" s="17"/>
      <c r="G1924" s="18"/>
      <c r="H1924" s="18"/>
      <c r="I1924" s="18"/>
    </row>
    <row r="1925" ht="15">
      <c r="A1925" s="25"/>
      <c r="B1925" s="25"/>
      <c r="C1925" s="25"/>
      <c r="D1925" s="25"/>
      <c r="E1925" s="25"/>
      <c r="F1925" s="17"/>
      <c r="G1925" s="18"/>
      <c r="H1925" s="18"/>
      <c r="I1925" s="18"/>
    </row>
    <row r="1926" ht="15">
      <c r="A1926" s="25"/>
      <c r="B1926" s="25"/>
      <c r="C1926" s="25"/>
      <c r="D1926" s="25"/>
      <c r="E1926" s="25"/>
      <c r="F1926" s="17"/>
      <c r="G1926" s="18"/>
      <c r="H1926" s="18"/>
      <c r="I1926" s="18"/>
    </row>
    <row r="1927" ht="15">
      <c r="A1927" s="25"/>
      <c r="B1927" s="25"/>
      <c r="C1927" s="25"/>
      <c r="D1927" s="25"/>
      <c r="E1927" s="25"/>
      <c r="F1927" s="17"/>
      <c r="G1927" s="18"/>
      <c r="H1927" s="18"/>
      <c r="I1927" s="18"/>
    </row>
    <row r="1928" ht="15">
      <c r="A1928" s="25"/>
      <c r="B1928" s="25"/>
      <c r="C1928" s="25"/>
      <c r="D1928" s="25"/>
      <c r="E1928" s="25"/>
      <c r="F1928" s="17"/>
      <c r="G1928" s="18"/>
      <c r="H1928" s="18"/>
      <c r="I1928" s="18"/>
    </row>
    <row r="1929" ht="15">
      <c r="A1929" s="25"/>
      <c r="B1929" s="25"/>
      <c r="C1929" s="25"/>
      <c r="D1929" s="25"/>
      <c r="E1929" s="25"/>
      <c r="F1929" s="17"/>
      <c r="G1929" s="18"/>
      <c r="H1929" s="18"/>
      <c r="I1929" s="18"/>
    </row>
    <row r="1930" ht="15">
      <c r="A1930" s="25"/>
      <c r="B1930" s="25"/>
      <c r="C1930" s="25"/>
      <c r="D1930" s="25"/>
      <c r="E1930" s="25"/>
      <c r="F1930" s="17"/>
      <c r="G1930" s="18"/>
      <c r="H1930" s="18"/>
      <c r="I1930" s="18"/>
    </row>
    <row r="1931" ht="15">
      <c r="A1931" s="25"/>
      <c r="B1931" s="25"/>
      <c r="C1931" s="25"/>
      <c r="D1931" s="25"/>
      <c r="E1931" s="25"/>
      <c r="F1931" s="17"/>
      <c r="G1931" s="18"/>
      <c r="H1931" s="18"/>
      <c r="I1931" s="18"/>
    </row>
    <row r="1932" ht="15">
      <c r="A1932" s="25"/>
      <c r="B1932" s="25"/>
      <c r="C1932" s="25"/>
      <c r="D1932" s="25"/>
      <c r="E1932" s="25"/>
      <c r="F1932" s="17"/>
      <c r="G1932" s="18"/>
      <c r="H1932" s="18"/>
      <c r="I1932" s="18"/>
    </row>
    <row r="1933" ht="15">
      <c r="A1933" s="25"/>
      <c r="B1933" s="25"/>
      <c r="C1933" s="25"/>
      <c r="D1933" s="25"/>
      <c r="E1933" s="25"/>
      <c r="F1933" s="17"/>
      <c r="G1933" s="18"/>
      <c r="H1933" s="18"/>
      <c r="I1933" s="18"/>
    </row>
    <row r="1934" ht="15">
      <c r="A1934" s="25"/>
      <c r="B1934" s="25"/>
      <c r="C1934" s="25"/>
      <c r="D1934" s="25"/>
      <c r="E1934" s="25"/>
      <c r="F1934" s="17"/>
      <c r="G1934" s="18"/>
      <c r="H1934" s="18"/>
      <c r="I1934" s="18"/>
    </row>
    <row r="1935" ht="15">
      <c r="A1935" s="25"/>
      <c r="B1935" s="25"/>
      <c r="C1935" s="25"/>
      <c r="D1935" s="25"/>
      <c r="E1935" s="25"/>
      <c r="F1935" s="17"/>
      <c r="G1935" s="18"/>
      <c r="H1935" s="18"/>
      <c r="I1935" s="18"/>
    </row>
    <row r="1936" ht="15">
      <c r="A1936" s="25"/>
      <c r="B1936" s="25"/>
      <c r="C1936" s="25"/>
      <c r="D1936" s="25"/>
      <c r="E1936" s="25"/>
      <c r="F1936" s="17"/>
      <c r="G1936" s="18"/>
      <c r="H1936" s="18"/>
      <c r="I1936" s="18"/>
    </row>
    <row r="1937" ht="15">
      <c r="A1937" s="25"/>
      <c r="B1937" s="25"/>
      <c r="C1937" s="25"/>
      <c r="D1937" s="25"/>
      <c r="E1937" s="25"/>
      <c r="F1937" s="17"/>
      <c r="G1937" s="18"/>
      <c r="H1937" s="18"/>
      <c r="I1937" s="18"/>
    </row>
    <row r="1938" ht="15">
      <c r="A1938" s="25"/>
      <c r="B1938" s="25"/>
      <c r="C1938" s="25"/>
      <c r="D1938" s="25"/>
      <c r="E1938" s="25"/>
      <c r="F1938" s="17"/>
      <c r="G1938" s="18"/>
      <c r="H1938" s="18"/>
      <c r="I1938" s="18"/>
    </row>
    <row r="1939" ht="15">
      <c r="A1939" s="25"/>
      <c r="B1939" s="25"/>
      <c r="C1939" s="25"/>
      <c r="D1939" s="25"/>
      <c r="E1939" s="25"/>
      <c r="F1939" s="17"/>
      <c r="G1939" s="18"/>
      <c r="H1939" s="18"/>
      <c r="I1939" s="18"/>
    </row>
    <row r="1940" ht="15">
      <c r="A1940" s="25"/>
      <c r="B1940" s="25"/>
      <c r="C1940" s="25"/>
      <c r="D1940" s="25"/>
      <c r="E1940" s="25"/>
      <c r="F1940" s="17"/>
      <c r="G1940" s="18"/>
      <c r="H1940" s="18"/>
      <c r="I1940" s="18"/>
    </row>
    <row r="1941" ht="15">
      <c r="A1941" s="25"/>
      <c r="B1941" s="25"/>
      <c r="C1941" s="25"/>
      <c r="D1941" s="25"/>
      <c r="E1941" s="25"/>
      <c r="F1941" s="17"/>
      <c r="G1941" s="18"/>
      <c r="H1941" s="18"/>
      <c r="I1941" s="18"/>
    </row>
    <row r="1942" ht="15">
      <c r="A1942" s="25"/>
      <c r="B1942" s="25"/>
      <c r="C1942" s="25"/>
      <c r="D1942" s="25"/>
      <c r="E1942" s="25"/>
      <c r="F1942" s="17"/>
      <c r="G1942" s="18"/>
      <c r="H1942" s="18"/>
      <c r="I1942" s="18"/>
    </row>
    <row r="1943" ht="15">
      <c r="A1943" s="25"/>
      <c r="B1943" s="25"/>
      <c r="C1943" s="25"/>
      <c r="D1943" s="25"/>
      <c r="E1943" s="25"/>
      <c r="F1943" s="17"/>
      <c r="G1943" s="18"/>
      <c r="H1943" s="18"/>
      <c r="I1943" s="18"/>
    </row>
    <row r="1944" ht="15">
      <c r="A1944" s="25"/>
      <c r="B1944" s="25"/>
      <c r="C1944" s="25"/>
      <c r="D1944" s="25"/>
      <c r="E1944" s="25"/>
      <c r="F1944" s="17"/>
      <c r="G1944" s="18"/>
      <c r="H1944" s="18"/>
      <c r="I1944" s="18"/>
    </row>
    <row r="1945" ht="15">
      <c r="A1945" s="25"/>
      <c r="B1945" s="25"/>
      <c r="C1945" s="25"/>
      <c r="D1945" s="25"/>
      <c r="E1945" s="25"/>
      <c r="F1945" s="17"/>
      <c r="G1945" s="18"/>
      <c r="H1945" s="18"/>
      <c r="I1945" s="18"/>
    </row>
    <row r="1946" ht="15">
      <c r="A1946" s="25"/>
      <c r="B1946" s="25"/>
      <c r="C1946" s="25"/>
      <c r="D1946" s="25"/>
      <c r="E1946" s="25"/>
      <c r="F1946" s="17"/>
      <c r="G1946" s="18"/>
      <c r="H1946" s="18"/>
      <c r="I1946" s="18"/>
    </row>
    <row r="1947" ht="15">
      <c r="A1947" s="25"/>
      <c r="B1947" s="25"/>
      <c r="C1947" s="25"/>
      <c r="D1947" s="25"/>
      <c r="E1947" s="25"/>
      <c r="F1947" s="17"/>
      <c r="G1947" s="18"/>
      <c r="H1947" s="18"/>
      <c r="I1947" s="18"/>
    </row>
    <row r="1948" ht="15">
      <c r="A1948" s="25"/>
      <c r="B1948" s="25"/>
      <c r="C1948" s="25"/>
      <c r="D1948" s="25"/>
      <c r="E1948" s="25"/>
      <c r="F1948" s="17"/>
      <c r="G1948" s="18"/>
      <c r="H1948" s="18"/>
      <c r="I1948" s="18"/>
    </row>
    <row r="1949" ht="15">
      <c r="A1949" s="25"/>
      <c r="B1949" s="25"/>
      <c r="C1949" s="25"/>
      <c r="D1949" s="25"/>
      <c r="E1949" s="25"/>
      <c r="F1949" s="17"/>
      <c r="G1949" s="18"/>
      <c r="H1949" s="18"/>
      <c r="I1949" s="18"/>
    </row>
    <row r="1950" ht="15">
      <c r="A1950" s="25"/>
      <c r="B1950" s="25"/>
      <c r="C1950" s="25"/>
      <c r="D1950" s="25"/>
      <c r="E1950" s="25"/>
      <c r="F1950" s="17"/>
      <c r="G1950" s="18"/>
      <c r="H1950" s="18"/>
      <c r="I1950" s="18"/>
    </row>
    <row r="1951" ht="15">
      <c r="A1951" s="25"/>
      <c r="B1951" s="25"/>
      <c r="C1951" s="25"/>
      <c r="D1951" s="25"/>
      <c r="E1951" s="25"/>
      <c r="F1951" s="17"/>
      <c r="G1951" s="18"/>
      <c r="H1951" s="18"/>
      <c r="I1951" s="18"/>
    </row>
    <row r="1952" ht="15">
      <c r="A1952" s="25"/>
      <c r="B1952" s="25"/>
      <c r="C1952" s="25"/>
      <c r="D1952" s="25"/>
      <c r="E1952" s="25"/>
      <c r="F1952" s="17"/>
      <c r="G1952" s="18"/>
      <c r="H1952" s="18"/>
      <c r="I1952" s="18"/>
    </row>
    <row r="1953" ht="15">
      <c r="A1953" s="25"/>
      <c r="B1953" s="25"/>
      <c r="C1953" s="25"/>
      <c r="D1953" s="25"/>
      <c r="E1953" s="25"/>
      <c r="F1953" s="17"/>
      <c r="G1953" s="18"/>
      <c r="H1953" s="18"/>
      <c r="I1953" s="18"/>
    </row>
    <row r="1954" ht="15">
      <c r="A1954" s="25"/>
      <c r="B1954" s="25"/>
      <c r="C1954" s="25"/>
      <c r="D1954" s="25"/>
      <c r="E1954" s="25"/>
      <c r="F1954" s="17"/>
      <c r="G1954" s="18"/>
      <c r="H1954" s="18"/>
      <c r="I1954" s="18"/>
    </row>
    <row r="1955" ht="15">
      <c r="A1955" s="25"/>
      <c r="B1955" s="25"/>
      <c r="C1955" s="25"/>
      <c r="D1955" s="25"/>
      <c r="E1955" s="25"/>
      <c r="F1955" s="17"/>
      <c r="G1955" s="18"/>
      <c r="H1955" s="18"/>
      <c r="I1955" s="18"/>
    </row>
    <row r="1956" ht="15">
      <c r="A1956" s="25"/>
      <c r="B1956" s="25"/>
      <c r="C1956" s="25"/>
      <c r="D1956" s="25"/>
      <c r="E1956" s="25"/>
      <c r="F1956" s="17"/>
      <c r="G1956" s="18"/>
      <c r="H1956" s="18"/>
      <c r="I1956" s="18"/>
    </row>
    <row r="1957" ht="15">
      <c r="A1957" s="25"/>
      <c r="B1957" s="25"/>
      <c r="C1957" s="25"/>
      <c r="D1957" s="25"/>
      <c r="E1957" s="25"/>
      <c r="F1957" s="17"/>
      <c r="G1957" s="18"/>
      <c r="H1957" s="18"/>
      <c r="I1957" s="18"/>
    </row>
    <row r="1958" ht="15">
      <c r="A1958" s="25"/>
      <c r="B1958" s="25"/>
      <c r="C1958" s="25"/>
      <c r="D1958" s="25"/>
      <c r="E1958" s="25"/>
      <c r="F1958" s="17"/>
      <c r="G1958" s="18"/>
      <c r="H1958" s="18"/>
      <c r="I1958" s="18"/>
    </row>
    <row r="1959" ht="15">
      <c r="A1959" s="25"/>
      <c r="B1959" s="25"/>
      <c r="C1959" s="25"/>
      <c r="D1959" s="25"/>
      <c r="E1959" s="25"/>
      <c r="F1959" s="17"/>
      <c r="G1959" s="18"/>
      <c r="H1959" s="18"/>
      <c r="I1959" s="18"/>
    </row>
    <row r="1960" ht="15">
      <c r="A1960" s="25"/>
      <c r="B1960" s="25"/>
      <c r="C1960" s="25"/>
      <c r="D1960" s="25"/>
      <c r="E1960" s="25"/>
      <c r="F1960" s="17"/>
      <c r="G1960" s="18"/>
      <c r="H1960" s="18"/>
      <c r="I1960" s="18"/>
    </row>
    <row r="1961" ht="15">
      <c r="A1961" s="25"/>
      <c r="B1961" s="25"/>
      <c r="C1961" s="25"/>
      <c r="D1961" s="25"/>
      <c r="E1961" s="25"/>
      <c r="F1961" s="17"/>
      <c r="G1961" s="18"/>
      <c r="H1961" s="18"/>
      <c r="I1961" s="18"/>
    </row>
    <row r="1962" ht="15">
      <c r="A1962" s="25"/>
      <c r="B1962" s="25"/>
      <c r="C1962" s="25"/>
      <c r="D1962" s="25"/>
      <c r="E1962" s="25"/>
      <c r="F1962" s="17"/>
      <c r="G1962" s="18"/>
      <c r="H1962" s="18"/>
      <c r="I1962" s="18"/>
    </row>
    <row r="1963" ht="15">
      <c r="A1963" s="25"/>
      <c r="B1963" s="25"/>
      <c r="C1963" s="25"/>
      <c r="D1963" s="25"/>
      <c r="E1963" s="25"/>
      <c r="F1963" s="17"/>
      <c r="G1963" s="18"/>
      <c r="H1963" s="18"/>
      <c r="I1963" s="18"/>
    </row>
    <row r="1964" ht="15">
      <c r="A1964" s="25"/>
      <c r="B1964" s="25"/>
      <c r="C1964" s="25"/>
      <c r="D1964" s="25"/>
      <c r="E1964" s="25"/>
      <c r="F1964" s="17"/>
      <c r="G1964" s="18"/>
      <c r="H1964" s="18"/>
      <c r="I1964" s="18"/>
    </row>
    <row r="1965" ht="15">
      <c r="A1965" s="25"/>
      <c r="B1965" s="25"/>
      <c r="C1965" s="25"/>
      <c r="D1965" s="25"/>
      <c r="E1965" s="25"/>
      <c r="F1965" s="17"/>
      <c r="G1965" s="18"/>
      <c r="H1965" s="18"/>
      <c r="I1965" s="18"/>
    </row>
    <row r="1966" ht="15">
      <c r="A1966" s="25"/>
      <c r="B1966" s="25"/>
      <c r="C1966" s="25"/>
      <c r="D1966" s="25"/>
      <c r="E1966" s="25"/>
      <c r="F1966" s="17"/>
      <c r="G1966" s="18"/>
      <c r="H1966" s="18"/>
      <c r="I1966" s="18"/>
    </row>
    <row r="1967" ht="15">
      <c r="A1967" s="25"/>
      <c r="B1967" s="25"/>
      <c r="C1967" s="25"/>
      <c r="D1967" s="25"/>
      <c r="E1967" s="25"/>
      <c r="F1967" s="17"/>
      <c r="G1967" s="18"/>
      <c r="H1967" s="18"/>
      <c r="I1967" s="18"/>
    </row>
    <row r="1968" ht="15">
      <c r="A1968" s="25"/>
      <c r="B1968" s="25"/>
      <c r="C1968" s="25"/>
      <c r="D1968" s="25"/>
      <c r="E1968" s="25"/>
      <c r="F1968" s="17"/>
      <c r="G1968" s="18"/>
      <c r="H1968" s="18"/>
      <c r="I1968" s="18"/>
    </row>
    <row r="1969" ht="15">
      <c r="A1969" s="25"/>
      <c r="B1969" s="25"/>
      <c r="C1969" s="25"/>
      <c r="D1969" s="25"/>
      <c r="E1969" s="25"/>
      <c r="F1969" s="17"/>
      <c r="G1969" s="18"/>
      <c r="H1969" s="18"/>
      <c r="I1969" s="18"/>
    </row>
    <row r="1970" ht="15">
      <c r="A1970" s="25"/>
      <c r="B1970" s="25"/>
      <c r="C1970" s="25"/>
      <c r="D1970" s="25"/>
      <c r="E1970" s="25"/>
      <c r="F1970" s="17"/>
      <c r="G1970" s="18"/>
      <c r="H1970" s="18"/>
      <c r="I1970" s="18"/>
    </row>
    <row r="1971" ht="15">
      <c r="A1971" s="25"/>
      <c r="B1971" s="25"/>
      <c r="C1971" s="25"/>
      <c r="D1971" s="25"/>
      <c r="E1971" s="25"/>
      <c r="F1971" s="17"/>
      <c r="G1971" s="18"/>
      <c r="H1971" s="18"/>
      <c r="I1971" s="18"/>
    </row>
    <row r="1972" ht="15">
      <c r="A1972" s="25"/>
      <c r="B1972" s="25"/>
      <c r="C1972" s="25"/>
      <c r="D1972" s="25"/>
      <c r="E1972" s="25"/>
      <c r="F1972" s="17"/>
      <c r="G1972" s="18"/>
      <c r="H1972" s="18"/>
      <c r="I1972" s="18"/>
    </row>
    <row r="1973" ht="15">
      <c r="A1973" s="25"/>
      <c r="B1973" s="25"/>
      <c r="C1973" s="25"/>
      <c r="D1973" s="25"/>
      <c r="E1973" s="25"/>
      <c r="F1973" s="17"/>
      <c r="G1973" s="18"/>
      <c r="H1973" s="18"/>
      <c r="I1973" s="18"/>
    </row>
    <row r="1974" ht="15">
      <c r="A1974" s="25"/>
      <c r="B1974" s="25"/>
      <c r="C1974" s="25"/>
      <c r="D1974" s="25"/>
      <c r="E1974" s="25"/>
      <c r="F1974" s="17"/>
      <c r="G1974" s="18"/>
      <c r="H1974" s="18"/>
      <c r="I1974" s="18"/>
    </row>
    <row r="1975" ht="15">
      <c r="A1975" s="25"/>
      <c r="B1975" s="25"/>
      <c r="C1975" s="25"/>
      <c r="D1975" s="25"/>
      <c r="E1975" s="25"/>
      <c r="F1975" s="17"/>
      <c r="G1975" s="18"/>
      <c r="H1975" s="18"/>
      <c r="I1975" s="18"/>
    </row>
    <row r="1976" ht="15">
      <c r="A1976" s="25"/>
      <c r="B1976" s="25"/>
      <c r="C1976" s="25"/>
      <c r="D1976" s="25"/>
      <c r="E1976" s="25"/>
      <c r="F1976" s="17"/>
      <c r="G1976" s="18"/>
      <c r="H1976" s="18"/>
      <c r="I1976" s="18"/>
    </row>
    <row r="1977" ht="15">
      <c r="A1977" s="25"/>
      <c r="B1977" s="25"/>
      <c r="C1977" s="25"/>
      <c r="D1977" s="25"/>
      <c r="E1977" s="25"/>
      <c r="F1977" s="17"/>
      <c r="G1977" s="18"/>
      <c r="H1977" s="18"/>
      <c r="I1977" s="18"/>
    </row>
    <row r="1978" ht="15">
      <c r="A1978" s="25"/>
      <c r="B1978" s="25"/>
      <c r="C1978" s="25"/>
      <c r="D1978" s="25"/>
      <c r="E1978" s="25"/>
      <c r="F1978" s="17"/>
      <c r="G1978" s="18"/>
      <c r="H1978" s="18"/>
      <c r="I1978" s="18"/>
    </row>
    <row r="1979" ht="15">
      <c r="A1979" s="25"/>
      <c r="B1979" s="25"/>
      <c r="C1979" s="25"/>
      <c r="D1979" s="25"/>
      <c r="E1979" s="25"/>
      <c r="F1979" s="17"/>
      <c r="G1979" s="18"/>
      <c r="H1979" s="18"/>
      <c r="I1979" s="18"/>
    </row>
    <row r="1980" ht="15">
      <c r="A1980" s="25"/>
      <c r="B1980" s="25"/>
      <c r="C1980" s="25"/>
      <c r="D1980" s="25"/>
      <c r="E1980" s="25"/>
      <c r="F1980" s="17"/>
      <c r="G1980" s="18"/>
      <c r="H1980" s="18"/>
      <c r="I1980" s="18"/>
    </row>
    <row r="1981" ht="15">
      <c r="A1981" s="25"/>
      <c r="B1981" s="25"/>
      <c r="C1981" s="25"/>
      <c r="D1981" s="25"/>
      <c r="E1981" s="25"/>
      <c r="F1981" s="17"/>
      <c r="G1981" s="18"/>
      <c r="H1981" s="18"/>
      <c r="I1981" s="18"/>
    </row>
    <row r="1982" ht="15">
      <c r="A1982" s="25"/>
      <c r="B1982" s="25"/>
      <c r="C1982" s="25"/>
      <c r="D1982" s="25"/>
      <c r="E1982" s="25"/>
      <c r="F1982" s="17"/>
      <c r="G1982" s="18"/>
      <c r="H1982" s="18"/>
      <c r="I1982" s="18"/>
    </row>
    <row r="1983" ht="15">
      <c r="A1983" s="25"/>
      <c r="B1983" s="25"/>
      <c r="C1983" s="25"/>
      <c r="D1983" s="25"/>
      <c r="E1983" s="25"/>
      <c r="F1983" s="17"/>
      <c r="G1983" s="18"/>
      <c r="H1983" s="18"/>
      <c r="I1983" s="18"/>
    </row>
    <row r="1984" ht="15">
      <c r="A1984" s="25"/>
      <c r="B1984" s="25"/>
      <c r="C1984" s="25"/>
      <c r="D1984" s="25"/>
      <c r="E1984" s="25"/>
      <c r="F1984" s="17"/>
      <c r="G1984" s="18"/>
      <c r="H1984" s="18"/>
      <c r="I1984" s="18"/>
    </row>
    <row r="1985" ht="15">
      <c r="A1985" s="25"/>
      <c r="B1985" s="25"/>
      <c r="C1985" s="25"/>
      <c r="D1985" s="25"/>
      <c r="E1985" s="25"/>
      <c r="F1985" s="17"/>
      <c r="G1985" s="18"/>
      <c r="H1985" s="18"/>
      <c r="I1985" s="18"/>
    </row>
    <row r="1986" ht="15">
      <c r="A1986" s="25"/>
      <c r="B1986" s="25"/>
      <c r="C1986" s="25"/>
      <c r="D1986" s="25"/>
      <c r="E1986" s="25"/>
      <c r="F1986" s="17"/>
      <c r="G1986" s="18"/>
      <c r="H1986" s="18"/>
      <c r="I1986" s="18"/>
    </row>
    <row r="1987" ht="15">
      <c r="A1987" s="25"/>
      <c r="B1987" s="25"/>
      <c r="C1987" s="25"/>
      <c r="D1987" s="25"/>
      <c r="E1987" s="25"/>
      <c r="F1987" s="17"/>
      <c r="G1987" s="18"/>
      <c r="H1987" s="18"/>
      <c r="I1987" s="18"/>
    </row>
    <row r="1988" ht="15">
      <c r="A1988" s="25"/>
      <c r="B1988" s="25"/>
      <c r="C1988" s="25"/>
      <c r="D1988" s="25"/>
      <c r="E1988" s="25"/>
      <c r="F1988" s="17"/>
      <c r="G1988" s="18"/>
      <c r="H1988" s="18"/>
      <c r="I1988" s="18"/>
    </row>
    <row r="1989" ht="15">
      <c r="A1989" s="25"/>
      <c r="B1989" s="25"/>
      <c r="C1989" s="25"/>
      <c r="D1989" s="25"/>
      <c r="E1989" s="25"/>
      <c r="F1989" s="17"/>
      <c r="G1989" s="18"/>
      <c r="H1989" s="18"/>
      <c r="I1989" s="18"/>
    </row>
    <row r="1990" ht="15">
      <c r="A1990" s="25"/>
      <c r="B1990" s="25"/>
      <c r="C1990" s="25"/>
      <c r="D1990" s="25"/>
      <c r="E1990" s="25"/>
      <c r="F1990" s="17"/>
      <c r="G1990" s="18"/>
      <c r="H1990" s="18"/>
      <c r="I1990" s="18"/>
    </row>
    <row r="1991" ht="15">
      <c r="A1991" s="25"/>
      <c r="B1991" s="25"/>
      <c r="C1991" s="25"/>
      <c r="D1991" s="25"/>
      <c r="E1991" s="25"/>
      <c r="F1991" s="17"/>
      <c r="G1991" s="18"/>
      <c r="H1991" s="18"/>
      <c r="I1991" s="18"/>
    </row>
    <row r="1992" ht="15">
      <c r="A1992" s="25"/>
      <c r="B1992" s="25"/>
      <c r="C1992" s="25"/>
      <c r="D1992" s="25"/>
      <c r="E1992" s="25"/>
      <c r="F1992" s="17"/>
      <c r="G1992" s="18"/>
      <c r="H1992" s="18"/>
      <c r="I1992" s="18"/>
    </row>
    <row r="1993" ht="15">
      <c r="A1993" s="25"/>
      <c r="B1993" s="25"/>
      <c r="C1993" s="25"/>
      <c r="D1993" s="25"/>
      <c r="E1993" s="25"/>
      <c r="F1993" s="17"/>
      <c r="G1993" s="18"/>
      <c r="H1993" s="18"/>
      <c r="I1993" s="18"/>
    </row>
    <row r="1994" ht="15">
      <c r="A1994" s="25"/>
      <c r="B1994" s="25"/>
      <c r="C1994" s="25"/>
      <c r="D1994" s="25"/>
      <c r="E1994" s="25"/>
      <c r="F1994" s="17"/>
      <c r="G1994" s="18"/>
      <c r="H1994" s="18"/>
      <c r="I1994" s="18"/>
    </row>
    <row r="1995" ht="15">
      <c r="A1995" s="25"/>
      <c r="B1995" s="25"/>
      <c r="C1995" s="25"/>
      <c r="D1995" s="25"/>
      <c r="E1995" s="25"/>
      <c r="F1995" s="17"/>
      <c r="G1995" s="18"/>
      <c r="H1995" s="18"/>
      <c r="I1995" s="18"/>
    </row>
    <row r="1996" ht="15">
      <c r="A1996" s="25"/>
      <c r="B1996" s="25"/>
      <c r="C1996" s="25"/>
      <c r="D1996" s="25"/>
      <c r="E1996" s="25"/>
      <c r="F1996" s="17"/>
      <c r="G1996" s="18"/>
      <c r="H1996" s="18"/>
      <c r="I1996" s="18"/>
    </row>
    <row r="1997" ht="15">
      <c r="A1997" s="25"/>
      <c r="B1997" s="25"/>
      <c r="C1997" s="25"/>
      <c r="D1997" s="25"/>
      <c r="E1997" s="25"/>
      <c r="F1997" s="17"/>
      <c r="G1997" s="18"/>
      <c r="H1997" s="18"/>
      <c r="I1997" s="18"/>
    </row>
    <row r="1998" ht="15">
      <c r="A1998" s="25"/>
      <c r="B1998" s="25"/>
      <c r="C1998" s="25"/>
      <c r="D1998" s="25"/>
      <c r="E1998" s="25"/>
      <c r="F1998" s="17"/>
      <c r="G1998" s="18"/>
      <c r="H1998" s="18"/>
      <c r="I1998" s="18"/>
    </row>
    <row r="1999" ht="15">
      <c r="A1999" s="25"/>
      <c r="B1999" s="25"/>
      <c r="C1999" s="25"/>
      <c r="D1999" s="25"/>
      <c r="E1999" s="25"/>
      <c r="F1999" s="17"/>
      <c r="G1999" s="18"/>
      <c r="H1999" s="18"/>
      <c r="I1999" s="18"/>
    </row>
    <row r="2000" ht="15">
      <c r="A2000" s="25"/>
      <c r="B2000" s="25"/>
      <c r="C2000" s="25"/>
      <c r="D2000" s="25"/>
      <c r="E2000" s="25"/>
      <c r="F2000" s="17"/>
      <c r="G2000" s="18"/>
      <c r="H2000" s="18"/>
      <c r="I2000" s="18"/>
    </row>
    <row r="2001" ht="15">
      <c r="A2001" s="25"/>
      <c r="B2001" s="25"/>
      <c r="C2001" s="25"/>
      <c r="D2001" s="25"/>
      <c r="E2001" s="25"/>
      <c r="F2001" s="17"/>
      <c r="G2001" s="18"/>
      <c r="H2001" s="18"/>
      <c r="I2001" s="18"/>
    </row>
    <row r="2002" ht="15">
      <c r="A2002" s="25"/>
      <c r="B2002" s="25"/>
      <c r="C2002" s="25"/>
      <c r="D2002" s="25"/>
      <c r="E2002" s="25"/>
      <c r="F2002" s="17"/>
      <c r="G2002" s="18"/>
      <c r="H2002" s="18"/>
      <c r="I2002" s="18"/>
    </row>
    <row r="2003" ht="15">
      <c r="A2003" s="25"/>
      <c r="B2003" s="25"/>
      <c r="C2003" s="25"/>
      <c r="D2003" s="25"/>
      <c r="E2003" s="25"/>
      <c r="F2003" s="17"/>
      <c r="G2003" s="18"/>
      <c r="H2003" s="18"/>
      <c r="I2003" s="18"/>
    </row>
    <row r="2004" ht="15">
      <c r="A2004" s="25"/>
      <c r="B2004" s="25"/>
      <c r="C2004" s="25"/>
      <c r="D2004" s="25"/>
      <c r="E2004" s="25"/>
      <c r="F2004" s="17"/>
      <c r="G2004" s="18"/>
      <c r="H2004" s="18"/>
      <c r="I2004" s="18"/>
    </row>
    <row r="2005" ht="15">
      <c r="A2005" s="25"/>
      <c r="B2005" s="25"/>
      <c r="C2005" s="25"/>
      <c r="D2005" s="25"/>
      <c r="E2005" s="25"/>
      <c r="F2005" s="17"/>
      <c r="G2005" s="18"/>
      <c r="H2005" s="18"/>
      <c r="I2005" s="18"/>
    </row>
    <row r="2006" ht="15">
      <c r="A2006" s="25"/>
      <c r="B2006" s="25"/>
      <c r="C2006" s="25"/>
      <c r="D2006" s="25"/>
      <c r="E2006" s="25"/>
      <c r="F2006" s="17"/>
      <c r="G2006" s="18"/>
      <c r="H2006" s="18"/>
      <c r="I2006" s="18"/>
    </row>
    <row r="2007" ht="15">
      <c r="A2007" s="25"/>
      <c r="B2007" s="25"/>
      <c r="C2007" s="25"/>
      <c r="D2007" s="25"/>
      <c r="E2007" s="25"/>
      <c r="F2007" s="17"/>
      <c r="G2007" s="18"/>
      <c r="H2007" s="18"/>
      <c r="I2007" s="18"/>
    </row>
    <row r="2008" ht="15">
      <c r="A2008" s="25"/>
      <c r="B2008" s="25"/>
      <c r="C2008" s="25"/>
      <c r="D2008" s="25"/>
      <c r="E2008" s="25"/>
      <c r="F2008" s="17"/>
      <c r="G2008" s="18"/>
      <c r="H2008" s="18"/>
      <c r="I2008" s="18"/>
    </row>
    <row r="2009" ht="15">
      <c r="A2009" s="25"/>
      <c r="B2009" s="25"/>
      <c r="C2009" s="25"/>
      <c r="D2009" s="25"/>
      <c r="E2009" s="25"/>
      <c r="F2009" s="17"/>
      <c r="G2009" s="18"/>
      <c r="H2009" s="18"/>
      <c r="I2009" s="18"/>
    </row>
    <row r="2010" ht="15">
      <c r="A2010" s="25"/>
      <c r="B2010" s="25"/>
      <c r="C2010" s="25"/>
      <c r="D2010" s="25"/>
      <c r="E2010" s="25"/>
      <c r="F2010" s="17"/>
      <c r="G2010" s="18"/>
      <c r="H2010" s="18"/>
      <c r="I2010" s="18"/>
    </row>
    <row r="2011" ht="15">
      <c r="A2011" s="25"/>
      <c r="B2011" s="25"/>
      <c r="C2011" s="25"/>
      <c r="D2011" s="25"/>
      <c r="E2011" s="25"/>
      <c r="F2011" s="17"/>
      <c r="G2011" s="18"/>
      <c r="H2011" s="18"/>
      <c r="I2011" s="18"/>
    </row>
    <row r="2012" ht="15">
      <c r="A2012" s="25"/>
      <c r="B2012" s="25"/>
      <c r="C2012" s="25"/>
      <c r="D2012" s="25"/>
      <c r="E2012" s="25"/>
      <c r="F2012" s="17"/>
      <c r="G2012" s="18"/>
      <c r="H2012" s="18"/>
      <c r="I2012" s="18"/>
    </row>
    <row r="2013" ht="15">
      <c r="A2013" s="25"/>
      <c r="B2013" s="25"/>
      <c r="C2013" s="25"/>
      <c r="D2013" s="25"/>
      <c r="E2013" s="25"/>
      <c r="F2013" s="17"/>
      <c r="G2013" s="18"/>
      <c r="H2013" s="18"/>
      <c r="I2013" s="18"/>
    </row>
    <row r="2014" ht="15">
      <c r="A2014" s="25"/>
      <c r="B2014" s="25"/>
      <c r="C2014" s="25"/>
      <c r="D2014" s="25"/>
      <c r="E2014" s="25"/>
      <c r="F2014" s="17"/>
      <c r="G2014" s="18"/>
      <c r="H2014" s="18"/>
      <c r="I2014" s="18"/>
    </row>
    <row r="2015" ht="15">
      <c r="A2015" s="25"/>
      <c r="B2015" s="25"/>
      <c r="C2015" s="25"/>
      <c r="D2015" s="25"/>
      <c r="E2015" s="25"/>
      <c r="F2015" s="17"/>
      <c r="G2015" s="18"/>
      <c r="H2015" s="18"/>
      <c r="I2015" s="18"/>
    </row>
    <row r="2016" ht="15">
      <c r="A2016" s="25"/>
      <c r="B2016" s="25"/>
      <c r="C2016" s="25"/>
      <c r="D2016" s="25"/>
      <c r="E2016" s="25"/>
      <c r="F2016" s="17"/>
      <c r="G2016" s="18"/>
      <c r="H2016" s="18"/>
      <c r="I2016" s="18"/>
    </row>
    <row r="2017" ht="15">
      <c r="A2017" s="25"/>
      <c r="B2017" s="25"/>
      <c r="C2017" s="25"/>
      <c r="D2017" s="25"/>
      <c r="E2017" s="25"/>
      <c r="F2017" s="17"/>
      <c r="G2017" s="18"/>
      <c r="H2017" s="18"/>
      <c r="I2017" s="18"/>
    </row>
    <row r="2018" ht="15">
      <c r="A2018" s="25"/>
      <c r="B2018" s="25"/>
      <c r="C2018" s="25"/>
      <c r="D2018" s="25"/>
      <c r="E2018" s="25"/>
      <c r="F2018" s="17"/>
      <c r="G2018" s="18"/>
      <c r="H2018" s="18"/>
      <c r="I2018" s="18"/>
    </row>
    <row r="2019" ht="15">
      <c r="A2019" s="25"/>
      <c r="B2019" s="25"/>
      <c r="C2019" s="25"/>
      <c r="D2019" s="25"/>
      <c r="E2019" s="25"/>
      <c r="F2019" s="17"/>
      <c r="G2019" s="18"/>
      <c r="H2019" s="18"/>
      <c r="I2019" s="18"/>
    </row>
    <row r="2020" ht="15">
      <c r="A2020" s="25"/>
      <c r="B2020" s="25"/>
      <c r="C2020" s="25"/>
      <c r="D2020" s="25"/>
      <c r="E2020" s="25"/>
      <c r="F2020" s="17"/>
      <c r="G2020" s="18"/>
      <c r="H2020" s="18"/>
      <c r="I2020" s="18"/>
    </row>
    <row r="2021" ht="15">
      <c r="A2021" s="25"/>
      <c r="B2021" s="25"/>
      <c r="C2021" s="25"/>
      <c r="D2021" s="25"/>
      <c r="E2021" s="25"/>
      <c r="F2021" s="17"/>
      <c r="G2021" s="18"/>
      <c r="H2021" s="18"/>
      <c r="I2021" s="18"/>
    </row>
    <row r="2022" ht="15">
      <c r="A2022" s="25"/>
      <c r="B2022" s="25"/>
      <c r="C2022" s="25"/>
      <c r="D2022" s="25"/>
      <c r="E2022" s="25"/>
      <c r="F2022" s="17"/>
      <c r="G2022" s="18"/>
      <c r="H2022" s="18"/>
      <c r="I2022" s="18"/>
    </row>
    <row r="2023" ht="15">
      <c r="A2023" s="25"/>
      <c r="B2023" s="25"/>
      <c r="C2023" s="25"/>
      <c r="D2023" s="25"/>
      <c r="E2023" s="25"/>
      <c r="F2023" s="17"/>
      <c r="G2023" s="18"/>
      <c r="H2023" s="18"/>
      <c r="I2023" s="18"/>
    </row>
    <row r="2024" ht="15">
      <c r="A2024" s="25"/>
      <c r="B2024" s="25"/>
      <c r="C2024" s="25"/>
      <c r="D2024" s="25"/>
      <c r="E2024" s="25"/>
      <c r="F2024" s="17"/>
      <c r="G2024" s="18"/>
      <c r="H2024" s="18"/>
      <c r="I2024" s="18"/>
    </row>
    <row r="2025" ht="15">
      <c r="A2025" s="25"/>
      <c r="B2025" s="25"/>
      <c r="C2025" s="25"/>
      <c r="D2025" s="25"/>
      <c r="E2025" s="25"/>
      <c r="F2025" s="17"/>
      <c r="G2025" s="18"/>
      <c r="H2025" s="18"/>
      <c r="I2025" s="18"/>
    </row>
    <row r="2026" ht="15">
      <c r="A2026" s="25"/>
      <c r="B2026" s="25"/>
      <c r="C2026" s="25"/>
      <c r="D2026" s="25"/>
      <c r="E2026" s="25"/>
      <c r="F2026" s="17"/>
      <c r="G2026" s="18"/>
      <c r="H2026" s="18"/>
      <c r="I2026" s="18"/>
    </row>
    <row r="2027" ht="15">
      <c r="A2027" s="25"/>
      <c r="B2027" s="25"/>
      <c r="C2027" s="25"/>
      <c r="D2027" s="25"/>
      <c r="E2027" s="25"/>
      <c r="F2027" s="17"/>
      <c r="G2027" s="18"/>
      <c r="H2027" s="18"/>
      <c r="I2027" s="18"/>
    </row>
    <row r="2028" ht="15">
      <c r="A2028" s="25"/>
      <c r="B2028" s="25"/>
      <c r="C2028" s="25"/>
      <c r="D2028" s="25"/>
      <c r="E2028" s="25"/>
      <c r="F2028" s="17"/>
      <c r="G2028" s="18"/>
      <c r="H2028" s="18"/>
      <c r="I2028" s="18"/>
    </row>
    <row r="2029" ht="15">
      <c r="A2029" s="25"/>
      <c r="B2029" s="25"/>
      <c r="C2029" s="25"/>
      <c r="D2029" s="25"/>
      <c r="E2029" s="25"/>
      <c r="F2029" s="17"/>
      <c r="G2029" s="18"/>
      <c r="H2029" s="18"/>
      <c r="I2029" s="18"/>
    </row>
    <row r="2030" ht="15">
      <c r="A2030" s="25"/>
      <c r="B2030" s="25"/>
      <c r="C2030" s="25"/>
      <c r="D2030" s="25"/>
      <c r="E2030" s="25"/>
      <c r="F2030" s="17"/>
      <c r="G2030" s="18"/>
      <c r="H2030" s="18"/>
      <c r="I2030" s="18"/>
    </row>
    <row r="2031" ht="15">
      <c r="A2031" s="25"/>
      <c r="B2031" s="25"/>
      <c r="C2031" s="25"/>
      <c r="D2031" s="25"/>
      <c r="E2031" s="25"/>
      <c r="F2031" s="17"/>
      <c r="G2031" s="18"/>
      <c r="H2031" s="18"/>
      <c r="I2031" s="18"/>
    </row>
    <row r="2032" ht="15">
      <c r="A2032" s="25"/>
      <c r="B2032" s="25"/>
      <c r="C2032" s="25"/>
      <c r="D2032" s="25"/>
      <c r="E2032" s="25"/>
      <c r="F2032" s="17"/>
      <c r="G2032" s="18"/>
      <c r="H2032" s="18"/>
      <c r="I2032" s="18"/>
    </row>
    <row r="2033" ht="15">
      <c r="A2033" s="25"/>
      <c r="B2033" s="25"/>
      <c r="C2033" s="25"/>
      <c r="D2033" s="25"/>
      <c r="E2033" s="25"/>
      <c r="F2033" s="17"/>
      <c r="G2033" s="18"/>
      <c r="H2033" s="18"/>
      <c r="I2033" s="18"/>
    </row>
    <row r="2034" ht="15">
      <c r="A2034" s="25"/>
      <c r="B2034" s="25"/>
      <c r="C2034" s="25"/>
      <c r="D2034" s="25"/>
      <c r="E2034" s="25"/>
      <c r="F2034" s="17"/>
      <c r="G2034" s="18"/>
      <c r="H2034" s="18"/>
      <c r="I2034" s="18"/>
    </row>
    <row r="2035" ht="15">
      <c r="A2035" s="25"/>
      <c r="B2035" s="25"/>
      <c r="C2035" s="25"/>
      <c r="D2035" s="25"/>
      <c r="E2035" s="25"/>
      <c r="F2035" s="17"/>
      <c r="G2035" s="18"/>
      <c r="H2035" s="18"/>
      <c r="I2035" s="18"/>
    </row>
    <row r="2036" ht="15">
      <c r="A2036" s="25"/>
      <c r="B2036" s="25"/>
      <c r="C2036" s="25"/>
      <c r="D2036" s="25"/>
      <c r="E2036" s="25"/>
      <c r="F2036" s="17"/>
      <c r="G2036" s="18"/>
      <c r="H2036" s="18"/>
      <c r="I2036" s="18"/>
    </row>
    <row r="2037" ht="15">
      <c r="A2037" s="25"/>
      <c r="B2037" s="25"/>
      <c r="C2037" s="25"/>
      <c r="D2037" s="25"/>
      <c r="E2037" s="25"/>
      <c r="F2037" s="17"/>
      <c r="G2037" s="18"/>
      <c r="H2037" s="18"/>
      <c r="I2037" s="18"/>
    </row>
    <row r="2038" ht="15">
      <c r="A2038" s="25"/>
      <c r="B2038" s="25"/>
      <c r="C2038" s="25"/>
      <c r="D2038" s="25"/>
      <c r="E2038" s="25"/>
      <c r="F2038" s="17"/>
      <c r="G2038" s="18"/>
      <c r="H2038" s="18"/>
      <c r="I2038" s="18"/>
    </row>
    <row r="2039" ht="15">
      <c r="A2039" s="25"/>
      <c r="B2039" s="25"/>
      <c r="C2039" s="25"/>
      <c r="D2039" s="25"/>
      <c r="E2039" s="25"/>
      <c r="F2039" s="17"/>
      <c r="G2039" s="18"/>
      <c r="H2039" s="18"/>
      <c r="I2039" s="18"/>
    </row>
    <row r="2040" ht="15">
      <c r="A2040" s="25"/>
      <c r="B2040" s="25"/>
      <c r="C2040" s="25"/>
      <c r="D2040" s="25"/>
      <c r="E2040" s="25"/>
      <c r="F2040" s="17"/>
      <c r="G2040" s="18"/>
      <c r="H2040" s="18"/>
      <c r="I2040" s="18"/>
    </row>
    <row r="2041" ht="15">
      <c r="A2041" s="25"/>
      <c r="B2041" s="25"/>
      <c r="C2041" s="25"/>
      <c r="D2041" s="25"/>
      <c r="E2041" s="25"/>
      <c r="F2041" s="17"/>
      <c r="G2041" s="18"/>
      <c r="H2041" s="18"/>
      <c r="I2041" s="18"/>
    </row>
    <row r="2042" ht="15">
      <c r="A2042" s="25"/>
      <c r="B2042" s="25"/>
      <c r="C2042" s="25"/>
      <c r="D2042" s="25"/>
      <c r="E2042" s="25"/>
      <c r="F2042" s="17"/>
      <c r="G2042" s="18"/>
      <c r="H2042" s="18"/>
      <c r="I2042" s="18"/>
    </row>
    <row r="2043" ht="15">
      <c r="A2043" s="25"/>
      <c r="B2043" s="25"/>
      <c r="C2043" s="25"/>
      <c r="D2043" s="25"/>
      <c r="E2043" s="25"/>
      <c r="F2043" s="17"/>
      <c r="G2043" s="18"/>
      <c r="H2043" s="18"/>
      <c r="I2043" s="18"/>
    </row>
    <row r="2044" ht="15">
      <c r="A2044" s="25"/>
      <c r="B2044" s="25"/>
      <c r="C2044" s="25"/>
      <c r="D2044" s="25"/>
      <c r="E2044" s="25"/>
      <c r="F2044" s="17"/>
      <c r="G2044" s="18"/>
      <c r="H2044" s="18"/>
      <c r="I2044" s="18"/>
    </row>
    <row r="2045" ht="15">
      <c r="A2045" s="25"/>
      <c r="B2045" s="25"/>
      <c r="C2045" s="25"/>
      <c r="D2045" s="25"/>
      <c r="E2045" s="25"/>
      <c r="F2045" s="17"/>
      <c r="G2045" s="18"/>
      <c r="H2045" s="18"/>
      <c r="I2045" s="18"/>
    </row>
    <row r="2046" ht="15">
      <c r="A2046" s="25"/>
      <c r="B2046" s="25"/>
      <c r="C2046" s="25"/>
      <c r="D2046" s="25"/>
      <c r="E2046" s="25"/>
      <c r="F2046" s="17"/>
      <c r="G2046" s="18"/>
      <c r="H2046" s="18"/>
      <c r="I2046" s="18"/>
    </row>
    <row r="2047" ht="15">
      <c r="A2047" s="25"/>
      <c r="B2047" s="25"/>
      <c r="C2047" s="25"/>
      <c r="D2047" s="25"/>
      <c r="E2047" s="25"/>
      <c r="F2047" s="17"/>
      <c r="G2047" s="18"/>
      <c r="H2047" s="18"/>
      <c r="I2047" s="18"/>
    </row>
    <row r="2048" ht="15">
      <c r="A2048" s="25"/>
      <c r="B2048" s="25"/>
      <c r="C2048" s="25"/>
      <c r="D2048" s="25"/>
      <c r="E2048" s="25"/>
      <c r="F2048" s="17"/>
      <c r="G2048" s="18"/>
      <c r="H2048" s="18"/>
      <c r="I2048" s="18"/>
    </row>
    <row r="2049" ht="15">
      <c r="A2049" s="25"/>
      <c r="B2049" s="25"/>
      <c r="C2049" s="25"/>
      <c r="D2049" s="25"/>
      <c r="E2049" s="25"/>
      <c r="F2049" s="17"/>
      <c r="G2049" s="18"/>
      <c r="H2049" s="18"/>
      <c r="I2049" s="18"/>
    </row>
    <row r="2050" ht="15">
      <c r="A2050" s="25"/>
      <c r="B2050" s="25"/>
      <c r="C2050" s="25"/>
      <c r="D2050" s="25"/>
      <c r="E2050" s="25"/>
      <c r="F2050" s="17"/>
      <c r="G2050" s="18"/>
      <c r="H2050" s="18"/>
      <c r="I2050" s="18"/>
    </row>
    <row r="2051" ht="15">
      <c r="A2051" s="25"/>
      <c r="B2051" s="25"/>
      <c r="C2051" s="25"/>
      <c r="D2051" s="25"/>
      <c r="E2051" s="25"/>
      <c r="F2051" s="17"/>
      <c r="G2051" s="18"/>
      <c r="H2051" s="18"/>
      <c r="I2051" s="18"/>
    </row>
    <row r="2052" ht="15">
      <c r="A2052" s="25"/>
      <c r="B2052" s="25"/>
      <c r="C2052" s="25"/>
      <c r="D2052" s="25"/>
      <c r="E2052" s="25"/>
      <c r="F2052" s="17"/>
      <c r="G2052" s="18"/>
      <c r="H2052" s="18"/>
      <c r="I2052" s="18"/>
    </row>
    <row r="2053" ht="15">
      <c r="A2053" s="25"/>
      <c r="B2053" s="25"/>
      <c r="C2053" s="25"/>
      <c r="D2053" s="25"/>
      <c r="E2053" s="25"/>
      <c r="F2053" s="17"/>
      <c r="G2053" s="18"/>
      <c r="H2053" s="18"/>
      <c r="I2053" s="18"/>
    </row>
    <row r="2054" ht="15">
      <c r="A2054" s="25"/>
      <c r="B2054" s="25"/>
      <c r="C2054" s="25"/>
      <c r="D2054" s="25"/>
      <c r="E2054" s="25"/>
      <c r="F2054" s="17"/>
      <c r="G2054" s="18"/>
      <c r="H2054" s="18"/>
      <c r="I2054" s="18"/>
    </row>
    <row r="2055" ht="15">
      <c r="A2055" s="25"/>
      <c r="B2055" s="25"/>
      <c r="C2055" s="25"/>
      <c r="D2055" s="25"/>
      <c r="E2055" s="25"/>
      <c r="F2055" s="17"/>
      <c r="G2055" s="18"/>
      <c r="H2055" s="18"/>
      <c r="I2055" s="18"/>
    </row>
    <row r="2056" ht="15">
      <c r="A2056" s="25"/>
      <c r="B2056" s="25"/>
      <c r="C2056" s="25"/>
      <c r="D2056" s="25"/>
      <c r="E2056" s="25"/>
      <c r="F2056" s="17"/>
      <c r="G2056" s="18"/>
      <c r="H2056" s="18"/>
      <c r="I2056" s="18"/>
    </row>
    <row r="2057" ht="15">
      <c r="A2057" s="25"/>
      <c r="B2057" s="25"/>
      <c r="C2057" s="25"/>
      <c r="D2057" s="25"/>
      <c r="E2057" s="25"/>
      <c r="F2057" s="17"/>
      <c r="G2057" s="18"/>
      <c r="H2057" s="18"/>
      <c r="I2057" s="18"/>
    </row>
    <row r="2058" ht="15">
      <c r="A2058" s="25"/>
      <c r="B2058" s="25"/>
      <c r="C2058" s="25"/>
      <c r="D2058" s="25"/>
      <c r="E2058" s="25"/>
      <c r="F2058" s="17"/>
      <c r="G2058" s="18"/>
      <c r="H2058" s="18"/>
      <c r="I2058" s="18"/>
    </row>
    <row r="2059" ht="15">
      <c r="A2059" s="25"/>
      <c r="B2059" s="25"/>
      <c r="C2059" s="25"/>
      <c r="D2059" s="25"/>
      <c r="E2059" s="25"/>
      <c r="F2059" s="17"/>
      <c r="G2059" s="18"/>
      <c r="H2059" s="18"/>
      <c r="I2059" s="18"/>
    </row>
    <row r="2060" ht="15">
      <c r="A2060" s="25"/>
      <c r="B2060" s="25"/>
      <c r="C2060" s="25"/>
      <c r="D2060" s="25"/>
      <c r="E2060" s="25"/>
      <c r="F2060" s="17"/>
      <c r="G2060" s="18"/>
      <c r="H2060" s="18"/>
      <c r="I2060" s="18"/>
    </row>
    <row r="2061" ht="15">
      <c r="A2061" s="25"/>
      <c r="B2061" s="25"/>
      <c r="C2061" s="25"/>
      <c r="D2061" s="25"/>
      <c r="E2061" s="25"/>
      <c r="F2061" s="17"/>
      <c r="G2061" s="18"/>
      <c r="H2061" s="18"/>
      <c r="I2061" s="18"/>
    </row>
    <row r="2062" ht="15">
      <c r="A2062" s="25"/>
      <c r="B2062" s="25"/>
      <c r="C2062" s="25"/>
      <c r="D2062" s="25"/>
      <c r="E2062" s="25"/>
      <c r="F2062" s="17"/>
      <c r="G2062" s="18"/>
      <c r="H2062" s="18"/>
      <c r="I2062" s="18"/>
    </row>
    <row r="2063" ht="15">
      <c r="A2063" s="25"/>
      <c r="B2063" s="25"/>
      <c r="C2063" s="25"/>
      <c r="D2063" s="25"/>
      <c r="E2063" s="25"/>
      <c r="F2063" s="17"/>
      <c r="G2063" s="18"/>
      <c r="H2063" s="18"/>
      <c r="I2063" s="18"/>
    </row>
    <row r="2064" ht="15">
      <c r="A2064" s="25"/>
      <c r="B2064" s="25"/>
      <c r="C2064" s="25"/>
      <c r="D2064" s="25"/>
      <c r="E2064" s="25"/>
      <c r="F2064" s="17"/>
      <c r="G2064" s="18"/>
      <c r="H2064" s="18"/>
      <c r="I2064" s="18"/>
    </row>
    <row r="2065" ht="15">
      <c r="A2065" s="25"/>
      <c r="B2065" s="25"/>
      <c r="C2065" s="25"/>
      <c r="D2065" s="25"/>
      <c r="E2065" s="25"/>
      <c r="F2065" s="17"/>
      <c r="G2065" s="18"/>
      <c r="H2065" s="18"/>
      <c r="I2065" s="18"/>
    </row>
    <row r="2066" ht="15">
      <c r="A2066" s="25"/>
      <c r="B2066" s="25"/>
      <c r="C2066" s="25"/>
      <c r="D2066" s="25"/>
      <c r="E2066" s="25"/>
      <c r="F2066" s="17"/>
      <c r="G2066" s="18"/>
      <c r="H2066" s="18"/>
      <c r="I2066" s="18"/>
    </row>
    <row r="2067" ht="15">
      <c r="A2067" s="25"/>
      <c r="B2067" s="25"/>
      <c r="C2067" s="25"/>
      <c r="D2067" s="25"/>
      <c r="E2067" s="25"/>
      <c r="F2067" s="17"/>
      <c r="G2067" s="18"/>
      <c r="H2067" s="18"/>
      <c r="I2067" s="18"/>
    </row>
    <row r="2068" ht="15">
      <c r="A2068" s="25"/>
      <c r="B2068" s="25"/>
      <c r="C2068" s="25"/>
      <c r="D2068" s="25"/>
      <c r="E2068" s="25"/>
      <c r="F2068" s="17"/>
      <c r="G2068" s="18"/>
      <c r="H2068" s="18"/>
      <c r="I2068" s="18"/>
    </row>
    <row r="2069" ht="15">
      <c r="A2069" s="25"/>
      <c r="B2069" s="25"/>
      <c r="C2069" s="25"/>
      <c r="D2069" s="25"/>
      <c r="E2069" s="25"/>
      <c r="F2069" s="17"/>
      <c r="G2069" s="18"/>
      <c r="H2069" s="18"/>
      <c r="I2069" s="18"/>
    </row>
    <row r="2070" ht="15">
      <c r="A2070" s="25"/>
      <c r="B2070" s="25"/>
      <c r="C2070" s="25"/>
      <c r="D2070" s="25"/>
      <c r="E2070" s="25"/>
      <c r="F2070" s="17"/>
      <c r="G2070" s="18"/>
      <c r="H2070" s="18"/>
      <c r="I2070" s="18"/>
    </row>
    <row r="2071" ht="15">
      <c r="A2071" s="25"/>
      <c r="B2071" s="25"/>
      <c r="C2071" s="25"/>
      <c r="D2071" s="25"/>
      <c r="E2071" s="25"/>
      <c r="F2071" s="17"/>
      <c r="G2071" s="18"/>
      <c r="H2071" s="18"/>
      <c r="I2071" s="18"/>
    </row>
    <row r="2072" ht="15">
      <c r="A2072" s="25"/>
      <c r="B2072" s="25"/>
      <c r="C2072" s="25"/>
      <c r="D2072" s="25"/>
      <c r="E2072" s="25"/>
      <c r="F2072" s="17"/>
      <c r="G2072" s="18"/>
      <c r="H2072" s="18"/>
      <c r="I2072" s="18"/>
    </row>
    <row r="2073" ht="15">
      <c r="A2073" s="25"/>
      <c r="B2073" s="25"/>
      <c r="C2073" s="25"/>
      <c r="D2073" s="25"/>
      <c r="E2073" s="25"/>
      <c r="F2073" s="17"/>
      <c r="G2073" s="18"/>
      <c r="H2073" s="18"/>
      <c r="I2073" s="18"/>
    </row>
    <row r="2074" ht="15">
      <c r="A2074" s="25"/>
      <c r="B2074" s="25"/>
      <c r="C2074" s="25"/>
      <c r="D2074" s="25"/>
      <c r="E2074" s="25"/>
      <c r="F2074" s="17"/>
      <c r="G2074" s="18"/>
      <c r="H2074" s="18"/>
      <c r="I2074" s="18"/>
    </row>
    <row r="2075" ht="15">
      <c r="A2075" s="25"/>
      <c r="B2075" s="25"/>
      <c r="C2075" s="25"/>
      <c r="D2075" s="25"/>
      <c r="E2075" s="25"/>
      <c r="F2075" s="17"/>
      <c r="G2075" s="18"/>
      <c r="H2075" s="18"/>
      <c r="I2075" s="18"/>
    </row>
    <row r="2076" ht="15">
      <c r="A2076" s="25"/>
      <c r="B2076" s="25"/>
      <c r="C2076" s="25"/>
      <c r="D2076" s="25"/>
      <c r="E2076" s="25"/>
      <c r="F2076" s="17"/>
      <c r="G2076" s="18"/>
      <c r="H2076" s="18"/>
      <c r="I2076" s="18"/>
    </row>
    <row r="2077" ht="15">
      <c r="A2077" s="25"/>
      <c r="B2077" s="25"/>
      <c r="C2077" s="25"/>
      <c r="D2077" s="25"/>
      <c r="E2077" s="25"/>
      <c r="F2077" s="17"/>
      <c r="G2077" s="18"/>
      <c r="H2077" s="18"/>
      <c r="I2077" s="18"/>
    </row>
    <row r="2078" ht="15">
      <c r="A2078" s="25"/>
      <c r="B2078" s="25"/>
      <c r="C2078" s="25"/>
      <c r="D2078" s="25"/>
      <c r="E2078" s="25"/>
      <c r="F2078" s="17"/>
      <c r="G2078" s="18"/>
      <c r="H2078" s="18"/>
      <c r="I2078" s="18"/>
    </row>
    <row r="2079" ht="15">
      <c r="A2079" s="25"/>
      <c r="B2079" s="25"/>
      <c r="C2079" s="25"/>
      <c r="D2079" s="25"/>
      <c r="E2079" s="25"/>
      <c r="F2079" s="17"/>
      <c r="G2079" s="18"/>
      <c r="H2079" s="18"/>
      <c r="I2079" s="18"/>
    </row>
    <row r="2080" ht="15">
      <c r="A2080" s="25"/>
      <c r="B2080" s="25"/>
      <c r="C2080" s="25"/>
      <c r="D2080" s="25"/>
      <c r="E2080" s="25"/>
      <c r="F2080" s="17"/>
      <c r="G2080" s="18"/>
      <c r="H2080" s="18"/>
      <c r="I2080" s="18"/>
    </row>
    <row r="2081" ht="15">
      <c r="A2081" s="25"/>
      <c r="B2081" s="25"/>
      <c r="C2081" s="25"/>
      <c r="D2081" s="25"/>
      <c r="E2081" s="25"/>
      <c r="F2081" s="17"/>
      <c r="G2081" s="18"/>
      <c r="H2081" s="18"/>
      <c r="I2081" s="18"/>
    </row>
    <row r="2082" ht="15">
      <c r="A2082" s="25"/>
      <c r="B2082" s="25"/>
      <c r="C2082" s="25"/>
      <c r="D2082" s="25"/>
      <c r="E2082" s="25"/>
      <c r="F2082" s="17"/>
      <c r="G2082" s="18"/>
      <c r="H2082" s="18"/>
      <c r="I2082" s="18"/>
    </row>
    <row r="2083" ht="15">
      <c r="A2083" s="25"/>
      <c r="B2083" s="25"/>
      <c r="C2083" s="25"/>
      <c r="D2083" s="25"/>
      <c r="E2083" s="25"/>
      <c r="F2083" s="17"/>
      <c r="G2083" s="18"/>
      <c r="H2083" s="18"/>
      <c r="I2083" s="18"/>
    </row>
    <row r="2084" ht="15">
      <c r="A2084" s="25"/>
      <c r="B2084" s="25"/>
      <c r="C2084" s="25"/>
      <c r="D2084" s="25"/>
      <c r="E2084" s="25"/>
      <c r="F2084" s="17"/>
      <c r="G2084" s="18"/>
      <c r="H2084" s="18"/>
      <c r="I2084" s="18"/>
    </row>
    <row r="2085" ht="15">
      <c r="A2085" s="25"/>
      <c r="B2085" s="25"/>
      <c r="C2085" s="25"/>
      <c r="D2085" s="25"/>
      <c r="E2085" s="25"/>
      <c r="F2085" s="17"/>
      <c r="G2085" s="18"/>
      <c r="H2085" s="18"/>
      <c r="I2085" s="18"/>
    </row>
    <row r="2086" ht="15">
      <c r="A2086" s="25"/>
      <c r="B2086" s="25"/>
      <c r="C2086" s="25"/>
      <c r="D2086" s="25"/>
      <c r="E2086" s="25"/>
      <c r="F2086" s="17"/>
      <c r="G2086" s="18"/>
      <c r="H2086" s="18"/>
      <c r="I2086" s="18"/>
    </row>
    <row r="2087" ht="15">
      <c r="A2087" s="25"/>
      <c r="B2087" s="25"/>
      <c r="C2087" s="25"/>
      <c r="D2087" s="25"/>
      <c r="E2087" s="25"/>
      <c r="F2087" s="17"/>
      <c r="G2087" s="18"/>
      <c r="H2087" s="18"/>
      <c r="I2087" s="18"/>
    </row>
    <row r="2088" ht="15">
      <c r="A2088" s="25"/>
      <c r="B2088" s="25"/>
      <c r="C2088" s="25"/>
      <c r="D2088" s="25"/>
      <c r="E2088" s="25"/>
      <c r="F2088" s="17"/>
      <c r="G2088" s="18"/>
      <c r="H2088" s="18"/>
      <c r="I2088" s="18"/>
    </row>
    <row r="2089" ht="15">
      <c r="A2089" s="25"/>
      <c r="B2089" s="25"/>
      <c r="C2089" s="25"/>
      <c r="D2089" s="25"/>
      <c r="E2089" s="25"/>
      <c r="F2089" s="17"/>
      <c r="G2089" s="18"/>
      <c r="H2089" s="18"/>
      <c r="I2089" s="18"/>
    </row>
    <row r="2090" ht="15">
      <c r="A2090" s="25"/>
      <c r="B2090" s="25"/>
      <c r="C2090" s="25"/>
      <c r="D2090" s="25"/>
      <c r="E2090" s="25"/>
      <c r="F2090" s="17"/>
      <c r="G2090" s="18"/>
      <c r="H2090" s="18"/>
      <c r="I2090" s="18"/>
    </row>
    <row r="2091" ht="15">
      <c r="A2091" s="25"/>
      <c r="B2091" s="25"/>
      <c r="C2091" s="25"/>
      <c r="D2091" s="25"/>
      <c r="E2091" s="25"/>
      <c r="F2091" s="17"/>
      <c r="G2091" s="18"/>
      <c r="H2091" s="18"/>
      <c r="I2091" s="18"/>
    </row>
    <row r="2092" ht="15">
      <c r="A2092" s="25"/>
      <c r="B2092" s="25"/>
      <c r="C2092" s="25"/>
      <c r="D2092" s="25"/>
      <c r="E2092" s="25"/>
      <c r="F2092" s="17"/>
      <c r="G2092" s="18"/>
      <c r="H2092" s="18"/>
      <c r="I2092" s="18"/>
    </row>
    <row r="2093" ht="15">
      <c r="A2093" s="25"/>
      <c r="B2093" s="25"/>
      <c r="C2093" s="25"/>
      <c r="D2093" s="25"/>
      <c r="E2093" s="25"/>
      <c r="F2093" s="17"/>
      <c r="G2093" s="18"/>
      <c r="H2093" s="18"/>
      <c r="I2093" s="18"/>
    </row>
    <row r="2094" ht="15">
      <c r="A2094" s="25"/>
      <c r="B2094" s="25"/>
      <c r="C2094" s="25"/>
      <c r="D2094" s="25"/>
      <c r="E2094" s="25"/>
      <c r="F2094" s="17"/>
      <c r="G2094" s="18"/>
      <c r="H2094" s="18"/>
      <c r="I2094" s="18"/>
    </row>
    <row r="2095" ht="15">
      <c r="A2095" s="25"/>
      <c r="B2095" s="25"/>
      <c r="C2095" s="25"/>
      <c r="D2095" s="25"/>
      <c r="E2095" s="25"/>
      <c r="F2095" s="17"/>
      <c r="G2095" s="18"/>
      <c r="H2095" s="18"/>
      <c r="I2095" s="18"/>
    </row>
    <row r="2096" ht="15">
      <c r="A2096" s="25"/>
      <c r="B2096" s="25"/>
      <c r="C2096" s="25"/>
      <c r="D2096" s="25"/>
      <c r="E2096" s="25"/>
      <c r="F2096" s="17"/>
      <c r="G2096" s="18"/>
      <c r="H2096" s="18"/>
      <c r="I2096" s="18"/>
    </row>
    <row r="2097" ht="15">
      <c r="A2097" s="25"/>
      <c r="B2097" s="25"/>
      <c r="C2097" s="25"/>
      <c r="D2097" s="25"/>
      <c r="E2097" s="25"/>
      <c r="F2097" s="17"/>
      <c r="G2097" s="18"/>
      <c r="H2097" s="18"/>
      <c r="I2097" s="18"/>
    </row>
    <row r="2098" ht="15">
      <c r="A2098" s="25"/>
      <c r="B2098" s="25"/>
      <c r="C2098" s="25"/>
      <c r="D2098" s="25"/>
      <c r="E2098" s="25"/>
      <c r="F2098" s="17"/>
      <c r="G2098" s="18"/>
      <c r="H2098" s="18"/>
      <c r="I2098" s="18"/>
    </row>
    <row r="2099" ht="15">
      <c r="A2099" s="25"/>
      <c r="B2099" s="25"/>
      <c r="C2099" s="25"/>
      <c r="D2099" s="25"/>
      <c r="E2099" s="25"/>
      <c r="F2099" s="17"/>
      <c r="G2099" s="18"/>
      <c r="H2099" s="18"/>
      <c r="I2099" s="18"/>
    </row>
    <row r="2100" ht="15">
      <c r="A2100" s="25"/>
      <c r="B2100" s="25"/>
      <c r="C2100" s="25"/>
      <c r="D2100" s="25"/>
      <c r="E2100" s="25"/>
      <c r="F2100" s="17"/>
      <c r="G2100" s="18"/>
      <c r="H2100" s="18"/>
      <c r="I2100" s="18"/>
    </row>
    <row r="2101" ht="15">
      <c r="A2101" s="25"/>
      <c r="B2101" s="25"/>
      <c r="C2101" s="25"/>
      <c r="D2101" s="25"/>
      <c r="E2101" s="25"/>
      <c r="F2101" s="17"/>
      <c r="G2101" s="18"/>
      <c r="H2101" s="18"/>
      <c r="I2101" s="18"/>
    </row>
    <row r="2102" ht="15">
      <c r="A2102" s="25"/>
      <c r="B2102" s="25"/>
      <c r="C2102" s="25"/>
      <c r="D2102" s="25"/>
      <c r="E2102" s="25"/>
      <c r="F2102" s="17"/>
      <c r="G2102" s="18"/>
      <c r="H2102" s="18"/>
      <c r="I2102" s="18"/>
    </row>
    <row r="2103" ht="15">
      <c r="A2103" s="25"/>
      <c r="B2103" s="25"/>
      <c r="C2103" s="25"/>
      <c r="D2103" s="25"/>
      <c r="E2103" s="25"/>
      <c r="F2103" s="17"/>
      <c r="G2103" s="18"/>
      <c r="H2103" s="18"/>
      <c r="I2103" s="18"/>
    </row>
    <row r="2104" ht="15">
      <c r="A2104" s="25"/>
      <c r="B2104" s="25"/>
      <c r="C2104" s="25"/>
      <c r="D2104" s="25"/>
      <c r="E2104" s="25"/>
      <c r="F2104" s="17"/>
      <c r="G2104" s="18"/>
      <c r="H2104" s="18"/>
      <c r="I2104" s="18"/>
    </row>
    <row r="2105" ht="15">
      <c r="A2105" s="25"/>
      <c r="B2105" s="25"/>
      <c r="C2105" s="25"/>
      <c r="D2105" s="25"/>
      <c r="E2105" s="25"/>
      <c r="F2105" s="17"/>
      <c r="G2105" s="18"/>
      <c r="H2105" s="18"/>
      <c r="I2105" s="18"/>
    </row>
    <row r="2106" ht="15">
      <c r="A2106" s="25"/>
      <c r="B2106" s="25"/>
      <c r="C2106" s="25"/>
      <c r="D2106" s="25"/>
      <c r="E2106" s="25"/>
      <c r="F2106" s="17"/>
      <c r="G2106" s="18"/>
      <c r="H2106" s="18"/>
      <c r="I2106" s="18"/>
    </row>
    <row r="2107" ht="15">
      <c r="A2107" s="25"/>
      <c r="B2107" s="25"/>
      <c r="C2107" s="25"/>
      <c r="D2107" s="25"/>
      <c r="E2107" s="25"/>
      <c r="F2107" s="17"/>
      <c r="G2107" s="18"/>
      <c r="H2107" s="18"/>
      <c r="I2107" s="18"/>
    </row>
    <row r="2108" ht="15">
      <c r="A2108" s="25"/>
      <c r="B2108" s="25"/>
      <c r="C2108" s="25"/>
      <c r="D2108" s="25"/>
      <c r="E2108" s="25"/>
      <c r="F2108" s="17"/>
      <c r="G2108" s="18"/>
      <c r="H2108" s="18"/>
      <c r="I2108" s="18"/>
    </row>
    <row r="2109" ht="15">
      <c r="A2109" s="25"/>
      <c r="B2109" s="25"/>
      <c r="C2109" s="25"/>
      <c r="D2109" s="25"/>
      <c r="E2109" s="25"/>
      <c r="F2109" s="17"/>
      <c r="G2109" s="18"/>
      <c r="H2109" s="18"/>
      <c r="I2109" s="18"/>
    </row>
    <row r="2110" ht="15">
      <c r="A2110" s="25"/>
      <c r="B2110" s="25"/>
      <c r="C2110" s="25"/>
      <c r="D2110" s="25"/>
      <c r="E2110" s="25"/>
      <c r="F2110" s="17"/>
      <c r="G2110" s="18"/>
      <c r="H2110" s="18"/>
      <c r="I2110" s="18"/>
    </row>
    <row r="2111" ht="15">
      <c r="A2111" s="25"/>
      <c r="B2111" s="25"/>
      <c r="C2111" s="25"/>
      <c r="D2111" s="25"/>
      <c r="E2111" s="25"/>
      <c r="F2111" s="17"/>
      <c r="G2111" s="18"/>
      <c r="H2111" s="18"/>
      <c r="I2111" s="18"/>
    </row>
    <row r="2112" ht="15">
      <c r="A2112" s="25"/>
      <c r="B2112" s="25"/>
      <c r="C2112" s="25"/>
      <c r="D2112" s="25"/>
      <c r="E2112" s="25"/>
      <c r="F2112" s="17"/>
      <c r="G2112" s="18"/>
      <c r="H2112" s="18"/>
      <c r="I2112" s="18"/>
    </row>
    <row r="2113" ht="15">
      <c r="A2113" s="25"/>
      <c r="B2113" s="25"/>
      <c r="C2113" s="25"/>
      <c r="D2113" s="25"/>
      <c r="E2113" s="25"/>
      <c r="F2113" s="17"/>
      <c r="G2113" s="18"/>
      <c r="H2113" s="18"/>
      <c r="I2113" s="18"/>
    </row>
    <row r="2114" ht="15">
      <c r="A2114" s="25"/>
      <c r="B2114" s="25"/>
      <c r="C2114" s="25"/>
      <c r="D2114" s="25"/>
      <c r="E2114" s="25"/>
      <c r="F2114" s="17"/>
      <c r="G2114" s="18"/>
      <c r="H2114" s="18"/>
      <c r="I2114" s="18"/>
    </row>
    <row r="2115" ht="15">
      <c r="A2115" s="25"/>
      <c r="B2115" s="25"/>
      <c r="C2115" s="25"/>
      <c r="D2115" s="25"/>
      <c r="E2115" s="25"/>
      <c r="F2115" s="17"/>
      <c r="G2115" s="18"/>
      <c r="H2115" s="18"/>
      <c r="I2115" s="18"/>
    </row>
    <row r="2116" ht="15">
      <c r="A2116" s="25"/>
      <c r="B2116" s="25"/>
      <c r="C2116" s="25"/>
      <c r="D2116" s="25"/>
      <c r="E2116" s="25"/>
      <c r="F2116" s="17"/>
      <c r="G2116" s="18"/>
      <c r="H2116" s="18"/>
      <c r="I2116" s="18"/>
    </row>
    <row r="2117" ht="15">
      <c r="A2117" s="25"/>
      <c r="B2117" s="25"/>
      <c r="C2117" s="25"/>
      <c r="D2117" s="25"/>
      <c r="E2117" s="25"/>
      <c r="F2117" s="17"/>
      <c r="G2117" s="18"/>
      <c r="H2117" s="18"/>
      <c r="I2117" s="18"/>
    </row>
    <row r="2118" ht="15">
      <c r="A2118" s="25"/>
      <c r="B2118" s="25"/>
      <c r="C2118" s="25"/>
      <c r="D2118" s="25"/>
      <c r="E2118" s="25"/>
      <c r="F2118" s="17"/>
      <c r="G2118" s="18"/>
      <c r="H2118" s="18"/>
      <c r="I2118" s="18"/>
    </row>
    <row r="2119" ht="15">
      <c r="A2119" s="25"/>
      <c r="B2119" s="25"/>
      <c r="C2119" s="25"/>
      <c r="D2119" s="25"/>
      <c r="E2119" s="25"/>
      <c r="F2119" s="17"/>
      <c r="G2119" s="18"/>
      <c r="H2119" s="18"/>
      <c r="I2119" s="18"/>
    </row>
    <row r="2120" ht="15">
      <c r="A2120" s="25"/>
      <c r="B2120" s="25"/>
      <c r="C2120" s="25"/>
      <c r="D2120" s="25"/>
      <c r="E2120" s="25"/>
      <c r="F2120" s="17"/>
      <c r="G2120" s="18"/>
      <c r="H2120" s="18"/>
      <c r="I2120" s="18"/>
    </row>
    <row r="2121" ht="15">
      <c r="A2121" s="25"/>
      <c r="B2121" s="25"/>
      <c r="C2121" s="25"/>
      <c r="D2121" s="25"/>
      <c r="E2121" s="25"/>
      <c r="F2121" s="17"/>
      <c r="G2121" s="18"/>
      <c r="H2121" s="18"/>
      <c r="I2121" s="18"/>
    </row>
    <row r="2122" ht="15">
      <c r="A2122" s="25"/>
      <c r="B2122" s="25"/>
      <c r="C2122" s="25"/>
      <c r="D2122" s="25"/>
      <c r="E2122" s="25"/>
      <c r="F2122" s="17"/>
      <c r="G2122" s="18"/>
      <c r="H2122" s="18"/>
      <c r="I2122" s="18"/>
    </row>
    <row r="2123" ht="15">
      <c r="A2123" s="25"/>
      <c r="B2123" s="25"/>
      <c r="C2123" s="25"/>
      <c r="D2123" s="25"/>
      <c r="E2123" s="25"/>
      <c r="F2123" s="17"/>
      <c r="G2123" s="18"/>
      <c r="H2123" s="18"/>
      <c r="I2123" s="18"/>
    </row>
    <row r="2124" ht="15">
      <c r="A2124" s="25"/>
      <c r="B2124" s="25"/>
      <c r="C2124" s="25"/>
      <c r="D2124" s="25"/>
      <c r="E2124" s="25"/>
      <c r="F2124" s="17"/>
      <c r="G2124" s="18"/>
      <c r="H2124" s="18"/>
      <c r="I2124" s="18"/>
    </row>
    <row r="2125" ht="15">
      <c r="A2125" s="25"/>
      <c r="B2125" s="25"/>
      <c r="C2125" s="25"/>
      <c r="D2125" s="25"/>
      <c r="E2125" s="25"/>
      <c r="F2125" s="17"/>
      <c r="G2125" s="18"/>
      <c r="H2125" s="18"/>
      <c r="I2125" s="18"/>
    </row>
    <row r="2126" ht="15">
      <c r="A2126" s="25"/>
      <c r="B2126" s="25"/>
      <c r="C2126" s="25"/>
      <c r="D2126" s="25"/>
      <c r="E2126" s="25"/>
      <c r="F2126" s="17"/>
      <c r="G2126" s="18"/>
      <c r="H2126" s="18"/>
      <c r="I2126" s="18"/>
    </row>
    <row r="2127" ht="15">
      <c r="A2127" s="25"/>
      <c r="B2127" s="25"/>
      <c r="C2127" s="25"/>
      <c r="D2127" s="25"/>
      <c r="E2127" s="25"/>
      <c r="F2127" s="17"/>
      <c r="G2127" s="18"/>
      <c r="H2127" s="18"/>
      <c r="I2127" s="18"/>
    </row>
    <row r="2128" ht="15">
      <c r="A2128" s="25"/>
      <c r="B2128" s="25"/>
      <c r="C2128" s="25"/>
      <c r="D2128" s="25"/>
      <c r="E2128" s="25"/>
      <c r="F2128" s="17"/>
      <c r="G2128" s="18"/>
      <c r="H2128" s="18"/>
      <c r="I2128" s="18"/>
    </row>
    <row r="2129" ht="15">
      <c r="A2129" s="25"/>
      <c r="B2129" s="25"/>
      <c r="C2129" s="25"/>
      <c r="D2129" s="25"/>
      <c r="E2129" s="25"/>
      <c r="F2129" s="17"/>
      <c r="G2129" s="18"/>
      <c r="H2129" s="18"/>
      <c r="I2129" s="18"/>
    </row>
    <row r="2130" ht="15">
      <c r="A2130" s="25"/>
      <c r="B2130" s="25"/>
      <c r="C2130" s="25"/>
      <c r="D2130" s="25"/>
      <c r="E2130" s="25"/>
      <c r="F2130" s="17"/>
      <c r="G2130" s="18"/>
      <c r="H2130" s="18"/>
      <c r="I2130" s="18"/>
    </row>
    <row r="2131" ht="15">
      <c r="A2131" s="25"/>
      <c r="B2131" s="25"/>
      <c r="C2131" s="25"/>
      <c r="D2131" s="25"/>
      <c r="E2131" s="25"/>
      <c r="F2131" s="17"/>
      <c r="G2131" s="18"/>
      <c r="H2131" s="18"/>
      <c r="I2131" s="18"/>
    </row>
    <row r="2132" ht="15">
      <c r="A2132" s="25"/>
      <c r="B2132" s="25"/>
      <c r="C2132" s="25"/>
      <c r="D2132" s="25"/>
      <c r="E2132" s="25"/>
      <c r="F2132" s="17"/>
      <c r="G2132" s="18"/>
      <c r="H2132" s="18"/>
      <c r="I2132" s="18"/>
    </row>
    <row r="2133" ht="15">
      <c r="A2133" s="25"/>
      <c r="B2133" s="25"/>
      <c r="C2133" s="25"/>
      <c r="D2133" s="25"/>
      <c r="E2133" s="25"/>
      <c r="F2133" s="17"/>
      <c r="G2133" s="18"/>
      <c r="H2133" s="18"/>
      <c r="I2133" s="18"/>
    </row>
    <row r="2134" ht="15">
      <c r="A2134" s="25"/>
      <c r="B2134" s="25"/>
      <c r="C2134" s="25"/>
      <c r="D2134" s="25"/>
      <c r="E2134" s="25"/>
      <c r="F2134" s="17"/>
      <c r="G2134" s="18"/>
      <c r="H2134" s="18"/>
      <c r="I2134" s="18"/>
    </row>
    <row r="2135" ht="15">
      <c r="A2135" s="25"/>
      <c r="B2135" s="25"/>
      <c r="C2135" s="25"/>
      <c r="D2135" s="25"/>
      <c r="E2135" s="25"/>
      <c r="F2135" s="17"/>
      <c r="G2135" s="18"/>
      <c r="H2135" s="18"/>
      <c r="I2135" s="18"/>
    </row>
    <row r="2136" ht="15">
      <c r="A2136" s="25"/>
      <c r="B2136" s="25"/>
      <c r="C2136" s="25"/>
      <c r="D2136" s="25"/>
      <c r="E2136" s="25"/>
      <c r="F2136" s="17"/>
      <c r="G2136" s="18"/>
      <c r="H2136" s="18"/>
      <c r="I2136" s="18"/>
    </row>
    <row r="2137" ht="15">
      <c r="A2137" s="25"/>
      <c r="B2137" s="25"/>
      <c r="C2137" s="25"/>
      <c r="D2137" s="25"/>
      <c r="E2137" s="25"/>
      <c r="F2137" s="17"/>
      <c r="G2137" s="18"/>
      <c r="H2137" s="18"/>
      <c r="I2137" s="18"/>
    </row>
    <row r="2138" ht="15">
      <c r="A2138" s="25"/>
      <c r="B2138" s="25"/>
      <c r="C2138" s="25"/>
      <c r="D2138" s="25"/>
      <c r="E2138" s="25"/>
      <c r="F2138" s="17"/>
      <c r="G2138" s="18"/>
      <c r="H2138" s="18"/>
      <c r="I2138" s="18"/>
    </row>
    <row r="2139" ht="15">
      <c r="A2139" s="25"/>
      <c r="B2139" s="25"/>
      <c r="C2139" s="25"/>
      <c r="D2139" s="25"/>
      <c r="E2139" s="25"/>
      <c r="F2139" s="17"/>
      <c r="G2139" s="18"/>
      <c r="H2139" s="18"/>
      <c r="I2139" s="18"/>
    </row>
    <row r="2140" ht="15">
      <c r="A2140" s="25"/>
      <c r="B2140" s="25"/>
      <c r="C2140" s="25"/>
      <c r="D2140" s="25"/>
      <c r="E2140" s="25"/>
      <c r="F2140" s="17"/>
      <c r="G2140" s="18"/>
      <c r="H2140" s="18"/>
      <c r="I2140" s="18"/>
    </row>
    <row r="2141" ht="15">
      <c r="A2141" s="25"/>
      <c r="B2141" s="25"/>
      <c r="C2141" s="25"/>
      <c r="D2141" s="25"/>
      <c r="E2141" s="25"/>
      <c r="F2141" s="17"/>
      <c r="G2141" s="18"/>
      <c r="H2141" s="18"/>
      <c r="I2141" s="18"/>
    </row>
    <row r="2142" ht="15">
      <c r="A2142" s="25"/>
      <c r="B2142" s="25"/>
      <c r="C2142" s="25"/>
      <c r="D2142" s="25"/>
      <c r="E2142" s="25"/>
      <c r="F2142" s="17"/>
      <c r="G2142" s="18"/>
      <c r="H2142" s="18"/>
      <c r="I2142" s="18"/>
    </row>
    <row r="2143" ht="15">
      <c r="A2143" s="25"/>
      <c r="B2143" s="25"/>
      <c r="C2143" s="25"/>
      <c r="D2143" s="25"/>
      <c r="E2143" s="25"/>
      <c r="F2143" s="17"/>
      <c r="G2143" s="18"/>
      <c r="H2143" s="18"/>
      <c r="I2143" s="18"/>
    </row>
    <row r="2144" ht="15">
      <c r="A2144" s="25"/>
      <c r="B2144" s="25"/>
      <c r="C2144" s="25"/>
      <c r="D2144" s="25"/>
      <c r="E2144" s="25"/>
      <c r="F2144" s="17"/>
      <c r="G2144" s="18"/>
      <c r="H2144" s="18"/>
      <c r="I2144" s="18"/>
    </row>
    <row r="2145" ht="15">
      <c r="A2145" s="25"/>
      <c r="B2145" s="25"/>
      <c r="C2145" s="25"/>
      <c r="D2145" s="25"/>
      <c r="E2145" s="25"/>
      <c r="F2145" s="17"/>
      <c r="G2145" s="18"/>
      <c r="H2145" s="18"/>
      <c r="I2145" s="18"/>
    </row>
    <row r="2146" ht="15">
      <c r="A2146" s="25"/>
      <c r="B2146" s="25"/>
      <c r="C2146" s="25"/>
      <c r="D2146" s="25"/>
      <c r="E2146" s="25"/>
      <c r="F2146" s="17"/>
      <c r="G2146" s="18"/>
      <c r="H2146" s="18"/>
      <c r="I2146" s="18"/>
    </row>
    <row r="2147" ht="15">
      <c r="A2147" s="25"/>
      <c r="B2147" s="25"/>
      <c r="C2147" s="25"/>
      <c r="D2147" s="25"/>
      <c r="E2147" s="25"/>
      <c r="F2147" s="17"/>
      <c r="G2147" s="18"/>
      <c r="H2147" s="18"/>
      <c r="I2147" s="18"/>
    </row>
    <row r="2148" ht="15">
      <c r="A2148" s="25"/>
      <c r="B2148" s="25"/>
      <c r="C2148" s="25"/>
      <c r="D2148" s="25"/>
      <c r="E2148" s="25"/>
      <c r="F2148" s="17"/>
      <c r="G2148" s="18"/>
      <c r="H2148" s="18"/>
      <c r="I2148" s="18"/>
    </row>
    <row r="2149" ht="15">
      <c r="A2149" s="25"/>
      <c r="B2149" s="25"/>
      <c r="C2149" s="25"/>
      <c r="D2149" s="25"/>
      <c r="E2149" s="25"/>
      <c r="F2149" s="17"/>
      <c r="G2149" s="18"/>
      <c r="H2149" s="18"/>
      <c r="I2149" s="18"/>
    </row>
    <row r="2150" ht="15">
      <c r="A2150" s="25"/>
      <c r="B2150" s="25"/>
      <c r="C2150" s="25"/>
      <c r="D2150" s="25"/>
      <c r="E2150" s="25"/>
      <c r="F2150" s="17"/>
      <c r="G2150" s="18"/>
      <c r="H2150" s="18"/>
      <c r="I2150" s="18"/>
    </row>
    <row r="2151" ht="15">
      <c r="A2151" s="25"/>
      <c r="B2151" s="25"/>
      <c r="C2151" s="25"/>
      <c r="D2151" s="25"/>
      <c r="E2151" s="25"/>
      <c r="F2151" s="17"/>
      <c r="G2151" s="18"/>
      <c r="H2151" s="18"/>
      <c r="I2151" s="18"/>
    </row>
    <row r="2152" ht="15">
      <c r="A2152" s="25"/>
      <c r="B2152" s="25"/>
      <c r="C2152" s="25"/>
      <c r="D2152" s="25"/>
      <c r="E2152" s="25"/>
      <c r="F2152" s="17"/>
      <c r="G2152" s="18"/>
      <c r="H2152" s="18"/>
      <c r="I2152" s="18"/>
    </row>
    <row r="2153" ht="15">
      <c r="A2153" s="25"/>
      <c r="B2153" s="25"/>
      <c r="C2153" s="25"/>
      <c r="D2153" s="25"/>
      <c r="E2153" s="25"/>
      <c r="F2153" s="17"/>
      <c r="G2153" s="18"/>
      <c r="H2153" s="18"/>
      <c r="I2153" s="18"/>
    </row>
    <row r="2154" ht="15">
      <c r="A2154" s="25"/>
      <c r="B2154" s="25"/>
      <c r="C2154" s="25"/>
      <c r="D2154" s="25"/>
      <c r="E2154" s="25"/>
      <c r="F2154" s="17"/>
      <c r="G2154" s="18"/>
      <c r="H2154" s="18"/>
      <c r="I2154" s="18"/>
    </row>
    <row r="2155" ht="15">
      <c r="A2155" s="25"/>
      <c r="B2155" s="25"/>
      <c r="C2155" s="25"/>
      <c r="D2155" s="25"/>
      <c r="E2155" s="25"/>
      <c r="F2155" s="17"/>
      <c r="G2155" s="18"/>
      <c r="H2155" s="18"/>
      <c r="I2155" s="18"/>
    </row>
    <row r="2156" ht="15">
      <c r="A2156" s="25"/>
      <c r="B2156" s="25"/>
      <c r="C2156" s="25"/>
      <c r="D2156" s="25"/>
      <c r="E2156" s="25"/>
      <c r="F2156" s="17"/>
      <c r="G2156" s="18"/>
      <c r="H2156" s="18"/>
      <c r="I2156" s="18"/>
    </row>
    <row r="2157" ht="15">
      <c r="A2157" s="25"/>
      <c r="B2157" s="25"/>
      <c r="C2157" s="25"/>
      <c r="D2157" s="25"/>
      <c r="E2157" s="25"/>
      <c r="F2157" s="17"/>
      <c r="G2157" s="18"/>
      <c r="H2157" s="18"/>
      <c r="I2157" s="18"/>
    </row>
    <row r="2158" ht="15">
      <c r="A2158" s="25"/>
      <c r="B2158" s="25"/>
      <c r="C2158" s="25"/>
      <c r="D2158" s="25"/>
      <c r="E2158" s="25"/>
      <c r="F2158" s="17"/>
      <c r="G2158" s="18"/>
      <c r="H2158" s="18"/>
      <c r="I2158" s="18"/>
    </row>
    <row r="2159" ht="15">
      <c r="A2159" s="25"/>
      <c r="B2159" s="25"/>
      <c r="C2159" s="25"/>
      <c r="D2159" s="25"/>
      <c r="E2159" s="25"/>
      <c r="F2159" s="17"/>
      <c r="G2159" s="18"/>
      <c r="H2159" s="18"/>
      <c r="I2159" s="18"/>
    </row>
    <row r="2160" ht="15">
      <c r="A2160" s="25"/>
      <c r="B2160" s="25"/>
      <c r="C2160" s="25"/>
      <c r="D2160" s="25"/>
      <c r="E2160" s="25"/>
      <c r="F2160" s="17"/>
      <c r="G2160" s="18"/>
      <c r="H2160" s="18"/>
      <c r="I2160" s="18"/>
    </row>
    <row r="2161" ht="15">
      <c r="A2161" s="25"/>
      <c r="B2161" s="25"/>
      <c r="C2161" s="25"/>
      <c r="D2161" s="25"/>
      <c r="E2161" s="25"/>
      <c r="F2161" s="17"/>
      <c r="G2161" s="18"/>
      <c r="H2161" s="18"/>
      <c r="I2161" s="18"/>
    </row>
    <row r="2162" ht="15">
      <c r="A2162" s="25"/>
      <c r="B2162" s="25"/>
      <c r="C2162" s="25"/>
      <c r="D2162" s="25"/>
      <c r="E2162" s="25"/>
      <c r="F2162" s="17"/>
      <c r="G2162" s="18"/>
      <c r="H2162" s="18"/>
      <c r="I2162" s="18"/>
    </row>
    <row r="2163" ht="15">
      <c r="A2163" s="25"/>
      <c r="B2163" s="25"/>
      <c r="C2163" s="25"/>
      <c r="D2163" s="25"/>
      <c r="E2163" s="25"/>
      <c r="F2163" s="17"/>
      <c r="G2163" s="18"/>
      <c r="H2163" s="18"/>
      <c r="I2163" s="18"/>
    </row>
    <row r="2164" ht="15">
      <c r="A2164" s="25"/>
      <c r="B2164" s="25"/>
      <c r="C2164" s="25"/>
      <c r="D2164" s="25"/>
      <c r="E2164" s="25"/>
      <c r="F2164" s="17"/>
      <c r="G2164" s="18"/>
      <c r="H2164" s="18"/>
      <c r="I2164" s="18"/>
    </row>
    <row r="2165" ht="15">
      <c r="A2165" s="25"/>
      <c r="B2165" s="25"/>
      <c r="C2165" s="25"/>
      <c r="D2165" s="25"/>
      <c r="E2165" s="25"/>
      <c r="F2165" s="17"/>
      <c r="G2165" s="18"/>
      <c r="H2165" s="18"/>
      <c r="I2165" s="18"/>
    </row>
    <row r="2166" ht="15">
      <c r="A2166" s="25"/>
      <c r="B2166" s="25"/>
      <c r="C2166" s="25"/>
      <c r="D2166" s="25"/>
      <c r="E2166" s="25"/>
      <c r="F2166" s="17"/>
      <c r="G2166" s="18"/>
      <c r="H2166" s="18"/>
      <c r="I2166" s="18"/>
    </row>
    <row r="2167" ht="15">
      <c r="A2167" s="25"/>
      <c r="B2167" s="25"/>
      <c r="C2167" s="25"/>
      <c r="D2167" s="25"/>
      <c r="E2167" s="25"/>
      <c r="F2167" s="17"/>
      <c r="G2167" s="18"/>
      <c r="H2167" s="18"/>
      <c r="I2167" s="18"/>
    </row>
    <row r="2168" ht="15">
      <c r="A2168" s="25"/>
      <c r="B2168" s="25"/>
      <c r="C2168" s="25"/>
      <c r="D2168" s="25"/>
      <c r="E2168" s="25"/>
      <c r="F2168" s="17"/>
      <c r="G2168" s="18"/>
      <c r="H2168" s="18"/>
      <c r="I2168" s="18"/>
    </row>
    <row r="2169" ht="15">
      <c r="A2169" s="25"/>
      <c r="B2169" s="25"/>
      <c r="C2169" s="25"/>
      <c r="D2169" s="25"/>
      <c r="E2169" s="25"/>
      <c r="F2169" s="17"/>
      <c r="G2169" s="18"/>
      <c r="H2169" s="18"/>
      <c r="I2169" s="18"/>
    </row>
    <row r="2170" ht="15">
      <c r="A2170" s="25"/>
      <c r="B2170" s="25"/>
      <c r="C2170" s="25"/>
      <c r="D2170" s="25"/>
      <c r="E2170" s="25"/>
      <c r="F2170" s="17"/>
      <c r="G2170" s="18"/>
      <c r="H2170" s="18"/>
      <c r="I2170" s="18"/>
    </row>
    <row r="2171" ht="15">
      <c r="A2171" s="25"/>
      <c r="B2171" s="25"/>
      <c r="C2171" s="25"/>
      <c r="D2171" s="25"/>
      <c r="E2171" s="25"/>
      <c r="F2171" s="17"/>
      <c r="G2171" s="18"/>
      <c r="H2171" s="18"/>
      <c r="I2171" s="18"/>
    </row>
    <row r="2172" ht="15">
      <c r="A2172" s="25"/>
      <c r="B2172" s="25"/>
      <c r="C2172" s="25"/>
      <c r="D2172" s="25"/>
      <c r="E2172" s="25"/>
      <c r="F2172" s="17"/>
      <c r="G2172" s="18"/>
      <c r="H2172" s="18"/>
      <c r="I2172" s="18"/>
    </row>
    <row r="2173" ht="15">
      <c r="A2173" s="25"/>
      <c r="B2173" s="25"/>
      <c r="C2173" s="25"/>
      <c r="D2173" s="25"/>
      <c r="E2173" s="25"/>
      <c r="F2173" s="17"/>
      <c r="G2173" s="18"/>
      <c r="H2173" s="18"/>
      <c r="I2173" s="18"/>
    </row>
    <row r="2174" ht="15">
      <c r="A2174" s="25"/>
      <c r="B2174" s="25"/>
      <c r="C2174" s="25"/>
      <c r="D2174" s="25"/>
      <c r="E2174" s="25"/>
      <c r="F2174" s="17"/>
      <c r="G2174" s="18"/>
      <c r="H2174" s="18"/>
      <c r="I2174" s="18"/>
    </row>
    <row r="2175" ht="15">
      <c r="A2175" s="25"/>
      <c r="B2175" s="25"/>
      <c r="C2175" s="25"/>
      <c r="D2175" s="25"/>
      <c r="E2175" s="25"/>
      <c r="F2175" s="17"/>
      <c r="G2175" s="18"/>
      <c r="H2175" s="18"/>
      <c r="I2175" s="18"/>
    </row>
    <row r="2176" ht="15">
      <c r="A2176" s="25"/>
      <c r="B2176" s="25"/>
      <c r="C2176" s="25"/>
      <c r="D2176" s="25"/>
      <c r="E2176" s="25"/>
      <c r="F2176" s="17"/>
      <c r="G2176" s="18"/>
      <c r="H2176" s="18"/>
      <c r="I2176" s="18"/>
    </row>
    <row r="2177" ht="15">
      <c r="A2177" s="25"/>
      <c r="B2177" s="25"/>
      <c r="C2177" s="25"/>
      <c r="D2177" s="25"/>
      <c r="E2177" s="25"/>
      <c r="F2177" s="17"/>
      <c r="G2177" s="18"/>
      <c r="H2177" s="18"/>
      <c r="I2177" s="18"/>
    </row>
    <row r="2178" ht="15">
      <c r="A2178" s="25"/>
      <c r="B2178" s="25"/>
      <c r="C2178" s="25"/>
      <c r="D2178" s="25"/>
      <c r="E2178" s="25"/>
      <c r="F2178" s="17"/>
      <c r="G2178" s="18"/>
      <c r="H2178" s="18"/>
      <c r="I2178" s="18"/>
    </row>
    <row r="2179" ht="15">
      <c r="A2179" s="25"/>
      <c r="B2179" s="25"/>
      <c r="C2179" s="25"/>
      <c r="D2179" s="25"/>
      <c r="E2179" s="25"/>
      <c r="F2179" s="17"/>
      <c r="G2179" s="18"/>
      <c r="H2179" s="18"/>
      <c r="I2179" s="18"/>
    </row>
    <row r="2180" ht="15">
      <c r="A2180" s="25"/>
      <c r="B2180" s="25"/>
      <c r="C2180" s="25"/>
      <c r="D2180" s="25"/>
      <c r="E2180" s="25"/>
      <c r="F2180" s="17"/>
      <c r="G2180" s="18"/>
      <c r="H2180" s="18"/>
      <c r="I2180" s="18"/>
    </row>
    <row r="2181" ht="15">
      <c r="A2181" s="25"/>
      <c r="B2181" s="25"/>
      <c r="C2181" s="25"/>
      <c r="D2181" s="25"/>
      <c r="E2181" s="25"/>
      <c r="F2181" s="17"/>
      <c r="G2181" s="18"/>
      <c r="H2181" s="18"/>
      <c r="I2181" s="18"/>
    </row>
    <row r="2182" ht="15">
      <c r="A2182" s="25"/>
      <c r="B2182" s="25"/>
      <c r="C2182" s="25"/>
      <c r="D2182" s="25"/>
      <c r="E2182" s="25"/>
      <c r="F2182" s="17"/>
      <c r="G2182" s="18"/>
      <c r="H2182" s="18"/>
      <c r="I2182" s="18"/>
    </row>
    <row r="2183" ht="15">
      <c r="A2183" s="25"/>
      <c r="B2183" s="25"/>
      <c r="C2183" s="25"/>
      <c r="D2183" s="25"/>
      <c r="E2183" s="25"/>
      <c r="F2183" s="17"/>
      <c r="G2183" s="18"/>
      <c r="H2183" s="18"/>
      <c r="I2183" s="18"/>
    </row>
    <row r="2184" ht="15">
      <c r="A2184" s="25"/>
      <c r="B2184" s="25"/>
      <c r="C2184" s="25"/>
      <c r="D2184" s="25"/>
      <c r="E2184" s="25"/>
      <c r="F2184" s="17"/>
      <c r="G2184" s="18"/>
      <c r="H2184" s="18"/>
      <c r="I2184" s="18"/>
    </row>
    <row r="2185" ht="15">
      <c r="A2185" s="25"/>
      <c r="B2185" s="25"/>
      <c r="C2185" s="25"/>
      <c r="D2185" s="25"/>
      <c r="E2185" s="25"/>
      <c r="F2185" s="17"/>
      <c r="G2185" s="18"/>
      <c r="H2185" s="18"/>
      <c r="I2185" s="18"/>
    </row>
    <row r="2186" ht="15">
      <c r="A2186" s="25"/>
      <c r="B2186" s="25"/>
      <c r="C2186" s="25"/>
      <c r="D2186" s="25"/>
      <c r="E2186" s="25"/>
      <c r="F2186" s="17"/>
      <c r="G2186" s="18"/>
      <c r="H2186" s="18"/>
      <c r="I2186" s="18"/>
    </row>
    <row r="2187" ht="15">
      <c r="A2187" s="25"/>
      <c r="B2187" s="25"/>
      <c r="C2187" s="25"/>
      <c r="D2187" s="25"/>
      <c r="E2187" s="25"/>
      <c r="F2187" s="17"/>
      <c r="G2187" s="18"/>
      <c r="H2187" s="18"/>
      <c r="I2187" s="18"/>
    </row>
    <row r="2188" ht="15">
      <c r="A2188" s="25"/>
      <c r="B2188" s="25"/>
      <c r="C2188" s="25"/>
      <c r="D2188" s="25"/>
      <c r="E2188" s="25"/>
      <c r="F2188" s="17"/>
      <c r="G2188" s="18"/>
      <c r="H2188" s="18"/>
      <c r="I2188" s="18"/>
    </row>
    <row r="2189" ht="15">
      <c r="A2189" s="25"/>
      <c r="B2189" s="25"/>
      <c r="C2189" s="25"/>
      <c r="D2189" s="25"/>
      <c r="E2189" s="25"/>
      <c r="F2189" s="17"/>
      <c r="G2189" s="18"/>
      <c r="H2189" s="18"/>
      <c r="I2189" s="18"/>
    </row>
    <row r="2190" ht="15">
      <c r="A2190" s="25"/>
      <c r="B2190" s="25"/>
      <c r="C2190" s="25"/>
      <c r="D2190" s="25"/>
      <c r="E2190" s="25"/>
      <c r="F2190" s="17"/>
      <c r="G2190" s="18"/>
      <c r="H2190" s="18"/>
      <c r="I2190" s="18"/>
    </row>
    <row r="2191" ht="15">
      <c r="A2191" s="25"/>
      <c r="B2191" s="25"/>
      <c r="C2191" s="25"/>
      <c r="D2191" s="25"/>
      <c r="E2191" s="25"/>
      <c r="F2191" s="17"/>
      <c r="G2191" s="18"/>
      <c r="H2191" s="18"/>
      <c r="I2191" s="18"/>
    </row>
    <row r="2192" ht="15">
      <c r="A2192" s="25"/>
      <c r="B2192" s="25"/>
      <c r="C2192" s="25"/>
      <c r="D2192" s="25"/>
      <c r="E2192" s="25"/>
      <c r="F2192" s="17"/>
      <c r="G2192" s="18"/>
      <c r="H2192" s="18"/>
      <c r="I2192" s="18"/>
    </row>
    <row r="2193" ht="15">
      <c r="A2193" s="25"/>
      <c r="B2193" s="25"/>
      <c r="C2193" s="25"/>
      <c r="D2193" s="25"/>
      <c r="E2193" s="25"/>
      <c r="F2193" s="17"/>
      <c r="G2193" s="18"/>
      <c r="H2193" s="18"/>
      <c r="I2193" s="18"/>
    </row>
    <row r="2194" ht="15">
      <c r="A2194" s="25"/>
      <c r="B2194" s="25"/>
      <c r="C2194" s="25"/>
      <c r="D2194" s="25"/>
      <c r="E2194" s="25"/>
      <c r="F2194" s="17"/>
      <c r="G2194" s="18"/>
      <c r="H2194" s="18"/>
      <c r="I2194" s="18"/>
    </row>
    <row r="2195" ht="15">
      <c r="A2195" s="25"/>
      <c r="B2195" s="25"/>
      <c r="C2195" s="25"/>
      <c r="D2195" s="25"/>
      <c r="E2195" s="25"/>
      <c r="F2195" s="17"/>
      <c r="G2195" s="18"/>
      <c r="H2195" s="18"/>
      <c r="I2195" s="18"/>
    </row>
    <row r="2196" ht="15">
      <c r="A2196" s="25"/>
      <c r="B2196" s="25"/>
      <c r="C2196" s="25"/>
      <c r="D2196" s="25"/>
      <c r="E2196" s="25"/>
      <c r="F2196" s="17"/>
      <c r="G2196" s="18"/>
      <c r="H2196" s="18"/>
      <c r="I2196" s="18"/>
    </row>
    <row r="2197" ht="15">
      <c r="A2197" s="25"/>
      <c r="B2197" s="25"/>
      <c r="C2197" s="25"/>
      <c r="D2197" s="25"/>
      <c r="E2197" s="25"/>
      <c r="F2197" s="17"/>
      <c r="G2197" s="18"/>
      <c r="H2197" s="18"/>
      <c r="I2197" s="18"/>
    </row>
    <row r="2198" ht="15">
      <c r="A2198" s="25"/>
      <c r="B2198" s="25"/>
      <c r="C2198" s="25"/>
      <c r="D2198" s="25"/>
      <c r="E2198" s="25"/>
      <c r="F2198" s="17"/>
      <c r="G2198" s="18"/>
      <c r="H2198" s="18"/>
      <c r="I2198" s="18"/>
    </row>
    <row r="2199" ht="15">
      <c r="A2199" s="25"/>
      <c r="B2199" s="25"/>
      <c r="C2199" s="25"/>
      <c r="D2199" s="25"/>
      <c r="E2199" s="25"/>
      <c r="F2199" s="17"/>
      <c r="G2199" s="18"/>
      <c r="H2199" s="18"/>
      <c r="I2199" s="18"/>
    </row>
    <row r="2200" ht="15">
      <c r="A2200" s="25"/>
      <c r="B2200" s="25"/>
      <c r="C2200" s="25"/>
      <c r="D2200" s="25"/>
      <c r="E2200" s="25"/>
      <c r="F2200" s="17"/>
      <c r="G2200" s="18"/>
      <c r="H2200" s="18"/>
      <c r="I2200" s="18"/>
    </row>
    <row r="2201" ht="15">
      <c r="A2201" s="25"/>
      <c r="B2201" s="25"/>
      <c r="C2201" s="25"/>
      <c r="D2201" s="25"/>
      <c r="E2201" s="25"/>
      <c r="F2201" s="17"/>
      <c r="G2201" s="18"/>
      <c r="H2201" s="18"/>
      <c r="I2201" s="18"/>
    </row>
    <row r="2202" ht="15">
      <c r="A2202" s="25"/>
      <c r="B2202" s="25"/>
      <c r="C2202" s="25"/>
      <c r="D2202" s="25"/>
      <c r="E2202" s="25"/>
      <c r="F2202" s="17"/>
      <c r="G2202" s="18"/>
      <c r="H2202" s="18"/>
      <c r="I2202" s="18"/>
    </row>
    <row r="2203" ht="15">
      <c r="A2203" s="25"/>
      <c r="B2203" s="25"/>
      <c r="C2203" s="25"/>
      <c r="D2203" s="25"/>
      <c r="E2203" s="25"/>
      <c r="F2203" s="17"/>
      <c r="G2203" s="18"/>
      <c r="H2203" s="18"/>
      <c r="I2203" s="18"/>
    </row>
    <row r="2204" ht="15">
      <c r="A2204" s="25"/>
      <c r="B2204" s="25"/>
      <c r="C2204" s="25"/>
      <c r="D2204" s="25"/>
      <c r="E2204" s="25"/>
      <c r="F2204" s="17"/>
      <c r="G2204" s="18"/>
      <c r="H2204" s="18"/>
      <c r="I2204" s="18"/>
    </row>
    <row r="2205" ht="15">
      <c r="A2205" s="25"/>
      <c r="B2205" s="25"/>
      <c r="C2205" s="25"/>
      <c r="D2205" s="25"/>
      <c r="E2205" s="25"/>
      <c r="F2205" s="17"/>
      <c r="G2205" s="18"/>
      <c r="H2205" s="18"/>
      <c r="I2205" s="18"/>
    </row>
    <row r="2206" ht="15">
      <c r="A2206" s="25"/>
      <c r="B2206" s="25"/>
      <c r="C2206" s="25"/>
      <c r="D2206" s="25"/>
      <c r="E2206" s="25"/>
      <c r="F2206" s="17"/>
      <c r="G2206" s="18"/>
      <c r="H2206" s="18"/>
      <c r="I2206" s="18"/>
    </row>
    <row r="2207" ht="15">
      <c r="A2207" s="25"/>
      <c r="B2207" s="25"/>
      <c r="C2207" s="25"/>
      <c r="D2207" s="25"/>
      <c r="E2207" s="25"/>
      <c r="F2207" s="17"/>
      <c r="G2207" s="18"/>
      <c r="H2207" s="18"/>
      <c r="I2207" s="18"/>
    </row>
    <row r="2208" ht="15">
      <c r="A2208" s="25"/>
      <c r="B2208" s="25"/>
      <c r="C2208" s="25"/>
      <c r="D2208" s="25"/>
      <c r="E2208" s="25"/>
      <c r="F2208" s="17"/>
      <c r="G2208" s="18"/>
      <c r="H2208" s="18"/>
      <c r="I2208" s="18"/>
    </row>
    <row r="2209" ht="15">
      <c r="A2209" s="25"/>
      <c r="B2209" s="25"/>
      <c r="C2209" s="25"/>
      <c r="D2209" s="25"/>
      <c r="E2209" s="25"/>
      <c r="F2209" s="17"/>
      <c r="G2209" s="18"/>
      <c r="H2209" s="18"/>
      <c r="I2209" s="18"/>
    </row>
    <row r="2210" ht="15">
      <c r="A2210" s="25"/>
      <c r="B2210" s="25"/>
      <c r="C2210" s="25"/>
      <c r="D2210" s="25"/>
      <c r="E2210" s="25"/>
      <c r="F2210" s="17"/>
      <c r="G2210" s="18"/>
      <c r="H2210" s="18"/>
      <c r="I2210" s="18"/>
    </row>
    <row r="2211" ht="15">
      <c r="A2211" s="25"/>
      <c r="B2211" s="25"/>
      <c r="C2211" s="25"/>
      <c r="D2211" s="25"/>
      <c r="E2211" s="25"/>
      <c r="F2211" s="17"/>
      <c r="G2211" s="18"/>
      <c r="H2211" s="18"/>
      <c r="I2211" s="18"/>
    </row>
    <row r="2212" ht="15">
      <c r="A2212" s="25"/>
      <c r="B2212" s="25"/>
      <c r="C2212" s="25"/>
      <c r="D2212" s="25"/>
      <c r="E2212" s="25"/>
      <c r="F2212" s="17"/>
      <c r="G2212" s="18"/>
      <c r="H2212" s="18"/>
      <c r="I2212" s="18"/>
    </row>
    <row r="2213" ht="15">
      <c r="A2213" s="25"/>
      <c r="B2213" s="25"/>
      <c r="C2213" s="25"/>
      <c r="D2213" s="25"/>
      <c r="E2213" s="25"/>
      <c r="F2213" s="17"/>
      <c r="G2213" s="18"/>
      <c r="H2213" s="18"/>
      <c r="I2213" s="18"/>
    </row>
    <row r="2214" ht="15">
      <c r="A2214" s="25"/>
      <c r="B2214" s="25"/>
      <c r="C2214" s="25"/>
      <c r="D2214" s="25"/>
      <c r="E2214" s="25"/>
      <c r="F2214" s="17"/>
      <c r="G2214" s="18"/>
      <c r="H2214" s="18"/>
      <c r="I2214" s="18"/>
    </row>
    <row r="2215" ht="15">
      <c r="A2215" s="25"/>
      <c r="B2215" s="25"/>
      <c r="C2215" s="25"/>
      <c r="D2215" s="25"/>
      <c r="E2215" s="25"/>
      <c r="F2215" s="17"/>
      <c r="G2215" s="18"/>
      <c r="H2215" s="18"/>
      <c r="I2215" s="18"/>
    </row>
    <row r="2216" ht="15">
      <c r="A2216" s="25"/>
      <c r="B2216" s="25"/>
      <c r="C2216" s="25"/>
      <c r="D2216" s="25"/>
      <c r="E2216" s="25"/>
      <c r="F2216" s="17"/>
      <c r="G2216" s="18"/>
      <c r="H2216" s="18"/>
      <c r="I2216" s="18"/>
    </row>
    <row r="2217" ht="15">
      <c r="A2217" s="25"/>
      <c r="B2217" s="25"/>
      <c r="C2217" s="25"/>
      <c r="D2217" s="25"/>
      <c r="E2217" s="25"/>
      <c r="F2217" s="17"/>
      <c r="G2217" s="18"/>
      <c r="H2217" s="18"/>
      <c r="I2217" s="18"/>
    </row>
    <row r="2218" ht="15">
      <c r="A2218" s="25"/>
      <c r="B2218" s="25"/>
      <c r="C2218" s="25"/>
      <c r="D2218" s="25"/>
      <c r="E2218" s="25"/>
      <c r="F2218" s="17"/>
      <c r="G2218" s="18"/>
      <c r="H2218" s="18"/>
      <c r="I2218" s="18"/>
    </row>
    <row r="2219" ht="15">
      <c r="A2219" s="25"/>
      <c r="B2219" s="25"/>
      <c r="C2219" s="25"/>
      <c r="D2219" s="25"/>
      <c r="E2219" s="25"/>
      <c r="F2219" s="17"/>
      <c r="G2219" s="18"/>
      <c r="H2219" s="18"/>
      <c r="I2219" s="18"/>
    </row>
    <row r="2220" ht="15">
      <c r="A2220" s="25"/>
      <c r="B2220" s="25"/>
      <c r="C2220" s="25"/>
      <c r="D2220" s="25"/>
      <c r="E2220" s="25"/>
      <c r="F2220" s="17"/>
      <c r="G2220" s="18"/>
      <c r="H2220" s="18"/>
      <c r="I2220" s="18"/>
    </row>
    <row r="2221" ht="15">
      <c r="A2221" s="25"/>
      <c r="B2221" s="25"/>
      <c r="C2221" s="25"/>
      <c r="D2221" s="25"/>
      <c r="E2221" s="25"/>
      <c r="F2221" s="17"/>
      <c r="G2221" s="18"/>
      <c r="H2221" s="18"/>
      <c r="I2221" s="18"/>
    </row>
    <row r="2222" ht="15">
      <c r="A2222" s="25"/>
      <c r="B2222" s="25"/>
      <c r="C2222" s="25"/>
      <c r="D2222" s="25"/>
      <c r="E2222" s="25"/>
      <c r="F2222" s="17"/>
      <c r="G2222" s="18"/>
      <c r="H2222" s="18"/>
      <c r="I2222" s="18"/>
    </row>
    <row r="2223" ht="15">
      <c r="A2223" s="25"/>
      <c r="B2223" s="25"/>
      <c r="C2223" s="25"/>
      <c r="D2223" s="25"/>
      <c r="E2223" s="25"/>
      <c r="F2223" s="17"/>
      <c r="G2223" s="18"/>
      <c r="H2223" s="18"/>
      <c r="I2223" s="18"/>
    </row>
    <row r="2224" ht="15">
      <c r="A2224" s="25"/>
      <c r="B2224" s="25"/>
      <c r="C2224" s="25"/>
      <c r="D2224" s="25"/>
      <c r="E2224" s="25"/>
      <c r="F2224" s="17"/>
      <c r="G2224" s="18"/>
      <c r="H2224" s="18"/>
      <c r="I2224" s="18"/>
    </row>
    <row r="2225" ht="15">
      <c r="A2225" s="25"/>
      <c r="B2225" s="25"/>
      <c r="C2225" s="25"/>
      <c r="D2225" s="25"/>
      <c r="E2225" s="25"/>
      <c r="F2225" s="17"/>
      <c r="G2225" s="18"/>
      <c r="H2225" s="18"/>
      <c r="I2225" s="18"/>
    </row>
    <row r="2226" ht="15">
      <c r="A2226" s="25"/>
      <c r="B2226" s="25"/>
      <c r="C2226" s="25"/>
      <c r="D2226" s="25"/>
      <c r="E2226" s="25"/>
      <c r="F2226" s="17"/>
      <c r="G2226" s="18"/>
      <c r="H2226" s="18"/>
      <c r="I2226" s="18"/>
    </row>
    <row r="2227" ht="15">
      <c r="A2227" s="25"/>
      <c r="B2227" s="25"/>
      <c r="C2227" s="25"/>
      <c r="D2227" s="25"/>
      <c r="E2227" s="25"/>
      <c r="F2227" s="17"/>
      <c r="G2227" s="18"/>
      <c r="H2227" s="18"/>
      <c r="I2227" s="18"/>
    </row>
    <row r="2228" ht="15">
      <c r="A2228" s="25"/>
      <c r="B2228" s="25"/>
      <c r="C2228" s="25"/>
      <c r="D2228" s="25"/>
      <c r="E2228" s="25"/>
      <c r="F2228" s="17"/>
      <c r="G2228" s="18"/>
      <c r="H2228" s="18"/>
      <c r="I2228" s="18"/>
    </row>
    <row r="2229" ht="15">
      <c r="A2229" s="25"/>
      <c r="B2229" s="25"/>
      <c r="C2229" s="25"/>
      <c r="D2229" s="25"/>
      <c r="E2229" s="25"/>
      <c r="F2229" s="17"/>
      <c r="G2229" s="18"/>
      <c r="H2229" s="18"/>
      <c r="I2229" s="18"/>
    </row>
    <row r="2230" ht="15">
      <c r="A2230" s="25"/>
      <c r="B2230" s="25"/>
      <c r="C2230" s="25"/>
      <c r="D2230" s="25"/>
      <c r="E2230" s="25"/>
      <c r="F2230" s="17"/>
      <c r="G2230" s="18"/>
      <c r="H2230" s="18"/>
      <c r="I2230" s="18"/>
    </row>
    <row r="2231" ht="15">
      <c r="A2231" s="25"/>
      <c r="B2231" s="25"/>
      <c r="C2231" s="25"/>
      <c r="D2231" s="25"/>
      <c r="E2231" s="25"/>
      <c r="F2231" s="17"/>
      <c r="G2231" s="18"/>
      <c r="H2231" s="18"/>
      <c r="I2231" s="18"/>
    </row>
    <row r="2232" ht="15">
      <c r="A2232" s="25"/>
      <c r="B2232" s="25"/>
      <c r="C2232" s="25"/>
      <c r="D2232" s="25"/>
      <c r="E2232" s="25"/>
      <c r="F2232" s="17"/>
      <c r="G2232" s="18"/>
      <c r="H2232" s="18"/>
      <c r="I2232" s="18"/>
    </row>
    <row r="2233" ht="15">
      <c r="A2233" s="25"/>
      <c r="B2233" s="25"/>
      <c r="C2233" s="25"/>
      <c r="D2233" s="25"/>
      <c r="E2233" s="25"/>
      <c r="F2233" s="17"/>
      <c r="G2233" s="18"/>
      <c r="H2233" s="18"/>
      <c r="I2233" s="18"/>
    </row>
    <row r="2234" ht="15">
      <c r="A2234" s="25"/>
      <c r="B2234" s="25"/>
      <c r="C2234" s="25"/>
      <c r="D2234" s="25"/>
      <c r="E2234" s="25"/>
      <c r="F2234" s="17"/>
      <c r="G2234" s="18"/>
      <c r="H2234" s="18"/>
      <c r="I2234" s="18"/>
    </row>
    <row r="2235" ht="15">
      <c r="A2235" s="25"/>
      <c r="B2235" s="25"/>
      <c r="C2235" s="25"/>
      <c r="D2235" s="25"/>
      <c r="E2235" s="25"/>
      <c r="F2235" s="17"/>
      <c r="G2235" s="18"/>
      <c r="H2235" s="18"/>
      <c r="I2235" s="18"/>
    </row>
    <row r="2236" ht="15">
      <c r="A2236" s="25"/>
      <c r="B2236" s="25"/>
      <c r="C2236" s="25"/>
      <c r="D2236" s="25"/>
      <c r="E2236" s="25"/>
      <c r="F2236" s="17"/>
      <c r="G2236" s="18"/>
      <c r="H2236" s="18"/>
      <c r="I2236" s="18"/>
    </row>
    <row r="2237" ht="15">
      <c r="A2237" s="25"/>
      <c r="B2237" s="25"/>
      <c r="C2237" s="25"/>
      <c r="D2237" s="25"/>
      <c r="E2237" s="25"/>
      <c r="F2237" s="17"/>
      <c r="G2237" s="18"/>
      <c r="H2237" s="18"/>
      <c r="I2237" s="18"/>
    </row>
    <row r="2238" ht="15">
      <c r="A2238" s="25"/>
      <c r="B2238" s="25"/>
      <c r="C2238" s="25"/>
      <c r="D2238" s="25"/>
      <c r="E2238" s="25"/>
      <c r="F2238" s="17"/>
      <c r="G2238" s="18"/>
      <c r="H2238" s="18"/>
      <c r="I2238" s="18"/>
    </row>
    <row r="2239" ht="15">
      <c r="A2239" s="25"/>
      <c r="B2239" s="25"/>
      <c r="C2239" s="25"/>
      <c r="D2239" s="25"/>
      <c r="E2239" s="25"/>
      <c r="F2239" s="17"/>
      <c r="G2239" s="18"/>
      <c r="H2239" s="18"/>
      <c r="I2239" s="18"/>
    </row>
    <row r="2240" ht="15">
      <c r="A2240" s="25"/>
      <c r="B2240" s="25"/>
      <c r="C2240" s="25"/>
      <c r="D2240" s="25"/>
      <c r="E2240" s="25"/>
      <c r="F2240" s="17"/>
      <c r="G2240" s="18"/>
      <c r="H2240" s="18"/>
      <c r="I2240" s="18"/>
    </row>
    <row r="2241" ht="15">
      <c r="A2241" s="25"/>
      <c r="B2241" s="25"/>
      <c r="C2241" s="25"/>
      <c r="D2241" s="25"/>
      <c r="E2241" s="25"/>
      <c r="F2241" s="17"/>
      <c r="G2241" s="18"/>
      <c r="H2241" s="18"/>
      <c r="I2241" s="18"/>
    </row>
    <row r="2242" ht="15">
      <c r="A2242" s="25"/>
      <c r="B2242" s="25"/>
      <c r="C2242" s="25"/>
      <c r="D2242" s="25"/>
      <c r="E2242" s="25"/>
      <c r="F2242" s="17"/>
      <c r="G2242" s="18"/>
      <c r="H2242" s="18"/>
      <c r="I2242" s="18"/>
    </row>
    <row r="2243" ht="15">
      <c r="A2243" s="25"/>
      <c r="B2243" s="25"/>
      <c r="C2243" s="25"/>
      <c r="D2243" s="25"/>
      <c r="E2243" s="25"/>
      <c r="F2243" s="17"/>
      <c r="G2243" s="18"/>
      <c r="H2243" s="18"/>
      <c r="I2243" s="18"/>
    </row>
    <row r="2244" ht="15">
      <c r="A2244" s="25"/>
      <c r="B2244" s="25"/>
      <c r="C2244" s="25"/>
      <c r="D2244" s="25"/>
      <c r="E2244" s="25"/>
      <c r="F2244" s="17"/>
      <c r="G2244" s="18"/>
      <c r="H2244" s="18"/>
      <c r="I2244" s="18"/>
    </row>
    <row r="2245" ht="15">
      <c r="A2245" s="25"/>
      <c r="B2245" s="25"/>
      <c r="C2245" s="25"/>
      <c r="D2245" s="25"/>
      <c r="E2245" s="25"/>
      <c r="F2245" s="17"/>
      <c r="G2245" s="18"/>
      <c r="H2245" s="18"/>
      <c r="I2245" s="18"/>
    </row>
    <row r="2246" ht="15">
      <c r="A2246" s="25"/>
      <c r="B2246" s="25"/>
      <c r="C2246" s="25"/>
      <c r="D2246" s="25"/>
      <c r="E2246" s="25"/>
      <c r="F2246" s="17"/>
      <c r="G2246" s="18"/>
      <c r="H2246" s="18"/>
      <c r="I2246" s="18"/>
    </row>
    <row r="2247" ht="15">
      <c r="A2247" s="25"/>
      <c r="B2247" s="25"/>
      <c r="C2247" s="25"/>
      <c r="D2247" s="25"/>
      <c r="E2247" s="25"/>
      <c r="F2247" s="17"/>
      <c r="G2247" s="18"/>
      <c r="H2247" s="18"/>
      <c r="I2247" s="18"/>
    </row>
    <row r="2248" ht="15">
      <c r="A2248" s="25"/>
      <c r="B2248" s="25"/>
      <c r="C2248" s="25"/>
      <c r="D2248" s="25"/>
      <c r="E2248" s="25"/>
      <c r="F2248" s="17"/>
      <c r="G2248" s="18"/>
      <c r="H2248" s="18"/>
      <c r="I2248" s="18"/>
    </row>
    <row r="2249" ht="15">
      <c r="A2249" s="25"/>
      <c r="B2249" s="25"/>
      <c r="C2249" s="25"/>
      <c r="D2249" s="25"/>
      <c r="E2249" s="25"/>
      <c r="F2249" s="17"/>
      <c r="G2249" s="18"/>
      <c r="H2249" s="18"/>
      <c r="I2249" s="18"/>
    </row>
    <row r="2250" ht="15">
      <c r="A2250" s="25"/>
      <c r="B2250" s="25"/>
      <c r="C2250" s="25"/>
      <c r="D2250" s="25"/>
      <c r="E2250" s="25"/>
      <c r="F2250" s="17"/>
      <c r="G2250" s="18"/>
      <c r="H2250" s="18"/>
      <c r="I2250" s="18"/>
    </row>
    <row r="2251" ht="15">
      <c r="A2251" s="25"/>
      <c r="B2251" s="25"/>
      <c r="C2251" s="25"/>
      <c r="D2251" s="25"/>
      <c r="E2251" s="25"/>
      <c r="F2251" s="17"/>
      <c r="G2251" s="18"/>
      <c r="H2251" s="18"/>
      <c r="I2251" s="18"/>
    </row>
    <row r="2252" ht="15">
      <c r="A2252" s="25"/>
      <c r="B2252" s="25"/>
      <c r="C2252" s="25"/>
      <c r="D2252" s="25"/>
      <c r="E2252" s="25"/>
      <c r="F2252" s="17"/>
      <c r="G2252" s="18"/>
      <c r="H2252" s="18"/>
      <c r="I2252" s="18"/>
    </row>
    <row r="2253" ht="15">
      <c r="A2253" s="25"/>
      <c r="B2253" s="25"/>
      <c r="C2253" s="25"/>
      <c r="D2253" s="25"/>
      <c r="E2253" s="25"/>
      <c r="F2253" s="17"/>
      <c r="G2253" s="18"/>
      <c r="H2253" s="18"/>
      <c r="I2253" s="18"/>
    </row>
    <row r="2254" ht="15">
      <c r="A2254" s="25"/>
      <c r="B2254" s="25"/>
      <c r="C2254" s="25"/>
      <c r="D2254" s="25"/>
      <c r="E2254" s="25"/>
      <c r="F2254" s="17"/>
      <c r="G2254" s="18"/>
      <c r="H2254" s="18"/>
      <c r="I2254" s="18"/>
    </row>
    <row r="2255" ht="15">
      <c r="A2255" s="25"/>
      <c r="B2255" s="25"/>
      <c r="C2255" s="25"/>
      <c r="D2255" s="25"/>
      <c r="E2255" s="25"/>
      <c r="F2255" s="17"/>
      <c r="G2255" s="18"/>
      <c r="H2255" s="18"/>
      <c r="I2255" s="18"/>
    </row>
    <row r="2256" ht="15">
      <c r="A2256" s="25"/>
      <c r="B2256" s="25"/>
      <c r="C2256" s="25"/>
      <c r="D2256" s="25"/>
      <c r="E2256" s="25"/>
      <c r="F2256" s="17"/>
      <c r="G2256" s="18"/>
      <c r="H2256" s="18"/>
      <c r="I2256" s="18"/>
    </row>
    <row r="2257" ht="15">
      <c r="A2257" s="25"/>
      <c r="B2257" s="25"/>
      <c r="C2257" s="25"/>
      <c r="D2257" s="25"/>
      <c r="E2257" s="25"/>
      <c r="F2257" s="17"/>
      <c r="G2257" s="18"/>
      <c r="H2257" s="18"/>
      <c r="I2257" s="18"/>
    </row>
    <row r="2258" ht="15">
      <c r="A2258" s="25"/>
      <c r="B2258" s="25"/>
      <c r="C2258" s="25"/>
      <c r="D2258" s="25"/>
      <c r="E2258" s="25"/>
      <c r="F2258" s="17"/>
      <c r="G2258" s="18"/>
      <c r="H2258" s="18"/>
      <c r="I2258" s="18"/>
    </row>
    <row r="2259" ht="15">
      <c r="A2259" s="25"/>
      <c r="B2259" s="25"/>
      <c r="C2259" s="25"/>
      <c r="D2259" s="25"/>
      <c r="E2259" s="25"/>
      <c r="F2259" s="17"/>
      <c r="G2259" s="18"/>
      <c r="H2259" s="18"/>
      <c r="I2259" s="18"/>
    </row>
    <row r="2260" ht="15">
      <c r="A2260" s="25"/>
      <c r="B2260" s="25"/>
      <c r="C2260" s="25"/>
      <c r="D2260" s="25"/>
      <c r="E2260" s="25"/>
      <c r="F2260" s="17"/>
      <c r="G2260" s="18"/>
      <c r="H2260" s="18"/>
      <c r="I2260" s="18"/>
    </row>
    <row r="2261" ht="15">
      <c r="A2261" s="25"/>
      <c r="B2261" s="25"/>
      <c r="C2261" s="25"/>
      <c r="D2261" s="25"/>
      <c r="E2261" s="25"/>
      <c r="F2261" s="17"/>
      <c r="G2261" s="18"/>
      <c r="H2261" s="18"/>
      <c r="I2261" s="18"/>
    </row>
    <row r="2262" ht="15">
      <c r="A2262" s="25"/>
      <c r="B2262" s="25"/>
      <c r="C2262" s="25"/>
      <c r="D2262" s="25"/>
      <c r="E2262" s="25"/>
      <c r="F2262" s="17"/>
      <c r="G2262" s="18"/>
      <c r="H2262" s="18"/>
      <c r="I2262" s="18"/>
    </row>
    <row r="2263" ht="15">
      <c r="A2263" s="25"/>
      <c r="B2263" s="25"/>
      <c r="C2263" s="25"/>
      <c r="D2263" s="25"/>
      <c r="E2263" s="25"/>
      <c r="F2263" s="17"/>
      <c r="G2263" s="18"/>
      <c r="H2263" s="18"/>
      <c r="I2263" s="18"/>
    </row>
    <row r="2264" ht="15">
      <c r="A2264" s="25"/>
      <c r="B2264" s="25"/>
      <c r="C2264" s="25"/>
      <c r="D2264" s="25"/>
      <c r="E2264" s="25"/>
      <c r="F2264" s="17"/>
      <c r="G2264" s="18"/>
      <c r="H2264" s="18"/>
      <c r="I2264" s="18"/>
    </row>
    <row r="2265" ht="15">
      <c r="A2265" s="25"/>
      <c r="B2265" s="25"/>
      <c r="C2265" s="25"/>
      <c r="D2265" s="25"/>
      <c r="E2265" s="25"/>
      <c r="F2265" s="17"/>
      <c r="G2265" s="18"/>
      <c r="H2265" s="18"/>
      <c r="I2265" s="18"/>
    </row>
    <row r="2266" ht="15">
      <c r="A2266" s="25"/>
      <c r="B2266" s="25"/>
      <c r="C2266" s="25"/>
      <c r="D2266" s="25"/>
      <c r="E2266" s="25"/>
      <c r="F2266" s="17"/>
      <c r="G2266" s="18"/>
      <c r="H2266" s="18"/>
      <c r="I2266" s="18"/>
    </row>
    <row r="2267" ht="15">
      <c r="A2267" s="25"/>
      <c r="B2267" s="25"/>
      <c r="C2267" s="25"/>
      <c r="D2267" s="25"/>
      <c r="E2267" s="25"/>
      <c r="F2267" s="17"/>
      <c r="G2267" s="18"/>
      <c r="H2267" s="18"/>
      <c r="I2267" s="18"/>
    </row>
    <row r="2268" ht="15">
      <c r="A2268" s="25"/>
      <c r="B2268" s="25"/>
      <c r="C2268" s="25"/>
      <c r="D2268" s="25"/>
      <c r="E2268" s="25"/>
      <c r="F2268" s="17"/>
      <c r="G2268" s="18"/>
      <c r="H2268" s="18"/>
      <c r="I2268" s="18"/>
    </row>
    <row r="2269" ht="15">
      <c r="A2269" s="25"/>
      <c r="B2269" s="25"/>
      <c r="C2269" s="25"/>
      <c r="D2269" s="25"/>
      <c r="E2269" s="25"/>
      <c r="F2269" s="17"/>
      <c r="G2269" s="18"/>
      <c r="H2269" s="18"/>
      <c r="I2269" s="18"/>
    </row>
    <row r="2270" ht="15">
      <c r="A2270" s="25"/>
      <c r="B2270" s="25"/>
      <c r="C2270" s="25"/>
      <c r="D2270" s="25"/>
      <c r="E2270" s="25"/>
      <c r="F2270" s="17"/>
      <c r="G2270" s="18"/>
      <c r="H2270" s="18"/>
      <c r="I2270" s="18"/>
    </row>
    <row r="2271" ht="15">
      <c r="A2271" s="25"/>
      <c r="B2271" s="25"/>
      <c r="C2271" s="25"/>
      <c r="D2271" s="25"/>
      <c r="E2271" s="25"/>
      <c r="F2271" s="17"/>
      <c r="G2271" s="18"/>
      <c r="H2271" s="18"/>
      <c r="I2271" s="18"/>
    </row>
    <row r="2272" ht="15">
      <c r="A2272" s="25"/>
      <c r="B2272" s="25"/>
      <c r="C2272" s="25"/>
      <c r="D2272" s="25"/>
      <c r="E2272" s="25"/>
      <c r="F2272" s="17"/>
      <c r="G2272" s="18"/>
      <c r="H2272" s="18"/>
      <c r="I2272" s="18"/>
    </row>
    <row r="2273" ht="15">
      <c r="A2273" s="25"/>
      <c r="B2273" s="25"/>
      <c r="C2273" s="25"/>
      <c r="D2273" s="25"/>
      <c r="E2273" s="25"/>
      <c r="F2273" s="17"/>
      <c r="G2273" s="18"/>
      <c r="H2273" s="18"/>
      <c r="I2273" s="18"/>
    </row>
    <row r="2274" ht="15">
      <c r="A2274" s="25"/>
      <c r="B2274" s="25"/>
      <c r="C2274" s="25"/>
      <c r="D2274" s="25"/>
      <c r="E2274" s="25"/>
      <c r="F2274" s="17"/>
      <c r="G2274" s="18"/>
      <c r="H2274" s="18"/>
      <c r="I2274" s="18"/>
    </row>
    <row r="2275" ht="15">
      <c r="A2275" s="25"/>
      <c r="B2275" s="25"/>
      <c r="C2275" s="25"/>
      <c r="D2275" s="25"/>
      <c r="E2275" s="25"/>
      <c r="F2275" s="17"/>
      <c r="G2275" s="18"/>
      <c r="H2275" s="18"/>
      <c r="I2275" s="18"/>
    </row>
    <row r="2276" ht="15">
      <c r="A2276" s="25"/>
      <c r="B2276" s="25"/>
      <c r="C2276" s="25"/>
      <c r="D2276" s="25"/>
      <c r="E2276" s="25"/>
      <c r="F2276" s="17"/>
      <c r="G2276" s="18"/>
      <c r="H2276" s="18"/>
      <c r="I2276" s="18"/>
    </row>
    <row r="2277" ht="15">
      <c r="A2277" s="25"/>
      <c r="B2277" s="25"/>
      <c r="C2277" s="25"/>
      <c r="D2277" s="25"/>
      <c r="E2277" s="25"/>
      <c r="F2277" s="17"/>
      <c r="G2277" s="18"/>
      <c r="H2277" s="18"/>
      <c r="I2277" s="18"/>
    </row>
    <row r="2278" ht="15">
      <c r="A2278" s="25"/>
      <c r="B2278" s="25"/>
      <c r="C2278" s="25"/>
      <c r="D2278" s="25"/>
      <c r="E2278" s="25"/>
      <c r="F2278" s="17"/>
      <c r="G2278" s="18"/>
      <c r="H2278" s="18"/>
      <c r="I2278" s="18"/>
    </row>
    <row r="2279" ht="15">
      <c r="A2279" s="25"/>
      <c r="B2279" s="25"/>
      <c r="C2279" s="25"/>
      <c r="D2279" s="25"/>
      <c r="E2279" s="25"/>
      <c r="F2279" s="17"/>
      <c r="G2279" s="18"/>
      <c r="H2279" s="18"/>
      <c r="I2279" s="18"/>
    </row>
    <row r="2280" ht="15">
      <c r="A2280" s="25"/>
      <c r="B2280" s="25"/>
      <c r="C2280" s="25"/>
      <c r="D2280" s="25"/>
      <c r="E2280" s="25"/>
      <c r="F2280" s="17"/>
      <c r="G2280" s="18"/>
      <c r="H2280" s="18"/>
      <c r="I2280" s="18"/>
    </row>
    <row r="2281" ht="15">
      <c r="A2281" s="25"/>
      <c r="B2281" s="25"/>
      <c r="C2281" s="25"/>
      <c r="D2281" s="25"/>
      <c r="E2281" s="25"/>
      <c r="F2281" s="17"/>
      <c r="G2281" s="18"/>
      <c r="H2281" s="18"/>
      <c r="I2281" s="18"/>
    </row>
    <row r="2282" ht="15">
      <c r="A2282" s="25"/>
      <c r="B2282" s="25"/>
      <c r="C2282" s="25"/>
      <c r="D2282" s="25"/>
      <c r="E2282" s="25"/>
      <c r="F2282" s="17"/>
      <c r="G2282" s="18"/>
      <c r="H2282" s="18"/>
      <c r="I2282" s="18"/>
    </row>
    <row r="2283" ht="15">
      <c r="A2283" s="25"/>
      <c r="B2283" s="25"/>
      <c r="C2283" s="25"/>
      <c r="D2283" s="25"/>
      <c r="E2283" s="25"/>
      <c r="F2283" s="17"/>
      <c r="G2283" s="18"/>
      <c r="H2283" s="18"/>
      <c r="I2283" s="18"/>
    </row>
    <row r="2284" ht="15">
      <c r="A2284" s="25"/>
      <c r="B2284" s="25"/>
      <c r="C2284" s="25"/>
      <c r="D2284" s="25"/>
      <c r="E2284" s="25"/>
      <c r="F2284" s="17"/>
      <c r="G2284" s="18"/>
      <c r="H2284" s="18"/>
      <c r="I2284" s="18"/>
    </row>
    <row r="2285" ht="15">
      <c r="A2285" s="25"/>
      <c r="B2285" s="25"/>
      <c r="C2285" s="25"/>
      <c r="D2285" s="25"/>
      <c r="E2285" s="25"/>
      <c r="F2285" s="17"/>
      <c r="G2285" s="18"/>
      <c r="H2285" s="18"/>
      <c r="I2285" s="18"/>
    </row>
    <row r="2286" ht="15">
      <c r="A2286" s="25"/>
      <c r="B2286" s="25"/>
      <c r="C2286" s="25"/>
      <c r="D2286" s="25"/>
      <c r="E2286" s="25"/>
      <c r="F2286" s="17"/>
      <c r="G2286" s="18"/>
      <c r="H2286" s="18"/>
      <c r="I2286" s="18"/>
    </row>
    <row r="2287" ht="15">
      <c r="A2287" s="25"/>
      <c r="B2287" s="25"/>
      <c r="C2287" s="25"/>
      <c r="D2287" s="25"/>
      <c r="E2287" s="25"/>
      <c r="F2287" s="17"/>
      <c r="G2287" s="18"/>
      <c r="H2287" s="18"/>
      <c r="I2287" s="18"/>
    </row>
    <row r="2288" ht="15">
      <c r="A2288" s="25"/>
      <c r="B2288" s="25"/>
      <c r="C2288" s="25"/>
      <c r="D2288" s="25"/>
      <c r="E2288" s="25"/>
      <c r="F2288" s="17"/>
      <c r="G2288" s="18"/>
      <c r="H2288" s="18"/>
      <c r="I2288" s="18"/>
    </row>
    <row r="2289" ht="15">
      <c r="A2289" s="25"/>
      <c r="B2289" s="25"/>
      <c r="C2289" s="25"/>
      <c r="D2289" s="25"/>
      <c r="E2289" s="25"/>
      <c r="F2289" s="17"/>
      <c r="G2289" s="18"/>
      <c r="H2289" s="18"/>
      <c r="I2289" s="18"/>
    </row>
    <row r="2290" ht="15">
      <c r="A2290" s="25"/>
      <c r="B2290" s="25"/>
      <c r="C2290" s="25"/>
      <c r="D2290" s="25"/>
      <c r="E2290" s="25"/>
      <c r="F2290" s="17"/>
      <c r="G2290" s="18"/>
      <c r="H2290" s="18"/>
      <c r="I2290" s="18"/>
    </row>
    <row r="2291" ht="15">
      <c r="A2291" s="25"/>
      <c r="B2291" s="25"/>
      <c r="C2291" s="25"/>
      <c r="D2291" s="25"/>
      <c r="E2291" s="25"/>
      <c r="F2291" s="17"/>
      <c r="G2291" s="18"/>
      <c r="H2291" s="18"/>
      <c r="I2291" s="18"/>
    </row>
    <row r="2292" ht="15">
      <c r="A2292" s="25"/>
      <c r="B2292" s="25"/>
      <c r="C2292" s="25"/>
      <c r="D2292" s="25"/>
      <c r="E2292" s="25"/>
      <c r="F2292" s="17"/>
      <c r="G2292" s="18"/>
      <c r="H2292" s="18"/>
      <c r="I2292" s="18"/>
    </row>
    <row r="2293" ht="15">
      <c r="A2293" s="25"/>
      <c r="B2293" s="25"/>
      <c r="C2293" s="25"/>
      <c r="D2293" s="25"/>
      <c r="E2293" s="25"/>
      <c r="F2293" s="17"/>
      <c r="G2293" s="18"/>
      <c r="H2293" s="18"/>
      <c r="I2293" s="18"/>
    </row>
    <row r="2294" ht="15">
      <c r="A2294" s="25"/>
      <c r="B2294" s="25"/>
      <c r="C2294" s="25"/>
      <c r="D2294" s="25"/>
      <c r="E2294" s="25"/>
      <c r="F2294" s="17"/>
      <c r="G2294" s="18"/>
      <c r="H2294" s="18"/>
      <c r="I2294" s="18"/>
    </row>
    <row r="2295" ht="15">
      <c r="A2295" s="25"/>
      <c r="B2295" s="25"/>
      <c r="C2295" s="25"/>
      <c r="D2295" s="25"/>
      <c r="E2295" s="25"/>
      <c r="F2295" s="17"/>
      <c r="G2295" s="18"/>
      <c r="H2295" s="18"/>
      <c r="I2295" s="18"/>
    </row>
    <row r="2296" ht="15">
      <c r="A2296" s="25"/>
      <c r="B2296" s="25"/>
      <c r="C2296" s="25"/>
      <c r="D2296" s="25"/>
      <c r="E2296" s="25"/>
      <c r="F2296" s="17"/>
      <c r="G2296" s="18"/>
      <c r="H2296" s="18"/>
      <c r="I2296" s="18"/>
    </row>
    <row r="2297" ht="15">
      <c r="A2297" s="25"/>
      <c r="B2297" s="25"/>
      <c r="C2297" s="25"/>
      <c r="D2297" s="25"/>
      <c r="E2297" s="25"/>
      <c r="F2297" s="17"/>
      <c r="G2297" s="18"/>
      <c r="H2297" s="18"/>
      <c r="I2297" s="18"/>
    </row>
    <row r="2298" ht="15">
      <c r="A2298" s="25"/>
      <c r="B2298" s="25"/>
      <c r="C2298" s="25"/>
      <c r="D2298" s="25"/>
      <c r="E2298" s="25"/>
      <c r="F2298" s="17"/>
      <c r="G2298" s="18"/>
      <c r="H2298" s="18"/>
      <c r="I2298" s="18"/>
    </row>
    <row r="2299" ht="15">
      <c r="A2299" s="25"/>
      <c r="B2299" s="25"/>
      <c r="C2299" s="25"/>
      <c r="D2299" s="25"/>
      <c r="E2299" s="25"/>
      <c r="F2299" s="17"/>
      <c r="G2299" s="18"/>
      <c r="H2299" s="18"/>
      <c r="I2299" s="18"/>
    </row>
    <row r="2300" ht="15">
      <c r="A2300" s="25"/>
      <c r="B2300" s="25"/>
      <c r="C2300" s="25"/>
      <c r="D2300" s="25"/>
      <c r="E2300" s="25"/>
      <c r="F2300" s="17"/>
      <c r="G2300" s="18"/>
      <c r="H2300" s="18"/>
      <c r="I2300" s="18"/>
    </row>
    <row r="2301" ht="15">
      <c r="A2301" s="25"/>
      <c r="B2301" s="25"/>
      <c r="C2301" s="25"/>
      <c r="D2301" s="25"/>
      <c r="E2301" s="25"/>
      <c r="F2301" s="17"/>
      <c r="G2301" s="18"/>
      <c r="H2301" s="18"/>
      <c r="I2301" s="18"/>
    </row>
    <row r="2302" ht="15">
      <c r="A2302" s="25"/>
      <c r="B2302" s="25"/>
      <c r="C2302" s="25"/>
      <c r="D2302" s="25"/>
      <c r="E2302" s="25"/>
      <c r="F2302" s="17"/>
      <c r="G2302" s="18"/>
      <c r="H2302" s="18"/>
      <c r="I2302" s="18"/>
    </row>
    <row r="2303" ht="15">
      <c r="A2303" s="25"/>
      <c r="B2303" s="25"/>
      <c r="C2303" s="25"/>
      <c r="D2303" s="25"/>
      <c r="E2303" s="25"/>
      <c r="F2303" s="17"/>
      <c r="G2303" s="18"/>
      <c r="H2303" s="18"/>
      <c r="I2303" s="18"/>
    </row>
    <row r="2304" ht="15">
      <c r="A2304" s="25"/>
      <c r="B2304" s="25"/>
      <c r="C2304" s="25"/>
      <c r="D2304" s="25"/>
      <c r="E2304" s="25"/>
      <c r="F2304" s="17"/>
      <c r="G2304" s="18"/>
      <c r="H2304" s="18"/>
      <c r="I2304" s="18"/>
    </row>
    <row r="2305" ht="15">
      <c r="A2305" s="25"/>
      <c r="B2305" s="25"/>
      <c r="C2305" s="25"/>
      <c r="D2305" s="25"/>
      <c r="E2305" s="25"/>
      <c r="F2305" s="17"/>
      <c r="G2305" s="18"/>
      <c r="H2305" s="18"/>
      <c r="I2305" s="18"/>
    </row>
    <row r="2306" ht="15">
      <c r="A2306" s="25"/>
      <c r="B2306" s="25"/>
      <c r="C2306" s="25"/>
      <c r="D2306" s="25"/>
      <c r="E2306" s="25"/>
      <c r="F2306" s="17"/>
      <c r="G2306" s="18"/>
      <c r="H2306" s="18"/>
      <c r="I2306" s="18"/>
    </row>
    <row r="2307" ht="15">
      <c r="A2307" s="25"/>
      <c r="B2307" s="25"/>
      <c r="C2307" s="25"/>
      <c r="D2307" s="25"/>
      <c r="E2307" s="25"/>
      <c r="F2307" s="17"/>
      <c r="G2307" s="18"/>
      <c r="H2307" s="18"/>
      <c r="I2307" s="18"/>
    </row>
    <row r="2308" ht="15">
      <c r="A2308" s="25"/>
      <c r="B2308" s="25"/>
      <c r="C2308" s="25"/>
      <c r="D2308" s="25"/>
      <c r="E2308" s="25"/>
      <c r="F2308" s="17"/>
      <c r="G2308" s="18"/>
      <c r="H2308" s="18"/>
      <c r="I2308" s="18"/>
    </row>
    <row r="2309" ht="15">
      <c r="A2309" s="25"/>
      <c r="B2309" s="25"/>
      <c r="C2309" s="25"/>
      <c r="D2309" s="25"/>
      <c r="E2309" s="25"/>
      <c r="F2309" s="17"/>
      <c r="G2309" s="18"/>
      <c r="H2309" s="18"/>
      <c r="I2309" s="18"/>
    </row>
    <row r="2310" ht="15">
      <c r="A2310" s="25"/>
      <c r="B2310" s="25"/>
      <c r="C2310" s="25"/>
      <c r="D2310" s="25"/>
      <c r="E2310" s="25"/>
      <c r="F2310" s="17"/>
      <c r="G2310" s="18"/>
      <c r="H2310" s="18"/>
      <c r="I2310" s="18"/>
    </row>
    <row r="2311" ht="15">
      <c r="A2311" s="25"/>
      <c r="B2311" s="25"/>
      <c r="C2311" s="25"/>
      <c r="D2311" s="25"/>
      <c r="E2311" s="25"/>
      <c r="F2311" s="17"/>
      <c r="G2311" s="18"/>
      <c r="H2311" s="18"/>
      <c r="I2311" s="18"/>
    </row>
    <row r="2312" ht="15">
      <c r="A2312" s="25"/>
      <c r="B2312" s="25"/>
      <c r="C2312" s="25"/>
      <c r="D2312" s="25"/>
      <c r="E2312" s="25"/>
      <c r="F2312" s="17"/>
      <c r="G2312" s="18"/>
      <c r="H2312" s="18"/>
      <c r="I2312" s="18"/>
    </row>
    <row r="2313" ht="15">
      <c r="A2313" s="25"/>
      <c r="B2313" s="25"/>
      <c r="C2313" s="25"/>
      <c r="D2313" s="25"/>
      <c r="E2313" s="25"/>
      <c r="F2313" s="17"/>
      <c r="G2313" s="18"/>
      <c r="H2313" s="18"/>
      <c r="I2313" s="18"/>
    </row>
    <row r="2314" ht="15">
      <c r="A2314" s="25"/>
      <c r="B2314" s="25"/>
      <c r="C2314" s="25"/>
      <c r="D2314" s="25"/>
      <c r="E2314" s="25"/>
      <c r="F2314" s="17"/>
      <c r="G2314" s="18"/>
      <c r="H2314" s="18"/>
      <c r="I2314" s="18"/>
    </row>
    <row r="2315" ht="15">
      <c r="A2315" s="25"/>
      <c r="B2315" s="25"/>
      <c r="C2315" s="25"/>
      <c r="D2315" s="25"/>
      <c r="E2315" s="25"/>
      <c r="F2315" s="17"/>
      <c r="G2315" s="18"/>
      <c r="H2315" s="18"/>
      <c r="I2315" s="18"/>
    </row>
    <row r="2316" ht="15">
      <c r="A2316" s="25"/>
      <c r="B2316" s="25"/>
      <c r="C2316" s="25"/>
      <c r="D2316" s="25"/>
      <c r="E2316" s="25"/>
      <c r="F2316" s="17"/>
      <c r="G2316" s="18"/>
      <c r="H2316" s="18"/>
      <c r="I2316" s="18"/>
    </row>
    <row r="2317" ht="15">
      <c r="A2317" s="25"/>
      <c r="B2317" s="25"/>
      <c r="C2317" s="25"/>
      <c r="D2317" s="25"/>
      <c r="E2317" s="25"/>
      <c r="F2317" s="17"/>
      <c r="G2317" s="18"/>
      <c r="H2317" s="18"/>
      <c r="I2317" s="18"/>
    </row>
    <row r="2318" ht="15">
      <c r="A2318" s="25"/>
      <c r="B2318" s="25"/>
      <c r="C2318" s="25"/>
      <c r="D2318" s="25"/>
      <c r="E2318" s="25"/>
      <c r="F2318" s="17"/>
      <c r="G2318" s="18"/>
      <c r="H2318" s="18"/>
      <c r="I2318" s="18"/>
    </row>
    <row r="2319" ht="15">
      <c r="A2319" s="25"/>
      <c r="B2319" s="25"/>
      <c r="C2319" s="25"/>
      <c r="D2319" s="25"/>
      <c r="E2319" s="25"/>
      <c r="F2319" s="17"/>
      <c r="G2319" s="18"/>
      <c r="H2319" s="18"/>
      <c r="I2319" s="18"/>
    </row>
    <row r="2320" ht="15">
      <c r="A2320" s="25"/>
      <c r="B2320" s="25"/>
      <c r="C2320" s="25"/>
      <c r="D2320" s="25"/>
      <c r="E2320" s="25"/>
      <c r="F2320" s="17"/>
      <c r="G2320" s="18"/>
      <c r="H2320" s="18"/>
      <c r="I2320" s="18"/>
    </row>
    <row r="2321" ht="15">
      <c r="A2321" s="25"/>
      <c r="B2321" s="25"/>
      <c r="C2321" s="25"/>
      <c r="D2321" s="25"/>
      <c r="E2321" s="25"/>
      <c r="F2321" s="17"/>
      <c r="G2321" s="18"/>
      <c r="H2321" s="18"/>
      <c r="I2321" s="18"/>
    </row>
    <row r="2322" ht="15">
      <c r="A2322" s="25"/>
      <c r="B2322" s="25"/>
      <c r="C2322" s="25"/>
      <c r="D2322" s="25"/>
      <c r="E2322" s="25"/>
      <c r="F2322" s="17"/>
      <c r="G2322" s="18"/>
      <c r="H2322" s="18"/>
      <c r="I2322" s="18"/>
    </row>
    <row r="2323" ht="15">
      <c r="A2323" s="25"/>
      <c r="B2323" s="25"/>
      <c r="C2323" s="25"/>
      <c r="D2323" s="25"/>
      <c r="E2323" s="25"/>
      <c r="F2323" s="17"/>
      <c r="G2323" s="18"/>
      <c r="H2323" s="18"/>
      <c r="I2323" s="18"/>
    </row>
    <row r="2324" ht="15">
      <c r="A2324" s="25"/>
      <c r="B2324" s="25"/>
      <c r="C2324" s="25"/>
      <c r="D2324" s="25"/>
      <c r="E2324" s="25"/>
      <c r="F2324" s="17"/>
      <c r="G2324" s="18"/>
      <c r="H2324" s="18"/>
      <c r="I2324" s="18"/>
    </row>
    <row r="2325" ht="15">
      <c r="A2325" s="25"/>
      <c r="B2325" s="25"/>
      <c r="C2325" s="25"/>
      <c r="D2325" s="25"/>
      <c r="E2325" s="25"/>
      <c r="F2325" s="17"/>
      <c r="G2325" s="18"/>
      <c r="H2325" s="18"/>
      <c r="I2325" s="18"/>
    </row>
    <row r="2326" ht="15">
      <c r="A2326" s="25"/>
      <c r="B2326" s="25"/>
      <c r="C2326" s="25"/>
      <c r="D2326" s="25"/>
      <c r="E2326" s="25"/>
      <c r="F2326" s="17"/>
      <c r="G2326" s="18"/>
      <c r="H2326" s="18"/>
      <c r="I2326" s="18"/>
    </row>
    <row r="2327" ht="15">
      <c r="A2327" s="25"/>
      <c r="B2327" s="25"/>
      <c r="C2327" s="25"/>
      <c r="D2327" s="25"/>
      <c r="E2327" s="25"/>
      <c r="F2327" s="17"/>
      <c r="G2327" s="18"/>
      <c r="H2327" s="18"/>
      <c r="I2327" s="18"/>
    </row>
    <row r="2328" ht="15">
      <c r="A2328" s="25"/>
      <c r="B2328" s="25"/>
      <c r="C2328" s="25"/>
      <c r="D2328" s="25"/>
      <c r="E2328" s="25"/>
      <c r="F2328" s="17"/>
      <c r="G2328" s="18"/>
      <c r="H2328" s="18"/>
      <c r="I2328" s="18"/>
    </row>
    <row r="2329" ht="15">
      <c r="A2329" s="25"/>
      <c r="B2329" s="25"/>
      <c r="C2329" s="25"/>
      <c r="D2329" s="25"/>
      <c r="E2329" s="25"/>
      <c r="F2329" s="17"/>
      <c r="G2329" s="18"/>
      <c r="H2329" s="18"/>
      <c r="I2329" s="18"/>
    </row>
    <row r="2330" ht="15">
      <c r="A2330" s="25"/>
      <c r="B2330" s="25"/>
      <c r="C2330" s="25"/>
      <c r="D2330" s="25"/>
      <c r="E2330" s="25"/>
      <c r="F2330" s="17"/>
      <c r="G2330" s="18"/>
      <c r="H2330" s="18"/>
      <c r="I2330" s="18"/>
    </row>
    <row r="2331" ht="15">
      <c r="A2331" s="25"/>
      <c r="B2331" s="25"/>
      <c r="C2331" s="25"/>
      <c r="D2331" s="25"/>
      <c r="E2331" s="25"/>
      <c r="F2331" s="17"/>
      <c r="G2331" s="18"/>
      <c r="H2331" s="18"/>
      <c r="I2331" s="18"/>
    </row>
    <row r="2332" ht="15">
      <c r="A2332" s="25"/>
      <c r="B2332" s="25"/>
      <c r="C2332" s="25"/>
      <c r="D2332" s="25"/>
      <c r="E2332" s="25"/>
      <c r="F2332" s="17"/>
      <c r="G2332" s="18"/>
      <c r="H2332" s="18"/>
      <c r="I2332" s="18"/>
    </row>
    <row r="2333" ht="15">
      <c r="A2333" s="25"/>
      <c r="B2333" s="25"/>
      <c r="C2333" s="25"/>
      <c r="D2333" s="25"/>
      <c r="E2333" s="25"/>
      <c r="F2333" s="17"/>
      <c r="G2333" s="18"/>
      <c r="H2333" s="18"/>
      <c r="I2333" s="18"/>
    </row>
    <row r="2334" ht="15">
      <c r="A2334" s="25"/>
      <c r="B2334" s="25"/>
      <c r="C2334" s="25"/>
      <c r="D2334" s="25"/>
      <c r="E2334" s="25"/>
      <c r="F2334" s="17"/>
      <c r="G2334" s="18"/>
      <c r="H2334" s="18"/>
      <c r="I2334" s="18"/>
    </row>
    <row r="2335" ht="15">
      <c r="A2335" s="25"/>
      <c r="B2335" s="25"/>
      <c r="C2335" s="25"/>
      <c r="D2335" s="25"/>
      <c r="E2335" s="25"/>
      <c r="F2335" s="17"/>
      <c r="G2335" s="18"/>
      <c r="H2335" s="18"/>
      <c r="I2335" s="18"/>
    </row>
    <row r="2336" ht="15">
      <c r="A2336" s="25"/>
      <c r="B2336" s="25"/>
      <c r="C2336" s="25"/>
      <c r="D2336" s="25"/>
      <c r="E2336" s="25"/>
      <c r="F2336" s="17"/>
      <c r="G2336" s="18"/>
      <c r="H2336" s="18"/>
      <c r="I2336" s="18"/>
    </row>
    <row r="2337" ht="15">
      <c r="A2337" s="25"/>
      <c r="B2337" s="25"/>
      <c r="C2337" s="25"/>
      <c r="D2337" s="25"/>
      <c r="E2337" s="25"/>
      <c r="F2337" s="17"/>
      <c r="G2337" s="18"/>
      <c r="H2337" s="18"/>
      <c r="I2337" s="18"/>
    </row>
    <row r="2338" ht="15">
      <c r="A2338" s="25"/>
      <c r="B2338" s="25"/>
      <c r="C2338" s="25"/>
      <c r="D2338" s="25"/>
      <c r="E2338" s="25"/>
      <c r="F2338" s="17"/>
      <c r="G2338" s="18"/>
      <c r="H2338" s="18"/>
      <c r="I2338" s="18"/>
    </row>
    <row r="2339" ht="15">
      <c r="A2339" s="25"/>
      <c r="B2339" s="25"/>
      <c r="C2339" s="25"/>
      <c r="D2339" s="25"/>
      <c r="E2339" s="25"/>
      <c r="F2339" s="17"/>
      <c r="G2339" s="18"/>
      <c r="H2339" s="18"/>
      <c r="I2339" s="18"/>
    </row>
    <row r="2340" ht="15">
      <c r="A2340" s="25"/>
      <c r="B2340" s="25"/>
      <c r="C2340" s="25"/>
      <c r="D2340" s="25"/>
      <c r="E2340" s="25"/>
      <c r="F2340" s="17"/>
      <c r="G2340" s="18"/>
      <c r="H2340" s="18"/>
      <c r="I2340" s="18"/>
    </row>
    <row r="2341" ht="15">
      <c r="A2341" s="25"/>
      <c r="B2341" s="25"/>
      <c r="C2341" s="25"/>
      <c r="D2341" s="25"/>
      <c r="E2341" s="25"/>
      <c r="F2341" s="17"/>
      <c r="G2341" s="18"/>
      <c r="H2341" s="18"/>
      <c r="I2341" s="18"/>
    </row>
    <row r="2342" ht="15">
      <c r="A2342" s="25"/>
      <c r="B2342" s="25"/>
      <c r="C2342" s="25"/>
      <c r="D2342" s="25"/>
      <c r="E2342" s="25"/>
      <c r="F2342" s="17"/>
      <c r="G2342" s="18"/>
      <c r="H2342" s="18"/>
      <c r="I2342" s="18"/>
    </row>
    <row r="2343" ht="15">
      <c r="A2343" s="25"/>
      <c r="B2343" s="25"/>
      <c r="C2343" s="25"/>
      <c r="D2343" s="25"/>
      <c r="E2343" s="25"/>
      <c r="F2343" s="17"/>
      <c r="G2343" s="18"/>
      <c r="H2343" s="18"/>
      <c r="I2343" s="18"/>
    </row>
    <row r="2344" ht="15">
      <c r="A2344" s="25"/>
      <c r="B2344" s="25"/>
      <c r="C2344" s="25"/>
      <c r="D2344" s="25"/>
      <c r="E2344" s="25"/>
      <c r="F2344" s="17"/>
      <c r="G2344" s="18"/>
      <c r="H2344" s="18"/>
      <c r="I2344" s="18"/>
    </row>
    <row r="2345" ht="15">
      <c r="A2345" s="25"/>
      <c r="B2345" s="25"/>
      <c r="C2345" s="25"/>
      <c r="D2345" s="25"/>
      <c r="E2345" s="25"/>
      <c r="F2345" s="17"/>
      <c r="G2345" s="18"/>
      <c r="H2345" s="18"/>
      <c r="I2345" s="18"/>
    </row>
    <row r="2346" ht="15">
      <c r="A2346" s="25"/>
      <c r="B2346" s="25"/>
      <c r="C2346" s="25"/>
      <c r="D2346" s="25"/>
      <c r="E2346" s="25"/>
      <c r="F2346" s="17"/>
      <c r="G2346" s="18"/>
      <c r="H2346" s="18"/>
      <c r="I2346" s="18"/>
    </row>
    <row r="2347" ht="15">
      <c r="A2347" s="25"/>
      <c r="B2347" s="25"/>
      <c r="C2347" s="25"/>
      <c r="D2347" s="25"/>
      <c r="E2347" s="25"/>
      <c r="F2347" s="17"/>
      <c r="G2347" s="18"/>
      <c r="H2347" s="18"/>
      <c r="I2347" s="18"/>
    </row>
    <row r="2348" ht="15">
      <c r="A2348" s="25"/>
      <c r="B2348" s="25"/>
      <c r="C2348" s="25"/>
      <c r="D2348" s="25"/>
      <c r="E2348" s="25"/>
      <c r="F2348" s="17"/>
      <c r="G2348" s="18"/>
      <c r="H2348" s="18"/>
      <c r="I2348" s="18"/>
    </row>
    <row r="2349" ht="15">
      <c r="A2349" s="25"/>
      <c r="B2349" s="25"/>
      <c r="C2349" s="25"/>
      <c r="D2349" s="25"/>
      <c r="E2349" s="25"/>
      <c r="F2349" s="17"/>
      <c r="G2349" s="18"/>
      <c r="H2349" s="18"/>
      <c r="I2349" s="18"/>
    </row>
    <row r="2350" ht="15">
      <c r="A2350" s="25"/>
      <c r="B2350" s="25"/>
      <c r="C2350" s="25"/>
      <c r="D2350" s="25"/>
      <c r="E2350" s="25"/>
      <c r="F2350" s="17"/>
      <c r="G2350" s="18"/>
      <c r="H2350" s="18"/>
      <c r="I2350" s="18"/>
    </row>
    <row r="2351" ht="15">
      <c r="A2351" s="25"/>
      <c r="B2351" s="25"/>
      <c r="C2351" s="25"/>
      <c r="D2351" s="25"/>
      <c r="E2351" s="25"/>
      <c r="F2351" s="17"/>
      <c r="G2351" s="18"/>
      <c r="H2351" s="18"/>
      <c r="I2351" s="18"/>
    </row>
    <row r="2352" ht="15">
      <c r="A2352" s="25"/>
      <c r="B2352" s="25"/>
      <c r="C2352" s="25"/>
      <c r="D2352" s="25"/>
      <c r="E2352" s="25"/>
      <c r="F2352" s="17"/>
      <c r="G2352" s="18"/>
      <c r="H2352" s="18"/>
      <c r="I2352" s="18"/>
    </row>
    <row r="2353" ht="15">
      <c r="A2353" s="25"/>
      <c r="B2353" s="25"/>
      <c r="C2353" s="25"/>
      <c r="D2353" s="25"/>
      <c r="E2353" s="25"/>
      <c r="F2353" s="17"/>
      <c r="G2353" s="18"/>
      <c r="H2353" s="18"/>
      <c r="I2353" s="18"/>
    </row>
    <row r="2354" ht="15">
      <c r="A2354" s="25"/>
      <c r="B2354" s="25"/>
      <c r="C2354" s="25"/>
      <c r="D2354" s="25"/>
      <c r="E2354" s="25"/>
      <c r="F2354" s="17"/>
      <c r="G2354" s="18"/>
      <c r="H2354" s="18"/>
      <c r="I2354" s="18"/>
    </row>
    <row r="2355" ht="15">
      <c r="A2355" s="25"/>
      <c r="B2355" s="25"/>
      <c r="C2355" s="25"/>
      <c r="D2355" s="25"/>
      <c r="E2355" s="25"/>
      <c r="F2355" s="17"/>
      <c r="G2355" s="18"/>
      <c r="H2355" s="18"/>
      <c r="I2355" s="18"/>
    </row>
    <row r="2356" ht="15">
      <c r="A2356" s="25"/>
      <c r="B2356" s="25"/>
      <c r="C2356" s="25"/>
      <c r="D2356" s="25"/>
      <c r="E2356" s="25"/>
      <c r="F2356" s="17"/>
      <c r="G2356" s="18"/>
      <c r="H2356" s="18"/>
      <c r="I2356" s="18"/>
    </row>
    <row r="2357" ht="15">
      <c r="A2357" s="25"/>
      <c r="B2357" s="25"/>
      <c r="C2357" s="25"/>
      <c r="D2357" s="25"/>
      <c r="E2357" s="25"/>
      <c r="F2357" s="17"/>
      <c r="G2357" s="18"/>
      <c r="H2357" s="18"/>
      <c r="I2357" s="18"/>
    </row>
    <row r="2358" ht="15">
      <c r="A2358" s="25"/>
      <c r="B2358" s="25"/>
      <c r="C2358" s="25"/>
      <c r="D2358" s="25"/>
      <c r="E2358" s="25"/>
      <c r="F2358" s="17"/>
      <c r="G2358" s="18"/>
      <c r="H2358" s="18"/>
      <c r="I2358" s="18"/>
    </row>
    <row r="2359" ht="15">
      <c r="A2359" s="25"/>
      <c r="B2359" s="25"/>
      <c r="C2359" s="25"/>
      <c r="D2359" s="25"/>
      <c r="E2359" s="25"/>
      <c r="F2359" s="17"/>
      <c r="G2359" s="18"/>
      <c r="H2359" s="18"/>
      <c r="I2359" s="18"/>
    </row>
    <row r="2360" ht="15">
      <c r="A2360" s="25"/>
      <c r="B2360" s="25"/>
      <c r="C2360" s="25"/>
      <c r="D2360" s="25"/>
      <c r="E2360" s="25"/>
      <c r="F2360" s="17"/>
      <c r="G2360" s="18"/>
      <c r="H2360" s="18"/>
      <c r="I2360" s="18"/>
    </row>
    <row r="2361" ht="15">
      <c r="A2361" s="25"/>
      <c r="B2361" s="25"/>
      <c r="C2361" s="25"/>
      <c r="D2361" s="25"/>
      <c r="E2361" s="25"/>
      <c r="F2361" s="17"/>
      <c r="G2361" s="18"/>
      <c r="H2361" s="18"/>
      <c r="I2361" s="18"/>
    </row>
    <row r="2362" ht="15">
      <c r="A2362" s="25"/>
      <c r="B2362" s="25"/>
      <c r="C2362" s="25"/>
      <c r="D2362" s="25"/>
      <c r="E2362" s="25"/>
      <c r="F2362" s="17"/>
      <c r="G2362" s="18"/>
      <c r="H2362" s="18"/>
      <c r="I2362" s="18"/>
    </row>
    <row r="2363" ht="15">
      <c r="A2363" s="25"/>
      <c r="B2363" s="25"/>
      <c r="C2363" s="25"/>
      <c r="D2363" s="25"/>
      <c r="E2363" s="25"/>
      <c r="F2363" s="17"/>
      <c r="G2363" s="18"/>
      <c r="H2363" s="18"/>
      <c r="I2363" s="18"/>
    </row>
    <row r="2364" ht="15">
      <c r="A2364" s="25"/>
      <c r="B2364" s="25"/>
      <c r="C2364" s="25"/>
      <c r="D2364" s="25"/>
      <c r="E2364" s="25"/>
      <c r="F2364" s="17"/>
      <c r="G2364" s="18"/>
      <c r="H2364" s="18"/>
      <c r="I2364" s="18"/>
    </row>
    <row r="2365" ht="15">
      <c r="A2365" s="25"/>
      <c r="B2365" s="25"/>
      <c r="C2365" s="25"/>
      <c r="D2365" s="25"/>
      <c r="E2365" s="25"/>
      <c r="F2365" s="17"/>
      <c r="G2365" s="18"/>
      <c r="H2365" s="18"/>
      <c r="I2365" s="18"/>
    </row>
    <row r="2366" ht="15">
      <c r="A2366" s="25"/>
      <c r="B2366" s="25"/>
      <c r="C2366" s="25"/>
      <c r="D2366" s="25"/>
      <c r="E2366" s="25"/>
      <c r="F2366" s="17"/>
      <c r="G2366" s="18"/>
      <c r="H2366" s="18"/>
      <c r="I2366" s="18"/>
    </row>
    <row r="2367" ht="15">
      <c r="A2367" s="25"/>
      <c r="B2367" s="25"/>
      <c r="C2367" s="25"/>
      <c r="D2367" s="25"/>
      <c r="E2367" s="25"/>
      <c r="F2367" s="17"/>
      <c r="G2367" s="18"/>
      <c r="H2367" s="18"/>
      <c r="I2367" s="18"/>
    </row>
    <row r="2368" ht="15">
      <c r="A2368" s="25"/>
      <c r="B2368" s="25"/>
      <c r="C2368" s="25"/>
      <c r="D2368" s="25"/>
      <c r="E2368" s="25"/>
      <c r="F2368" s="17"/>
      <c r="G2368" s="18"/>
      <c r="H2368" s="18"/>
      <c r="I2368" s="18"/>
    </row>
    <row r="2369" ht="15">
      <c r="A2369" s="25"/>
      <c r="B2369" s="25"/>
      <c r="C2369" s="25"/>
      <c r="D2369" s="25"/>
      <c r="E2369" s="25"/>
      <c r="F2369" s="17"/>
      <c r="G2369" s="18"/>
      <c r="H2369" s="18"/>
      <c r="I2369" s="18"/>
    </row>
    <row r="2370" ht="15">
      <c r="A2370" s="25"/>
      <c r="B2370" s="25"/>
      <c r="C2370" s="25"/>
      <c r="D2370" s="25"/>
      <c r="E2370" s="25"/>
      <c r="F2370" s="17"/>
      <c r="G2370" s="18"/>
      <c r="H2370" s="18"/>
      <c r="I2370" s="18"/>
    </row>
    <row r="2371" ht="15">
      <c r="A2371" s="25"/>
      <c r="B2371" s="25"/>
      <c r="C2371" s="25"/>
      <c r="D2371" s="25"/>
      <c r="E2371" s="25"/>
      <c r="F2371" s="17"/>
      <c r="G2371" s="18"/>
      <c r="H2371" s="18"/>
      <c r="I2371" s="18"/>
    </row>
    <row r="2372" ht="15">
      <c r="A2372" s="25"/>
      <c r="B2372" s="25"/>
      <c r="C2372" s="25"/>
      <c r="D2372" s="25"/>
      <c r="E2372" s="25"/>
      <c r="F2372" s="17"/>
      <c r="G2372" s="18"/>
      <c r="H2372" s="18"/>
      <c r="I2372" s="18"/>
    </row>
    <row r="2373" ht="15">
      <c r="A2373" s="25"/>
      <c r="B2373" s="25"/>
      <c r="C2373" s="25"/>
      <c r="D2373" s="25"/>
      <c r="E2373" s="25"/>
      <c r="F2373" s="17"/>
      <c r="G2373" s="18"/>
      <c r="H2373" s="18"/>
      <c r="I2373" s="18"/>
    </row>
    <row r="2374" ht="15">
      <c r="A2374" s="25"/>
      <c r="B2374" s="25"/>
      <c r="C2374" s="25"/>
      <c r="D2374" s="25"/>
      <c r="E2374" s="25"/>
      <c r="F2374" s="17"/>
      <c r="G2374" s="18"/>
      <c r="H2374" s="18"/>
      <c r="I2374" s="18"/>
    </row>
    <row r="2375" ht="15">
      <c r="A2375" s="25"/>
      <c r="B2375" s="25"/>
      <c r="C2375" s="25"/>
      <c r="D2375" s="25"/>
      <c r="E2375" s="25"/>
      <c r="F2375" s="17"/>
      <c r="G2375" s="18"/>
      <c r="H2375" s="18"/>
      <c r="I2375" s="18"/>
    </row>
    <row r="2376" ht="15">
      <c r="A2376" s="25"/>
      <c r="B2376" s="25"/>
      <c r="C2376" s="25"/>
      <c r="D2376" s="25"/>
      <c r="E2376" s="25"/>
      <c r="F2376" s="17"/>
      <c r="G2376" s="18"/>
      <c r="H2376" s="18"/>
      <c r="I2376" s="18"/>
    </row>
    <row r="2377" ht="15">
      <c r="A2377" s="25"/>
      <c r="B2377" s="25"/>
      <c r="C2377" s="25"/>
      <c r="D2377" s="25"/>
      <c r="E2377" s="25"/>
      <c r="F2377" s="17"/>
      <c r="G2377" s="18"/>
      <c r="H2377" s="18"/>
      <c r="I2377" s="18"/>
    </row>
    <row r="2378" ht="15">
      <c r="A2378" s="25"/>
      <c r="B2378" s="25"/>
      <c r="C2378" s="25"/>
      <c r="D2378" s="25"/>
      <c r="E2378" s="25"/>
      <c r="F2378" s="17"/>
      <c r="G2378" s="18"/>
      <c r="H2378" s="18"/>
      <c r="I2378" s="18"/>
    </row>
    <row r="2379" ht="15">
      <c r="A2379" s="25"/>
      <c r="B2379" s="25"/>
      <c r="C2379" s="25"/>
      <c r="D2379" s="25"/>
      <c r="E2379" s="25"/>
      <c r="F2379" s="17"/>
      <c r="G2379" s="18"/>
      <c r="H2379" s="18"/>
      <c r="I2379" s="18"/>
    </row>
    <row r="2380" ht="15">
      <c r="A2380" s="25"/>
      <c r="B2380" s="25"/>
      <c r="C2380" s="25"/>
      <c r="D2380" s="25"/>
      <c r="E2380" s="25"/>
      <c r="F2380" s="17"/>
      <c r="G2380" s="18"/>
      <c r="H2380" s="18"/>
      <c r="I2380" s="18"/>
    </row>
    <row r="2381" ht="15">
      <c r="A2381" s="25"/>
      <c r="B2381" s="25"/>
      <c r="C2381" s="25"/>
      <c r="D2381" s="25"/>
      <c r="E2381" s="25"/>
      <c r="F2381" s="17"/>
      <c r="G2381" s="18"/>
      <c r="H2381" s="18"/>
      <c r="I2381" s="18"/>
    </row>
    <row r="2382" ht="15">
      <c r="A2382" s="25"/>
      <c r="B2382" s="25"/>
      <c r="C2382" s="25"/>
      <c r="D2382" s="25"/>
      <c r="E2382" s="25"/>
      <c r="F2382" s="17"/>
      <c r="G2382" s="18"/>
      <c r="H2382" s="18"/>
      <c r="I2382" s="18"/>
    </row>
    <row r="2383" ht="15">
      <c r="A2383" s="25"/>
      <c r="B2383" s="25"/>
      <c r="C2383" s="25"/>
      <c r="D2383" s="25"/>
      <c r="E2383" s="25"/>
      <c r="F2383" s="17"/>
      <c r="G2383" s="18"/>
      <c r="H2383" s="18"/>
      <c r="I2383" s="18"/>
    </row>
    <row r="2384" ht="15">
      <c r="A2384" s="25"/>
      <c r="B2384" s="25"/>
      <c r="C2384" s="25"/>
      <c r="D2384" s="25"/>
      <c r="E2384" s="25"/>
      <c r="F2384" s="17"/>
      <c r="G2384" s="18"/>
      <c r="H2384" s="18"/>
      <c r="I2384" s="18"/>
    </row>
    <row r="2385" ht="15">
      <c r="A2385" s="25"/>
      <c r="B2385" s="25"/>
      <c r="C2385" s="25"/>
      <c r="D2385" s="25"/>
      <c r="E2385" s="25"/>
      <c r="F2385" s="17"/>
      <c r="G2385" s="18"/>
      <c r="H2385" s="18"/>
      <c r="I2385" s="18"/>
    </row>
    <row r="2386" ht="15">
      <c r="A2386" s="25"/>
      <c r="B2386" s="25"/>
      <c r="C2386" s="25"/>
      <c r="D2386" s="25"/>
      <c r="E2386" s="25"/>
      <c r="F2386" s="17"/>
      <c r="G2386" s="18"/>
      <c r="H2386" s="18"/>
      <c r="I2386" s="18"/>
    </row>
    <row r="2387" ht="15">
      <c r="A2387" s="25"/>
      <c r="B2387" s="25"/>
      <c r="C2387" s="25"/>
      <c r="D2387" s="25"/>
      <c r="E2387" s="25"/>
      <c r="F2387" s="17"/>
      <c r="G2387" s="18"/>
      <c r="H2387" s="18"/>
      <c r="I2387" s="18"/>
    </row>
    <row r="2388" ht="15">
      <c r="A2388" s="25"/>
      <c r="B2388" s="25"/>
      <c r="C2388" s="25"/>
      <c r="D2388" s="25"/>
      <c r="E2388" s="25"/>
      <c r="F2388" s="17"/>
      <c r="G2388" s="18"/>
      <c r="H2388" s="18"/>
      <c r="I2388" s="18"/>
    </row>
    <row r="2389" ht="15">
      <c r="A2389" s="25"/>
      <c r="B2389" s="25"/>
      <c r="C2389" s="25"/>
      <c r="D2389" s="25"/>
      <c r="E2389" s="25"/>
      <c r="F2389" s="17"/>
      <c r="G2389" s="18"/>
      <c r="H2389" s="18"/>
      <c r="I2389" s="18"/>
    </row>
    <row r="2390" ht="15">
      <c r="A2390" s="25"/>
      <c r="B2390" s="25"/>
      <c r="C2390" s="25"/>
      <c r="D2390" s="25"/>
      <c r="E2390" s="25"/>
      <c r="F2390" s="17"/>
      <c r="G2390" s="18"/>
      <c r="H2390" s="18"/>
      <c r="I2390" s="18"/>
    </row>
    <row r="2391" ht="15">
      <c r="A2391" s="25"/>
      <c r="B2391" s="25"/>
      <c r="C2391" s="25"/>
      <c r="D2391" s="25"/>
      <c r="E2391" s="25"/>
      <c r="F2391" s="17"/>
      <c r="G2391" s="18"/>
      <c r="H2391" s="18"/>
      <c r="I2391" s="18"/>
    </row>
    <row r="2392" ht="15">
      <c r="A2392" s="25"/>
      <c r="B2392" s="25"/>
      <c r="C2392" s="25"/>
      <c r="D2392" s="25"/>
      <c r="E2392" s="25"/>
      <c r="F2392" s="17"/>
      <c r="G2392" s="18"/>
      <c r="H2392" s="18"/>
      <c r="I2392" s="18"/>
    </row>
    <row r="2393" ht="15">
      <c r="A2393" s="25"/>
      <c r="B2393" s="25"/>
      <c r="C2393" s="25"/>
      <c r="D2393" s="25"/>
      <c r="E2393" s="25"/>
      <c r="F2393" s="17"/>
      <c r="G2393" s="18"/>
      <c r="H2393" s="18"/>
      <c r="I2393" s="18"/>
    </row>
    <row r="2394" ht="15">
      <c r="A2394" s="25"/>
      <c r="B2394" s="25"/>
      <c r="C2394" s="25"/>
      <c r="D2394" s="25"/>
      <c r="E2394" s="25"/>
      <c r="F2394" s="17"/>
      <c r="G2394" s="18"/>
      <c r="H2394" s="18"/>
      <c r="I2394" s="18"/>
    </row>
    <row r="2395" ht="15">
      <c r="A2395" s="25"/>
      <c r="B2395" s="25"/>
      <c r="C2395" s="25"/>
      <c r="D2395" s="25"/>
      <c r="E2395" s="25"/>
      <c r="F2395" s="17"/>
      <c r="G2395" s="18"/>
      <c r="H2395" s="18"/>
      <c r="I2395" s="18"/>
    </row>
    <row r="2396" ht="15">
      <c r="A2396" s="25"/>
      <c r="B2396" s="25"/>
      <c r="C2396" s="25"/>
      <c r="D2396" s="25"/>
      <c r="E2396" s="25"/>
      <c r="F2396" s="17"/>
      <c r="G2396" s="18"/>
      <c r="H2396" s="18"/>
      <c r="I2396" s="18"/>
    </row>
    <row r="2397" ht="15">
      <c r="A2397" s="25"/>
      <c r="B2397" s="25"/>
      <c r="C2397" s="25"/>
      <c r="D2397" s="25"/>
      <c r="E2397" s="25"/>
      <c r="F2397" s="17"/>
      <c r="G2397" s="18"/>
      <c r="H2397" s="18"/>
      <c r="I2397" s="18"/>
    </row>
    <row r="2398" ht="15">
      <c r="A2398" s="25"/>
      <c r="B2398" s="25"/>
      <c r="C2398" s="25"/>
      <c r="D2398" s="25"/>
      <c r="E2398" s="25"/>
      <c r="F2398" s="17"/>
      <c r="G2398" s="18"/>
      <c r="H2398" s="18"/>
      <c r="I2398" s="18"/>
    </row>
    <row r="2399" ht="15">
      <c r="A2399" s="25"/>
      <c r="B2399" s="25"/>
      <c r="C2399" s="25"/>
      <c r="D2399" s="25"/>
      <c r="E2399" s="25"/>
      <c r="F2399" s="17"/>
      <c r="G2399" s="18"/>
      <c r="H2399" s="18"/>
      <c r="I2399" s="18"/>
    </row>
    <row r="2400" ht="15">
      <c r="A2400" s="25"/>
      <c r="B2400" s="25"/>
      <c r="C2400" s="25"/>
      <c r="D2400" s="25"/>
      <c r="E2400" s="25"/>
      <c r="F2400" s="17"/>
      <c r="G2400" s="18"/>
      <c r="H2400" s="18"/>
      <c r="I2400" s="18"/>
    </row>
    <row r="2401" ht="15">
      <c r="A2401" s="25"/>
      <c r="B2401" s="25"/>
      <c r="C2401" s="25"/>
      <c r="D2401" s="25"/>
      <c r="E2401" s="25"/>
      <c r="F2401" s="17"/>
      <c r="G2401" s="18"/>
      <c r="H2401" s="18"/>
      <c r="I2401" s="18"/>
    </row>
    <row r="2402" ht="15">
      <c r="A2402" s="25"/>
      <c r="B2402" s="25"/>
      <c r="C2402" s="25"/>
      <c r="D2402" s="25"/>
      <c r="E2402" s="25"/>
      <c r="F2402" s="17"/>
      <c r="G2402" s="18"/>
      <c r="H2402" s="18"/>
      <c r="I2402" s="18"/>
    </row>
    <row r="2403" ht="15">
      <c r="A2403" s="25"/>
      <c r="B2403" s="25"/>
      <c r="C2403" s="25"/>
      <c r="D2403" s="25"/>
      <c r="E2403" s="25"/>
      <c r="F2403" s="17"/>
      <c r="G2403" s="18"/>
      <c r="H2403" s="18"/>
      <c r="I2403" s="18"/>
    </row>
    <row r="2404" ht="15">
      <c r="A2404" s="25"/>
      <c r="B2404" s="25"/>
      <c r="C2404" s="25"/>
      <c r="D2404" s="25"/>
      <c r="E2404" s="25"/>
      <c r="F2404" s="17"/>
      <c r="G2404" s="18"/>
      <c r="H2404" s="18"/>
      <c r="I2404" s="18"/>
    </row>
    <row r="2405" ht="15">
      <c r="A2405" s="25"/>
      <c r="B2405" s="25"/>
      <c r="C2405" s="25"/>
      <c r="D2405" s="25"/>
      <c r="E2405" s="25"/>
      <c r="F2405" s="17"/>
      <c r="G2405" s="18"/>
      <c r="H2405" s="18"/>
      <c r="I2405" s="18"/>
    </row>
    <row r="2406" ht="15">
      <c r="A2406" s="25"/>
      <c r="B2406" s="25"/>
      <c r="C2406" s="25"/>
      <c r="D2406" s="25"/>
      <c r="E2406" s="25"/>
      <c r="F2406" s="17"/>
      <c r="G2406" s="18"/>
      <c r="H2406" s="18"/>
      <c r="I2406" s="18"/>
    </row>
    <row r="2407" ht="15">
      <c r="A2407" s="25"/>
      <c r="B2407" s="25"/>
      <c r="C2407" s="25"/>
      <c r="D2407" s="25"/>
      <c r="E2407" s="25"/>
      <c r="F2407" s="17"/>
      <c r="G2407" s="18"/>
      <c r="H2407" s="18"/>
      <c r="I2407" s="18"/>
    </row>
    <row r="2408" ht="15">
      <c r="A2408" s="25"/>
      <c r="B2408" s="25"/>
      <c r="C2408" s="25"/>
      <c r="D2408" s="25"/>
      <c r="E2408" s="25"/>
      <c r="F2408" s="17"/>
      <c r="G2408" s="18"/>
      <c r="H2408" s="18"/>
      <c r="I2408" s="18"/>
    </row>
    <row r="2409" ht="15">
      <c r="A2409" s="25"/>
      <c r="B2409" s="25"/>
      <c r="C2409" s="25"/>
      <c r="D2409" s="25"/>
      <c r="E2409" s="25"/>
      <c r="F2409" s="17"/>
      <c r="G2409" s="18"/>
      <c r="H2409" s="18"/>
      <c r="I2409" s="18"/>
    </row>
    <row r="2410" ht="15">
      <c r="A2410" s="25"/>
      <c r="B2410" s="25"/>
      <c r="C2410" s="25"/>
      <c r="D2410" s="25"/>
      <c r="E2410" s="25"/>
      <c r="F2410" s="17"/>
      <c r="G2410" s="18"/>
      <c r="H2410" s="18"/>
      <c r="I2410" s="18"/>
    </row>
    <row r="2411" ht="15">
      <c r="A2411" s="25"/>
      <c r="B2411" s="25"/>
      <c r="C2411" s="25"/>
      <c r="D2411" s="25"/>
      <c r="E2411" s="25"/>
      <c r="F2411" s="17"/>
      <c r="G2411" s="18"/>
      <c r="H2411" s="18"/>
      <c r="I2411" s="18"/>
    </row>
    <row r="2412" ht="15">
      <c r="A2412" s="25"/>
      <c r="B2412" s="25"/>
      <c r="C2412" s="25"/>
      <c r="D2412" s="25"/>
      <c r="E2412" s="25"/>
      <c r="F2412" s="17"/>
      <c r="G2412" s="18"/>
      <c r="H2412" s="18"/>
      <c r="I2412" s="18"/>
    </row>
    <row r="2413" ht="15">
      <c r="A2413" s="25"/>
      <c r="B2413" s="25"/>
      <c r="C2413" s="25"/>
      <c r="D2413" s="25"/>
      <c r="E2413" s="25"/>
      <c r="F2413" s="17"/>
      <c r="G2413" s="18"/>
      <c r="H2413" s="18"/>
      <c r="I2413" s="18"/>
    </row>
    <row r="2414" ht="15">
      <c r="A2414" s="25"/>
      <c r="B2414" s="25"/>
      <c r="C2414" s="25"/>
      <c r="D2414" s="25"/>
      <c r="E2414" s="25"/>
      <c r="F2414" s="17"/>
      <c r="G2414" s="18"/>
      <c r="H2414" s="18"/>
      <c r="I2414" s="18"/>
    </row>
    <row r="2415" ht="15">
      <c r="A2415" s="25"/>
      <c r="B2415" s="25"/>
      <c r="C2415" s="25"/>
      <c r="D2415" s="25"/>
      <c r="E2415" s="25"/>
      <c r="F2415" s="17"/>
      <c r="G2415" s="18"/>
      <c r="H2415" s="18"/>
      <c r="I2415" s="18"/>
    </row>
    <row r="2416" ht="15">
      <c r="A2416" s="25"/>
      <c r="B2416" s="25"/>
      <c r="C2416" s="25"/>
      <c r="D2416" s="25"/>
      <c r="E2416" s="25"/>
      <c r="F2416" s="17"/>
      <c r="G2416" s="18"/>
      <c r="H2416" s="18"/>
      <c r="I2416" s="18"/>
    </row>
    <row r="2417" ht="15">
      <c r="A2417" s="25"/>
      <c r="B2417" s="25"/>
      <c r="C2417" s="25"/>
      <c r="D2417" s="25"/>
      <c r="E2417" s="25"/>
      <c r="F2417" s="17"/>
      <c r="G2417" s="18"/>
      <c r="H2417" s="18"/>
      <c r="I2417" s="18"/>
    </row>
    <row r="2418" ht="15">
      <c r="A2418" s="25"/>
      <c r="B2418" s="25"/>
      <c r="C2418" s="25"/>
      <c r="D2418" s="25"/>
      <c r="E2418" s="25"/>
      <c r="F2418" s="17"/>
      <c r="G2418" s="18"/>
      <c r="H2418" s="18"/>
      <c r="I2418" s="18"/>
    </row>
    <row r="2419" ht="15">
      <c r="A2419" s="25"/>
      <c r="B2419" s="25"/>
      <c r="C2419" s="25"/>
      <c r="D2419" s="25"/>
      <c r="E2419" s="25"/>
      <c r="F2419" s="17"/>
      <c r="G2419" s="18"/>
      <c r="H2419" s="18"/>
      <c r="I2419" s="18"/>
    </row>
    <row r="2420" ht="15">
      <c r="A2420" s="25"/>
      <c r="B2420" s="25"/>
      <c r="C2420" s="25"/>
      <c r="D2420" s="25"/>
      <c r="E2420" s="25"/>
      <c r="F2420" s="17"/>
      <c r="G2420" s="18"/>
      <c r="H2420" s="18"/>
      <c r="I2420" s="18"/>
    </row>
    <row r="2421" ht="15">
      <c r="A2421" s="25"/>
      <c r="B2421" s="25"/>
      <c r="C2421" s="25"/>
      <c r="D2421" s="25"/>
      <c r="E2421" s="25"/>
      <c r="F2421" s="17"/>
      <c r="G2421" s="18"/>
      <c r="H2421" s="18"/>
      <c r="I2421" s="18"/>
    </row>
    <row r="2422" ht="15">
      <c r="A2422" s="25"/>
      <c r="B2422" s="25"/>
      <c r="C2422" s="25"/>
      <c r="D2422" s="25"/>
      <c r="E2422" s="25"/>
      <c r="F2422" s="17"/>
      <c r="G2422" s="18"/>
      <c r="H2422" s="18"/>
      <c r="I2422" s="18"/>
    </row>
    <row r="2423" ht="15">
      <c r="A2423" s="25"/>
      <c r="B2423" s="25"/>
      <c r="C2423" s="25"/>
      <c r="D2423" s="25"/>
      <c r="E2423" s="25"/>
      <c r="F2423" s="17"/>
      <c r="G2423" s="18"/>
      <c r="H2423" s="18"/>
      <c r="I2423" s="18"/>
    </row>
    <row r="2424" ht="15">
      <c r="A2424" s="25"/>
      <c r="B2424" s="25"/>
      <c r="C2424" s="25"/>
      <c r="D2424" s="25"/>
      <c r="E2424" s="25"/>
      <c r="F2424" s="17"/>
      <c r="G2424" s="18"/>
      <c r="H2424" s="18"/>
      <c r="I2424" s="18"/>
    </row>
    <row r="2425" ht="15">
      <c r="A2425" s="25"/>
      <c r="B2425" s="25"/>
      <c r="C2425" s="25"/>
      <c r="D2425" s="25"/>
      <c r="E2425" s="25"/>
      <c r="F2425" s="17"/>
      <c r="G2425" s="18"/>
      <c r="H2425" s="18"/>
      <c r="I2425" s="18"/>
    </row>
    <row r="2426" ht="15">
      <c r="A2426" s="25"/>
      <c r="B2426" s="25"/>
      <c r="C2426" s="25"/>
      <c r="D2426" s="25"/>
      <c r="E2426" s="25"/>
      <c r="F2426" s="17"/>
      <c r="G2426" s="18"/>
      <c r="H2426" s="18"/>
      <c r="I2426" s="18"/>
    </row>
    <row r="2427" ht="15">
      <c r="A2427" s="25"/>
      <c r="B2427" s="25"/>
      <c r="C2427" s="25"/>
      <c r="D2427" s="25"/>
      <c r="E2427" s="25"/>
      <c r="F2427" s="17"/>
      <c r="G2427" s="18"/>
      <c r="H2427" s="18"/>
      <c r="I2427" s="18"/>
    </row>
    <row r="2428" ht="15">
      <c r="A2428" s="25"/>
      <c r="B2428" s="25"/>
      <c r="C2428" s="25"/>
      <c r="D2428" s="25"/>
      <c r="E2428" s="25"/>
      <c r="F2428" s="17"/>
      <c r="G2428" s="18"/>
      <c r="H2428" s="18"/>
      <c r="I2428" s="18"/>
    </row>
    <row r="2429" ht="15">
      <c r="A2429" s="25"/>
      <c r="B2429" s="25"/>
      <c r="C2429" s="25"/>
      <c r="D2429" s="25"/>
      <c r="E2429" s="25"/>
      <c r="F2429" s="17"/>
      <c r="G2429" s="18"/>
      <c r="H2429" s="18"/>
      <c r="I2429" s="18"/>
    </row>
    <row r="2430" ht="15">
      <c r="A2430" s="25"/>
      <c r="B2430" s="25"/>
      <c r="C2430" s="25"/>
      <c r="D2430" s="25"/>
      <c r="E2430" s="25"/>
      <c r="F2430" s="17"/>
      <c r="G2430" s="18"/>
      <c r="H2430" s="18"/>
      <c r="I2430" s="18"/>
    </row>
    <row r="2431" ht="15">
      <c r="A2431" s="25"/>
      <c r="B2431" s="25"/>
      <c r="C2431" s="25"/>
      <c r="D2431" s="25"/>
      <c r="E2431" s="25"/>
      <c r="F2431" s="17"/>
      <c r="G2431" s="18"/>
      <c r="H2431" s="18"/>
      <c r="I2431" s="18"/>
    </row>
    <row r="2432" ht="15">
      <c r="A2432" s="25"/>
      <c r="B2432" s="25"/>
      <c r="C2432" s="25"/>
      <c r="D2432" s="25"/>
      <c r="E2432" s="25"/>
      <c r="F2432" s="17"/>
      <c r="G2432" s="18"/>
      <c r="H2432" s="18"/>
      <c r="I2432" s="18"/>
    </row>
    <row r="2433" ht="15">
      <c r="A2433" s="25"/>
      <c r="B2433" s="25"/>
      <c r="C2433" s="25"/>
      <c r="D2433" s="25"/>
      <c r="E2433" s="25"/>
      <c r="F2433" s="17"/>
      <c r="G2433" s="18"/>
      <c r="H2433" s="18"/>
      <c r="I2433" s="18"/>
    </row>
    <row r="2434" ht="15">
      <c r="A2434" s="25"/>
      <c r="B2434" s="25"/>
      <c r="C2434" s="25"/>
      <c r="D2434" s="25"/>
      <c r="E2434" s="25"/>
      <c r="F2434" s="17"/>
      <c r="G2434" s="18"/>
      <c r="H2434" s="18"/>
      <c r="I2434" s="18"/>
    </row>
    <row r="2435" ht="15">
      <c r="A2435" s="25"/>
      <c r="B2435" s="25"/>
      <c r="C2435" s="25"/>
      <c r="D2435" s="25"/>
      <c r="E2435" s="25"/>
      <c r="F2435" s="17"/>
      <c r="G2435" s="18"/>
      <c r="H2435" s="18"/>
      <c r="I2435" s="18"/>
    </row>
    <row r="2436" ht="15">
      <c r="A2436" s="25"/>
      <c r="B2436" s="25"/>
      <c r="C2436" s="25"/>
      <c r="D2436" s="25"/>
      <c r="E2436" s="25"/>
      <c r="F2436" s="17"/>
      <c r="G2436" s="18"/>
      <c r="H2436" s="18"/>
      <c r="I2436" s="18"/>
    </row>
    <row r="2437" ht="15">
      <c r="A2437" s="25"/>
      <c r="B2437" s="25"/>
      <c r="C2437" s="25"/>
      <c r="D2437" s="25"/>
      <c r="E2437" s="25"/>
      <c r="F2437" s="17"/>
      <c r="G2437" s="18"/>
      <c r="H2437" s="18"/>
      <c r="I2437" s="18"/>
    </row>
    <row r="2438" ht="15">
      <c r="A2438" s="25"/>
      <c r="B2438" s="25"/>
      <c r="C2438" s="25"/>
      <c r="D2438" s="25"/>
      <c r="E2438" s="25"/>
      <c r="F2438" s="17"/>
      <c r="G2438" s="18"/>
      <c r="H2438" s="18"/>
      <c r="I2438" s="18"/>
    </row>
    <row r="2439" ht="15">
      <c r="A2439" s="25"/>
      <c r="B2439" s="25"/>
      <c r="C2439" s="25"/>
      <c r="D2439" s="25"/>
      <c r="E2439" s="25"/>
      <c r="F2439" s="17"/>
      <c r="G2439" s="18"/>
      <c r="H2439" s="18"/>
      <c r="I2439" s="18"/>
    </row>
    <row r="2440" ht="15">
      <c r="A2440" s="25"/>
      <c r="B2440" s="25"/>
      <c r="C2440" s="25"/>
      <c r="D2440" s="25"/>
      <c r="E2440" s="25"/>
      <c r="F2440" s="17"/>
      <c r="G2440" s="18"/>
      <c r="H2440" s="18"/>
      <c r="I2440" s="18"/>
    </row>
    <row r="2441" ht="15">
      <c r="A2441" s="25"/>
      <c r="B2441" s="25"/>
      <c r="C2441" s="25"/>
      <c r="D2441" s="25"/>
      <c r="E2441" s="25"/>
      <c r="F2441" s="17"/>
      <c r="G2441" s="18"/>
      <c r="H2441" s="18"/>
      <c r="I2441" s="18"/>
    </row>
    <row r="2442" ht="15">
      <c r="A2442" s="25"/>
      <c r="B2442" s="25"/>
      <c r="C2442" s="25"/>
      <c r="D2442" s="25"/>
      <c r="E2442" s="25"/>
      <c r="F2442" s="17"/>
      <c r="G2442" s="18"/>
      <c r="H2442" s="18"/>
      <c r="I2442" s="18"/>
    </row>
    <row r="2443" ht="15">
      <c r="A2443" s="25"/>
      <c r="B2443" s="25"/>
      <c r="C2443" s="25"/>
      <c r="D2443" s="25"/>
      <c r="E2443" s="25"/>
      <c r="F2443" s="17"/>
      <c r="G2443" s="18"/>
      <c r="H2443" s="18"/>
      <c r="I2443" s="18"/>
    </row>
    <row r="2444" ht="15">
      <c r="A2444" s="25"/>
      <c r="B2444" s="25"/>
      <c r="C2444" s="25"/>
      <c r="D2444" s="25"/>
      <c r="E2444" s="25"/>
      <c r="F2444" s="17"/>
      <c r="G2444" s="18"/>
      <c r="H2444" s="18"/>
      <c r="I2444" s="18"/>
    </row>
    <row r="2445" ht="15">
      <c r="A2445" s="25"/>
      <c r="B2445" s="25"/>
      <c r="C2445" s="25"/>
      <c r="D2445" s="25"/>
      <c r="E2445" s="25"/>
      <c r="F2445" s="17"/>
      <c r="G2445" s="18"/>
      <c r="H2445" s="18"/>
      <c r="I2445" s="18"/>
    </row>
    <row r="2446" ht="15">
      <c r="A2446" s="25"/>
      <c r="B2446" s="25"/>
      <c r="C2446" s="25"/>
      <c r="D2446" s="25"/>
      <c r="E2446" s="25"/>
      <c r="F2446" s="17"/>
      <c r="G2446" s="18"/>
      <c r="H2446" s="18"/>
      <c r="I2446" s="18"/>
    </row>
    <row r="2447" ht="15">
      <c r="A2447" s="25"/>
      <c r="B2447" s="25"/>
      <c r="C2447" s="25"/>
      <c r="D2447" s="25"/>
      <c r="E2447" s="25"/>
      <c r="F2447" s="17"/>
      <c r="G2447" s="18"/>
      <c r="H2447" s="18"/>
      <c r="I2447" s="18"/>
    </row>
    <row r="2448" ht="15">
      <c r="A2448" s="25"/>
      <c r="B2448" s="25"/>
      <c r="C2448" s="25"/>
      <c r="D2448" s="25"/>
      <c r="E2448" s="25"/>
      <c r="F2448" s="17"/>
      <c r="G2448" s="18"/>
      <c r="H2448" s="18"/>
      <c r="I2448" s="18"/>
    </row>
    <row r="2449" ht="15">
      <c r="A2449" s="25"/>
      <c r="B2449" s="25"/>
      <c r="C2449" s="25"/>
      <c r="D2449" s="25"/>
      <c r="E2449" s="25"/>
      <c r="F2449" s="17"/>
      <c r="G2449" s="18"/>
      <c r="H2449" s="18"/>
      <c r="I2449" s="18"/>
    </row>
    <row r="2450" ht="15">
      <c r="A2450" s="25"/>
      <c r="B2450" s="25"/>
      <c r="C2450" s="25"/>
      <c r="D2450" s="25"/>
      <c r="E2450" s="25"/>
      <c r="F2450" s="17"/>
      <c r="G2450" s="18"/>
      <c r="H2450" s="18"/>
      <c r="I2450" s="18"/>
    </row>
    <row r="2451" ht="15">
      <c r="A2451" s="25"/>
      <c r="B2451" s="25"/>
      <c r="C2451" s="25"/>
      <c r="D2451" s="25"/>
      <c r="E2451" s="25"/>
      <c r="F2451" s="17"/>
      <c r="G2451" s="18"/>
      <c r="H2451" s="18"/>
      <c r="I2451" s="18"/>
    </row>
    <row r="2452" ht="15">
      <c r="A2452" s="25"/>
      <c r="B2452" s="25"/>
      <c r="C2452" s="25"/>
      <c r="D2452" s="25"/>
      <c r="E2452" s="25"/>
      <c r="F2452" s="17"/>
      <c r="G2452" s="18"/>
      <c r="H2452" s="18"/>
      <c r="I2452" s="18"/>
    </row>
    <row r="2453" ht="15">
      <c r="A2453" s="25"/>
      <c r="B2453" s="25"/>
      <c r="C2453" s="25"/>
      <c r="D2453" s="25"/>
      <c r="E2453" s="25"/>
      <c r="F2453" s="17"/>
      <c r="G2453" s="18"/>
      <c r="H2453" s="18"/>
      <c r="I2453" s="18"/>
    </row>
    <row r="2454" ht="15">
      <c r="A2454" s="25"/>
      <c r="B2454" s="25"/>
      <c r="C2454" s="25"/>
      <c r="D2454" s="25"/>
      <c r="E2454" s="25"/>
      <c r="F2454" s="17"/>
      <c r="G2454" s="18"/>
      <c r="H2454" s="18"/>
      <c r="I2454" s="18"/>
    </row>
    <row r="2455" ht="15">
      <c r="A2455" s="25"/>
      <c r="B2455" s="25"/>
      <c r="C2455" s="25"/>
      <c r="D2455" s="25"/>
      <c r="E2455" s="25"/>
      <c r="F2455" s="17"/>
      <c r="G2455" s="18"/>
      <c r="H2455" s="18"/>
      <c r="I2455" s="18"/>
    </row>
    <row r="2456" ht="15">
      <c r="A2456" s="25"/>
      <c r="B2456" s="25"/>
      <c r="C2456" s="25"/>
      <c r="D2456" s="25"/>
      <c r="E2456" s="25"/>
      <c r="F2456" s="17"/>
      <c r="G2456" s="18"/>
      <c r="H2456" s="18"/>
      <c r="I2456" s="18"/>
    </row>
    <row r="2457" ht="15">
      <c r="A2457" s="25"/>
      <c r="B2457" s="25"/>
      <c r="C2457" s="25"/>
      <c r="D2457" s="25"/>
      <c r="E2457" s="25"/>
      <c r="F2457" s="17"/>
      <c r="G2457" s="18"/>
      <c r="H2457" s="18"/>
      <c r="I2457" s="18"/>
    </row>
    <row r="2458" ht="15">
      <c r="A2458" s="25"/>
      <c r="B2458" s="25"/>
      <c r="C2458" s="25"/>
      <c r="D2458" s="25"/>
      <c r="E2458" s="25"/>
      <c r="F2458" s="17"/>
      <c r="G2458" s="18"/>
      <c r="H2458" s="18"/>
      <c r="I2458" s="18"/>
    </row>
    <row r="2459" ht="15">
      <c r="A2459" s="25"/>
      <c r="B2459" s="25"/>
      <c r="C2459" s="25"/>
      <c r="D2459" s="25"/>
      <c r="E2459" s="25"/>
      <c r="F2459" s="17"/>
      <c r="G2459" s="18"/>
      <c r="H2459" s="18"/>
      <c r="I2459" s="18"/>
    </row>
    <row r="2460" ht="15">
      <c r="A2460" s="25"/>
      <c r="B2460" s="25"/>
      <c r="C2460" s="25"/>
      <c r="D2460" s="25"/>
      <c r="E2460" s="25"/>
      <c r="F2460" s="17"/>
      <c r="G2460" s="18"/>
      <c r="H2460" s="18"/>
      <c r="I2460" s="18"/>
    </row>
    <row r="2461" ht="15">
      <c r="A2461" s="25"/>
      <c r="B2461" s="25"/>
      <c r="C2461" s="25"/>
      <c r="D2461" s="25"/>
      <c r="E2461" s="25"/>
      <c r="F2461" s="17"/>
      <c r="G2461" s="18"/>
      <c r="H2461" s="18"/>
      <c r="I2461" s="18"/>
    </row>
    <row r="2462" ht="15">
      <c r="A2462" s="25"/>
      <c r="B2462" s="25"/>
      <c r="C2462" s="25"/>
      <c r="D2462" s="25"/>
      <c r="E2462" s="25"/>
      <c r="F2462" s="17"/>
      <c r="G2462" s="18"/>
      <c r="H2462" s="18"/>
      <c r="I2462" s="18"/>
    </row>
    <row r="2463" ht="15">
      <c r="A2463" s="25"/>
      <c r="B2463" s="25"/>
      <c r="C2463" s="25"/>
      <c r="D2463" s="25"/>
      <c r="E2463" s="25"/>
      <c r="F2463" s="17"/>
      <c r="G2463" s="18"/>
      <c r="H2463" s="18"/>
      <c r="I2463" s="18"/>
    </row>
    <row r="2464" ht="15">
      <c r="A2464" s="25"/>
      <c r="B2464" s="25"/>
      <c r="C2464" s="25"/>
      <c r="D2464" s="25"/>
      <c r="E2464" s="25"/>
      <c r="F2464" s="17"/>
      <c r="G2464" s="18"/>
      <c r="H2464" s="18"/>
      <c r="I2464" s="18"/>
    </row>
    <row r="2465" ht="15">
      <c r="A2465" s="25"/>
      <c r="B2465" s="25"/>
      <c r="C2465" s="25"/>
      <c r="D2465" s="25"/>
      <c r="E2465" s="25"/>
      <c r="F2465" s="17"/>
      <c r="G2465" s="18"/>
      <c r="H2465" s="18"/>
      <c r="I2465" s="18"/>
    </row>
    <row r="2466" ht="15">
      <c r="A2466" s="25"/>
      <c r="B2466" s="25"/>
      <c r="C2466" s="25"/>
      <c r="D2466" s="25"/>
      <c r="E2466" s="25"/>
      <c r="F2466" s="17"/>
      <c r="G2466" s="18"/>
      <c r="H2466" s="18"/>
      <c r="I2466" s="18"/>
    </row>
    <row r="2467" ht="15">
      <c r="A2467" s="25"/>
      <c r="B2467" s="25"/>
      <c r="C2467" s="25"/>
      <c r="D2467" s="25"/>
      <c r="E2467" s="25"/>
      <c r="F2467" s="17"/>
      <c r="G2467" s="18"/>
      <c r="H2467" s="18"/>
      <c r="I2467" s="18"/>
    </row>
    <row r="2468" ht="15">
      <c r="A2468" s="25"/>
      <c r="B2468" s="25"/>
      <c r="C2468" s="25"/>
      <c r="D2468" s="25"/>
      <c r="E2468" s="25"/>
      <c r="F2468" s="17"/>
      <c r="G2468" s="18"/>
      <c r="H2468" s="18"/>
      <c r="I2468" s="18"/>
    </row>
    <row r="2469" ht="15">
      <c r="A2469" s="25"/>
      <c r="B2469" s="25"/>
      <c r="C2469" s="25"/>
      <c r="D2469" s="25"/>
      <c r="E2469" s="25"/>
      <c r="F2469" s="17"/>
      <c r="G2469" s="18"/>
      <c r="H2469" s="18"/>
      <c r="I2469" s="18"/>
    </row>
    <row r="2470" ht="15">
      <c r="A2470" s="25"/>
      <c r="B2470" s="25"/>
      <c r="C2470" s="25"/>
      <c r="D2470" s="25"/>
      <c r="E2470" s="25"/>
      <c r="F2470" s="17"/>
      <c r="G2470" s="18"/>
      <c r="H2470" s="18"/>
      <c r="I2470" s="18"/>
    </row>
    <row r="2471" ht="15">
      <c r="A2471" s="25"/>
      <c r="B2471" s="25"/>
      <c r="C2471" s="25"/>
      <c r="D2471" s="25"/>
      <c r="E2471" s="25"/>
      <c r="F2471" s="17"/>
      <c r="G2471" s="18"/>
      <c r="H2471" s="18"/>
      <c r="I2471" s="18"/>
    </row>
    <row r="2472" ht="15">
      <c r="A2472" s="25"/>
      <c r="B2472" s="25"/>
      <c r="C2472" s="25"/>
      <c r="D2472" s="25"/>
      <c r="E2472" s="25"/>
      <c r="F2472" s="17"/>
      <c r="G2472" s="18"/>
      <c r="H2472" s="18"/>
      <c r="I2472" s="18"/>
    </row>
    <row r="2473" ht="15">
      <c r="A2473" s="25"/>
      <c r="B2473" s="25"/>
      <c r="C2473" s="25"/>
      <c r="D2473" s="25"/>
      <c r="E2473" s="25"/>
      <c r="F2473" s="17"/>
      <c r="G2473" s="18"/>
      <c r="H2473" s="18"/>
      <c r="I2473" s="18"/>
    </row>
    <row r="2474" ht="15">
      <c r="A2474" s="25"/>
      <c r="B2474" s="25"/>
      <c r="C2474" s="25"/>
      <c r="D2474" s="25"/>
      <c r="E2474" s="25"/>
      <c r="F2474" s="17"/>
      <c r="G2474" s="18"/>
      <c r="H2474" s="18"/>
      <c r="I2474" s="18"/>
    </row>
    <row r="2475" ht="15">
      <c r="A2475" s="25"/>
      <c r="B2475" s="25"/>
      <c r="C2475" s="25"/>
      <c r="D2475" s="25"/>
      <c r="E2475" s="25"/>
      <c r="F2475" s="17"/>
      <c r="G2475" s="18"/>
      <c r="H2475" s="18"/>
      <c r="I2475" s="18"/>
    </row>
    <row r="2476" ht="15">
      <c r="A2476" s="25"/>
      <c r="B2476" s="25"/>
      <c r="C2476" s="25"/>
      <c r="D2476" s="25"/>
      <c r="E2476" s="25"/>
      <c r="F2476" s="17"/>
      <c r="G2476" s="18"/>
      <c r="H2476" s="18"/>
      <c r="I2476" s="18"/>
    </row>
    <row r="2477" ht="15">
      <c r="A2477" s="25"/>
      <c r="B2477" s="25"/>
      <c r="C2477" s="25"/>
      <c r="D2477" s="25"/>
      <c r="E2477" s="25"/>
      <c r="F2477" s="17"/>
      <c r="G2477" s="18"/>
      <c r="H2477" s="18"/>
      <c r="I2477" s="18"/>
    </row>
    <row r="2478" ht="15">
      <c r="A2478" s="25"/>
      <c r="B2478" s="25"/>
      <c r="C2478" s="25"/>
      <c r="D2478" s="25"/>
      <c r="E2478" s="25"/>
      <c r="F2478" s="17"/>
      <c r="G2478" s="18"/>
      <c r="H2478" s="18"/>
      <c r="I2478" s="18"/>
    </row>
    <row r="2479" ht="15">
      <c r="A2479" s="25"/>
      <c r="B2479" s="25"/>
      <c r="C2479" s="25"/>
      <c r="D2479" s="25"/>
      <c r="E2479" s="25"/>
      <c r="F2479" s="17"/>
      <c r="G2479" s="18"/>
      <c r="H2479" s="18"/>
      <c r="I2479" s="18"/>
    </row>
    <row r="2480" ht="15">
      <c r="A2480" s="25"/>
      <c r="B2480" s="25"/>
      <c r="C2480" s="25"/>
      <c r="D2480" s="25"/>
      <c r="E2480" s="25"/>
      <c r="F2480" s="17"/>
      <c r="G2480" s="18"/>
      <c r="H2480" s="18"/>
      <c r="I2480" s="18"/>
    </row>
    <row r="2481" ht="15">
      <c r="A2481" s="25"/>
      <c r="B2481" s="25"/>
      <c r="C2481" s="25"/>
      <c r="D2481" s="25"/>
      <c r="E2481" s="25"/>
      <c r="F2481" s="17"/>
      <c r="G2481" s="18"/>
      <c r="H2481" s="18"/>
      <c r="I2481" s="18"/>
    </row>
    <row r="2482" ht="15">
      <c r="A2482" s="25"/>
      <c r="B2482" s="25"/>
      <c r="C2482" s="25"/>
      <c r="D2482" s="25"/>
      <c r="E2482" s="25"/>
      <c r="F2482" s="17"/>
      <c r="G2482" s="18"/>
      <c r="H2482" s="18"/>
      <c r="I2482" s="18"/>
    </row>
    <row r="2483" ht="15">
      <c r="A2483" s="25"/>
      <c r="B2483" s="25"/>
      <c r="C2483" s="25"/>
      <c r="D2483" s="25"/>
      <c r="E2483" s="25"/>
      <c r="F2483" s="17"/>
      <c r="G2483" s="18"/>
      <c r="H2483" s="18"/>
      <c r="I2483" s="18"/>
    </row>
    <row r="2484" ht="15">
      <c r="A2484" s="25"/>
      <c r="B2484" s="25"/>
      <c r="C2484" s="25"/>
      <c r="D2484" s="25"/>
      <c r="E2484" s="25"/>
      <c r="F2484" s="17"/>
      <c r="G2484" s="18"/>
      <c r="H2484" s="18"/>
      <c r="I2484" s="18"/>
    </row>
    <row r="2485" ht="15">
      <c r="A2485" s="25"/>
      <c r="B2485" s="25"/>
      <c r="C2485" s="25"/>
      <c r="D2485" s="25"/>
      <c r="E2485" s="25"/>
      <c r="F2485" s="17"/>
      <c r="G2485" s="18"/>
      <c r="H2485" s="18"/>
      <c r="I2485" s="18"/>
    </row>
    <row r="2486" ht="15">
      <c r="A2486" s="25"/>
      <c r="B2486" s="25"/>
      <c r="C2486" s="25"/>
      <c r="D2486" s="25"/>
      <c r="E2486" s="25"/>
      <c r="F2486" s="17"/>
      <c r="G2486" s="18"/>
      <c r="H2486" s="18"/>
      <c r="I2486" s="18"/>
    </row>
    <row r="2487" ht="15">
      <c r="A2487" s="25"/>
      <c r="B2487" s="25"/>
      <c r="C2487" s="25"/>
      <c r="D2487" s="25"/>
      <c r="E2487" s="25"/>
      <c r="F2487" s="17"/>
      <c r="G2487" s="18"/>
      <c r="H2487" s="18"/>
      <c r="I2487" s="18"/>
    </row>
    <row r="2488" ht="15">
      <c r="A2488" s="25"/>
      <c r="B2488" s="25"/>
      <c r="C2488" s="25"/>
      <c r="D2488" s="25"/>
      <c r="E2488" s="25"/>
      <c r="F2488" s="17"/>
      <c r="G2488" s="18"/>
      <c r="H2488" s="18"/>
      <c r="I2488" s="18"/>
    </row>
    <row r="2489" ht="15">
      <c r="A2489" s="25"/>
      <c r="B2489" s="25"/>
      <c r="C2489" s="25"/>
      <c r="D2489" s="25"/>
      <c r="E2489" s="25"/>
      <c r="F2489" s="17"/>
      <c r="G2489" s="18"/>
      <c r="H2489" s="18"/>
      <c r="I2489" s="18"/>
    </row>
    <row r="2490" ht="15">
      <c r="A2490" s="25"/>
      <c r="B2490" s="25"/>
      <c r="C2490" s="25"/>
      <c r="D2490" s="25"/>
      <c r="E2490" s="25"/>
      <c r="F2490" s="17"/>
      <c r="G2490" s="18"/>
      <c r="H2490" s="18"/>
      <c r="I2490" s="18"/>
    </row>
    <row r="2491" ht="15">
      <c r="A2491" s="25"/>
      <c r="B2491" s="25"/>
      <c r="C2491" s="25"/>
      <c r="D2491" s="25"/>
      <c r="E2491" s="25"/>
      <c r="F2491" s="17"/>
      <c r="G2491" s="18"/>
      <c r="H2491" s="18"/>
      <c r="I2491" s="18"/>
    </row>
    <row r="2492" ht="15">
      <c r="A2492" s="25"/>
      <c r="B2492" s="25"/>
      <c r="C2492" s="25"/>
      <c r="D2492" s="25"/>
      <c r="E2492" s="25"/>
      <c r="F2492" s="17"/>
      <c r="G2492" s="18"/>
      <c r="H2492" s="18"/>
      <c r="I2492" s="18"/>
    </row>
    <row r="2493" ht="15">
      <c r="A2493" s="25"/>
      <c r="B2493" s="25"/>
      <c r="C2493" s="25"/>
      <c r="D2493" s="25"/>
      <c r="E2493" s="25"/>
      <c r="F2493" s="17"/>
      <c r="G2493" s="18"/>
      <c r="H2493" s="18"/>
      <c r="I2493" s="18"/>
    </row>
    <row r="2494" ht="15">
      <c r="A2494" s="25"/>
      <c r="B2494" s="25"/>
      <c r="C2494" s="25"/>
      <c r="D2494" s="25"/>
      <c r="E2494" s="25"/>
      <c r="F2494" s="17"/>
      <c r="G2494" s="18"/>
      <c r="H2494" s="18"/>
      <c r="I2494" s="18"/>
    </row>
    <row r="2495" ht="15">
      <c r="A2495" s="25"/>
      <c r="B2495" s="25"/>
      <c r="C2495" s="25"/>
      <c r="D2495" s="25"/>
      <c r="E2495" s="25"/>
      <c r="F2495" s="17"/>
      <c r="G2495" s="18"/>
      <c r="H2495" s="18"/>
      <c r="I2495" s="18"/>
    </row>
    <row r="2496" ht="15">
      <c r="A2496" s="25"/>
      <c r="B2496" s="25"/>
      <c r="C2496" s="25"/>
      <c r="D2496" s="25"/>
      <c r="E2496" s="25"/>
      <c r="F2496" s="17"/>
      <c r="G2496" s="18"/>
      <c r="H2496" s="18"/>
      <c r="I2496" s="18"/>
    </row>
    <row r="2497" ht="15">
      <c r="A2497" s="25"/>
      <c r="B2497" s="25"/>
      <c r="C2497" s="25"/>
      <c r="D2497" s="25"/>
      <c r="E2497" s="25"/>
      <c r="F2497" s="17"/>
      <c r="G2497" s="18"/>
      <c r="H2497" s="18"/>
      <c r="I2497" s="18"/>
    </row>
    <row r="2498" ht="15">
      <c r="A2498" s="25"/>
      <c r="B2498" s="25"/>
      <c r="C2498" s="25"/>
      <c r="D2498" s="25"/>
      <c r="E2498" s="25"/>
      <c r="F2498" s="17"/>
      <c r="G2498" s="18"/>
      <c r="H2498" s="18"/>
      <c r="I2498" s="18"/>
    </row>
    <row r="2499" ht="15">
      <c r="A2499" s="25"/>
      <c r="B2499" s="25"/>
      <c r="C2499" s="25"/>
      <c r="D2499" s="25"/>
      <c r="E2499" s="25"/>
      <c r="F2499" s="17"/>
      <c r="G2499" s="18"/>
      <c r="H2499" s="18"/>
      <c r="I2499" s="18"/>
    </row>
    <row r="2500" ht="15">
      <c r="A2500" s="25"/>
      <c r="B2500" s="25"/>
      <c r="C2500" s="25"/>
      <c r="D2500" s="25"/>
      <c r="E2500" s="25"/>
      <c r="F2500" s="17"/>
      <c r="G2500" s="18"/>
      <c r="H2500" s="18"/>
      <c r="I2500" s="18"/>
    </row>
    <row r="2501" ht="15">
      <c r="A2501" s="25"/>
      <c r="B2501" s="25"/>
      <c r="C2501" s="25"/>
      <c r="D2501" s="25"/>
      <c r="E2501" s="25"/>
      <c r="F2501" s="17"/>
      <c r="G2501" s="18"/>
      <c r="H2501" s="18"/>
      <c r="I2501" s="18"/>
    </row>
    <row r="2502" ht="15">
      <c r="A2502" s="25"/>
      <c r="B2502" s="25"/>
      <c r="C2502" s="25"/>
      <c r="D2502" s="25"/>
      <c r="E2502" s="25"/>
      <c r="F2502" s="17"/>
      <c r="G2502" s="18"/>
      <c r="H2502" s="18"/>
      <c r="I2502" s="18"/>
    </row>
    <row r="2503" ht="15">
      <c r="A2503" s="25"/>
      <c r="B2503" s="25"/>
      <c r="C2503" s="25"/>
      <c r="D2503" s="25"/>
      <c r="E2503" s="25"/>
      <c r="F2503" s="17"/>
      <c r="G2503" s="18"/>
      <c r="H2503" s="18"/>
      <c r="I2503" s="18"/>
    </row>
    <row r="2504" ht="15">
      <c r="A2504" s="25"/>
      <c r="B2504" s="25"/>
      <c r="C2504" s="25"/>
      <c r="D2504" s="25"/>
      <c r="E2504" s="25"/>
      <c r="F2504" s="17"/>
      <c r="G2504" s="18"/>
      <c r="H2504" s="18"/>
      <c r="I2504" s="18"/>
    </row>
    <row r="2505" ht="15">
      <c r="A2505" s="25"/>
      <c r="B2505" s="25"/>
      <c r="C2505" s="25"/>
      <c r="D2505" s="25"/>
      <c r="E2505" s="25"/>
      <c r="F2505" s="17"/>
      <c r="G2505" s="18"/>
      <c r="H2505" s="18"/>
      <c r="I2505" s="18"/>
    </row>
    <row r="2506" ht="15">
      <c r="A2506" s="25"/>
      <c r="B2506" s="25"/>
      <c r="C2506" s="25"/>
      <c r="D2506" s="25"/>
      <c r="E2506" s="25"/>
      <c r="F2506" s="17"/>
      <c r="G2506" s="18"/>
      <c r="H2506" s="18"/>
      <c r="I2506" s="18"/>
    </row>
    <row r="2507" ht="15">
      <c r="A2507" s="25"/>
      <c r="B2507" s="25"/>
      <c r="C2507" s="25"/>
      <c r="D2507" s="25"/>
      <c r="E2507" s="25"/>
      <c r="F2507" s="17"/>
      <c r="G2507" s="18"/>
      <c r="H2507" s="18"/>
      <c r="I2507" s="18"/>
    </row>
    <row r="2508" ht="15">
      <c r="A2508" s="25"/>
      <c r="B2508" s="25"/>
      <c r="C2508" s="25"/>
      <c r="D2508" s="25"/>
      <c r="E2508" s="25"/>
      <c r="F2508" s="17"/>
      <c r="G2508" s="18"/>
      <c r="H2508" s="18"/>
      <c r="I2508" s="18"/>
    </row>
    <row r="2509" ht="15">
      <c r="A2509" s="25"/>
      <c r="B2509" s="25"/>
      <c r="C2509" s="25"/>
      <c r="D2509" s="25"/>
      <c r="E2509" s="25"/>
      <c r="F2509" s="17"/>
      <c r="G2509" s="18"/>
      <c r="H2509" s="18"/>
      <c r="I2509" s="18"/>
    </row>
    <row r="2510" ht="15">
      <c r="A2510" s="25"/>
      <c r="B2510" s="25"/>
      <c r="C2510" s="25"/>
      <c r="D2510" s="25"/>
      <c r="E2510" s="25"/>
      <c r="F2510" s="17"/>
      <c r="G2510" s="18"/>
      <c r="H2510" s="18"/>
      <c r="I2510" s="18"/>
    </row>
    <row r="2511" ht="15">
      <c r="A2511" s="25"/>
      <c r="B2511" s="25"/>
      <c r="C2511" s="25"/>
      <c r="D2511" s="25"/>
      <c r="E2511" s="25"/>
      <c r="F2511" s="17"/>
      <c r="G2511" s="18"/>
      <c r="H2511" s="18"/>
      <c r="I2511" s="18"/>
    </row>
    <row r="2512" ht="15">
      <c r="A2512" s="25"/>
      <c r="B2512" s="25"/>
      <c r="C2512" s="25"/>
      <c r="D2512" s="25"/>
      <c r="E2512" s="25"/>
      <c r="F2512" s="17"/>
      <c r="G2512" s="18"/>
      <c r="H2512" s="18"/>
      <c r="I2512" s="18"/>
    </row>
    <row r="2513" ht="15">
      <c r="A2513" s="25"/>
      <c r="B2513" s="25"/>
      <c r="C2513" s="25"/>
      <c r="D2513" s="25"/>
      <c r="E2513" s="25"/>
      <c r="F2513" s="17"/>
      <c r="G2513" s="18"/>
      <c r="H2513" s="18"/>
      <c r="I2513" s="18"/>
    </row>
    <row r="2514" ht="15">
      <c r="A2514" s="25"/>
      <c r="B2514" s="25"/>
      <c r="C2514" s="25"/>
      <c r="D2514" s="25"/>
      <c r="E2514" s="25"/>
      <c r="F2514" s="17"/>
      <c r="G2514" s="18"/>
      <c r="H2514" s="18"/>
      <c r="I2514" s="18"/>
    </row>
    <row r="2515" ht="15">
      <c r="A2515" s="25"/>
      <c r="B2515" s="25"/>
      <c r="C2515" s="25"/>
      <c r="D2515" s="25"/>
      <c r="E2515" s="25"/>
      <c r="F2515" s="17"/>
      <c r="G2515" s="18"/>
      <c r="H2515" s="18"/>
      <c r="I2515" s="18"/>
    </row>
    <row r="2516" ht="15">
      <c r="A2516" s="25"/>
      <c r="B2516" s="25"/>
      <c r="C2516" s="25"/>
      <c r="D2516" s="25"/>
      <c r="E2516" s="25"/>
      <c r="F2516" s="17"/>
      <c r="G2516" s="18"/>
      <c r="H2516" s="18"/>
      <c r="I2516" s="18"/>
    </row>
    <row r="2517" ht="15">
      <c r="A2517" s="25"/>
      <c r="B2517" s="25"/>
      <c r="C2517" s="25"/>
      <c r="D2517" s="25"/>
      <c r="E2517" s="25"/>
      <c r="F2517" s="17"/>
      <c r="G2517" s="18"/>
      <c r="H2517" s="18"/>
      <c r="I2517" s="18"/>
    </row>
    <row r="2518" ht="15">
      <c r="A2518" s="25"/>
      <c r="B2518" s="25"/>
      <c r="C2518" s="25"/>
      <c r="D2518" s="25"/>
      <c r="E2518" s="25"/>
      <c r="F2518" s="17"/>
      <c r="G2518" s="18"/>
      <c r="H2518" s="18"/>
      <c r="I2518" s="18"/>
    </row>
    <row r="2519" ht="15">
      <c r="A2519" s="25"/>
      <c r="B2519" s="25"/>
      <c r="C2519" s="25"/>
      <c r="D2519" s="25"/>
      <c r="E2519" s="25"/>
      <c r="F2519" s="17"/>
      <c r="G2519" s="18"/>
      <c r="H2519" s="18"/>
      <c r="I2519" s="18"/>
    </row>
    <row r="2520" ht="15">
      <c r="A2520" s="25"/>
      <c r="B2520" s="25"/>
      <c r="C2520" s="25"/>
      <c r="D2520" s="25"/>
      <c r="E2520" s="25"/>
      <c r="F2520" s="17"/>
      <c r="G2520" s="18"/>
      <c r="H2520" s="18"/>
      <c r="I2520" s="18"/>
    </row>
    <row r="2521" ht="15">
      <c r="A2521" s="25"/>
      <c r="B2521" s="25"/>
      <c r="C2521" s="25"/>
      <c r="D2521" s="25"/>
      <c r="E2521" s="25"/>
      <c r="F2521" s="17"/>
      <c r="G2521" s="18"/>
      <c r="H2521" s="18"/>
      <c r="I2521" s="18"/>
    </row>
    <row r="2522" ht="15">
      <c r="A2522" s="25"/>
      <c r="B2522" s="25"/>
      <c r="C2522" s="25"/>
      <c r="D2522" s="25"/>
      <c r="E2522" s="25"/>
      <c r="F2522" s="17"/>
      <c r="G2522" s="18"/>
      <c r="H2522" s="18"/>
      <c r="I2522" s="18"/>
    </row>
    <row r="2523" ht="15">
      <c r="A2523" s="25"/>
      <c r="B2523" s="25"/>
      <c r="C2523" s="25"/>
      <c r="D2523" s="25"/>
      <c r="E2523" s="25"/>
      <c r="F2523" s="17"/>
      <c r="G2523" s="18"/>
      <c r="H2523" s="18"/>
      <c r="I2523" s="18"/>
    </row>
    <row r="2524" ht="15">
      <c r="A2524" s="25"/>
      <c r="B2524" s="25"/>
      <c r="C2524" s="25"/>
      <c r="D2524" s="25"/>
      <c r="E2524" s="25"/>
      <c r="F2524" s="17"/>
      <c r="G2524" s="18"/>
      <c r="H2524" s="18"/>
      <c r="I2524" s="18"/>
    </row>
    <row r="2525" ht="15">
      <c r="A2525" s="25"/>
      <c r="B2525" s="25"/>
      <c r="C2525" s="25"/>
      <c r="D2525" s="25"/>
      <c r="E2525" s="25"/>
      <c r="F2525" s="17"/>
      <c r="G2525" s="18"/>
      <c r="H2525" s="18"/>
      <c r="I2525" s="18"/>
    </row>
    <row r="2526" ht="15">
      <c r="A2526" s="25"/>
      <c r="B2526" s="25"/>
      <c r="C2526" s="25"/>
      <c r="D2526" s="25"/>
      <c r="E2526" s="25"/>
      <c r="F2526" s="17"/>
      <c r="G2526" s="18"/>
      <c r="H2526" s="18"/>
      <c r="I2526" s="18"/>
    </row>
    <row r="2527" ht="15">
      <c r="A2527" s="25"/>
      <c r="B2527" s="25"/>
      <c r="C2527" s="25"/>
      <c r="D2527" s="25"/>
      <c r="E2527" s="25"/>
      <c r="F2527" s="17"/>
      <c r="G2527" s="18"/>
      <c r="H2527" s="18"/>
      <c r="I2527" s="18"/>
    </row>
    <row r="2528" ht="15">
      <c r="A2528" s="25"/>
      <c r="B2528" s="25"/>
      <c r="C2528" s="25"/>
      <c r="D2528" s="25"/>
      <c r="E2528" s="25"/>
      <c r="F2528" s="17"/>
      <c r="G2528" s="18"/>
      <c r="H2528" s="18"/>
      <c r="I2528" s="18"/>
    </row>
    <row r="2529" ht="15">
      <c r="A2529" s="25"/>
      <c r="B2529" s="25"/>
      <c r="C2529" s="25"/>
      <c r="D2529" s="25"/>
      <c r="E2529" s="25"/>
      <c r="F2529" s="17"/>
      <c r="G2529" s="18"/>
      <c r="H2529" s="18"/>
      <c r="I2529" s="18"/>
    </row>
    <row r="2530" ht="15">
      <c r="A2530" s="25"/>
      <c r="B2530" s="25"/>
      <c r="C2530" s="25"/>
      <c r="D2530" s="25"/>
      <c r="E2530" s="25"/>
      <c r="F2530" s="17"/>
      <c r="G2530" s="18"/>
      <c r="H2530" s="18"/>
      <c r="I2530" s="18"/>
    </row>
    <row r="2531" ht="15">
      <c r="A2531" s="25"/>
      <c r="B2531" s="25"/>
      <c r="C2531" s="25"/>
      <c r="D2531" s="25"/>
      <c r="E2531" s="25"/>
      <c r="F2531" s="17"/>
      <c r="G2531" s="18"/>
      <c r="H2531" s="18"/>
      <c r="I2531" s="18"/>
    </row>
    <row r="2532" ht="15">
      <c r="A2532" s="25"/>
      <c r="B2532" s="25"/>
      <c r="C2532" s="25"/>
      <c r="D2532" s="25"/>
      <c r="E2532" s="25"/>
      <c r="F2532" s="17"/>
      <c r="G2532" s="18"/>
      <c r="H2532" s="18"/>
      <c r="I2532" s="18"/>
    </row>
    <row r="2533" ht="15">
      <c r="A2533" s="25"/>
      <c r="B2533" s="25"/>
      <c r="C2533" s="25"/>
      <c r="D2533" s="25"/>
      <c r="E2533" s="25"/>
      <c r="F2533" s="17"/>
      <c r="G2533" s="18"/>
      <c r="H2533" s="18"/>
      <c r="I2533" s="18"/>
    </row>
    <row r="2534" ht="15">
      <c r="A2534" s="25"/>
      <c r="B2534" s="25"/>
      <c r="C2534" s="25"/>
      <c r="D2534" s="25"/>
      <c r="E2534" s="25"/>
      <c r="F2534" s="17"/>
      <c r="G2534" s="18"/>
      <c r="H2534" s="18"/>
      <c r="I2534" s="18"/>
    </row>
    <row r="2535" ht="15">
      <c r="A2535" s="25"/>
      <c r="B2535" s="25"/>
      <c r="C2535" s="25"/>
      <c r="D2535" s="25"/>
      <c r="E2535" s="25"/>
      <c r="F2535" s="17"/>
      <c r="G2535" s="18"/>
      <c r="H2535" s="18"/>
      <c r="I2535" s="18"/>
    </row>
    <row r="2536" ht="15">
      <c r="A2536" s="25"/>
      <c r="B2536" s="25"/>
      <c r="C2536" s="25"/>
      <c r="D2536" s="25"/>
      <c r="E2536" s="25"/>
      <c r="F2536" s="17"/>
      <c r="G2536" s="18"/>
      <c r="H2536" s="18"/>
      <c r="I2536" s="18"/>
    </row>
    <row r="2537" ht="15">
      <c r="A2537" s="25"/>
      <c r="B2537" s="25"/>
      <c r="C2537" s="25"/>
      <c r="D2537" s="25"/>
      <c r="E2537" s="25"/>
      <c r="F2537" s="17"/>
      <c r="G2537" s="18"/>
      <c r="H2537" s="18"/>
      <c r="I2537" s="18"/>
    </row>
    <row r="2538" ht="15">
      <c r="A2538" s="25"/>
      <c r="B2538" s="25"/>
      <c r="C2538" s="25"/>
      <c r="D2538" s="25"/>
      <c r="E2538" s="25"/>
      <c r="F2538" s="17"/>
      <c r="G2538" s="18"/>
      <c r="H2538" s="18"/>
      <c r="I2538" s="18"/>
    </row>
    <row r="2539" ht="15">
      <c r="A2539" s="25"/>
      <c r="B2539" s="25"/>
      <c r="C2539" s="25"/>
      <c r="D2539" s="25"/>
      <c r="E2539" s="25"/>
      <c r="F2539" s="17"/>
      <c r="G2539" s="18"/>
      <c r="H2539" s="18"/>
      <c r="I2539" s="18"/>
    </row>
    <row r="2540" ht="15">
      <c r="A2540" s="25"/>
      <c r="B2540" s="25"/>
      <c r="C2540" s="25"/>
      <c r="D2540" s="25"/>
      <c r="E2540" s="25"/>
      <c r="F2540" s="17"/>
      <c r="G2540" s="18"/>
      <c r="H2540" s="18"/>
      <c r="I2540" s="18"/>
    </row>
    <row r="2541" ht="15">
      <c r="A2541" s="25"/>
      <c r="B2541" s="25"/>
      <c r="C2541" s="25"/>
      <c r="D2541" s="25"/>
      <c r="E2541" s="25"/>
      <c r="F2541" s="17"/>
      <c r="G2541" s="18"/>
      <c r="H2541" s="18"/>
      <c r="I2541" s="18"/>
    </row>
    <row r="2542" ht="15">
      <c r="A2542" s="25"/>
      <c r="B2542" s="25"/>
      <c r="C2542" s="25"/>
      <c r="D2542" s="25"/>
      <c r="E2542" s="25"/>
      <c r="F2542" s="17"/>
      <c r="G2542" s="18"/>
      <c r="H2542" s="18"/>
      <c r="I2542" s="18"/>
    </row>
    <row r="2543" ht="15">
      <c r="A2543" s="25"/>
      <c r="B2543" s="25"/>
      <c r="C2543" s="25"/>
      <c r="D2543" s="25"/>
      <c r="E2543" s="25"/>
      <c r="F2543" s="17"/>
      <c r="G2543" s="18"/>
      <c r="H2543" s="18"/>
      <c r="I2543" s="18"/>
    </row>
    <row r="2544" ht="15">
      <c r="A2544" s="25"/>
      <c r="B2544" s="25"/>
      <c r="C2544" s="25"/>
      <c r="D2544" s="25"/>
      <c r="E2544" s="25"/>
      <c r="F2544" s="17"/>
      <c r="G2544" s="18"/>
      <c r="H2544" s="18"/>
      <c r="I2544" s="18"/>
    </row>
    <row r="2545" ht="15">
      <c r="A2545" s="25"/>
      <c r="B2545" s="25"/>
      <c r="C2545" s="25"/>
      <c r="D2545" s="25"/>
      <c r="E2545" s="25"/>
      <c r="F2545" s="17"/>
      <c r="G2545" s="18"/>
      <c r="H2545" s="18"/>
      <c r="I2545" s="18"/>
    </row>
    <row r="2546" ht="15">
      <c r="A2546" s="25"/>
      <c r="B2546" s="25"/>
      <c r="C2546" s="25"/>
      <c r="D2546" s="25"/>
      <c r="E2546" s="25"/>
      <c r="F2546" s="17"/>
      <c r="G2546" s="18"/>
      <c r="H2546" s="18"/>
      <c r="I2546" s="18"/>
    </row>
    <row r="2547" ht="15">
      <c r="A2547" s="25"/>
      <c r="B2547" s="25"/>
      <c r="C2547" s="25"/>
      <c r="D2547" s="25"/>
      <c r="E2547" s="25"/>
      <c r="F2547" s="17"/>
      <c r="G2547" s="18"/>
      <c r="H2547" s="18"/>
      <c r="I2547" s="18"/>
    </row>
    <row r="2548" ht="15">
      <c r="A2548" s="25"/>
      <c r="B2548" s="25"/>
      <c r="C2548" s="25"/>
      <c r="D2548" s="25"/>
      <c r="E2548" s="25"/>
      <c r="F2548" s="17"/>
      <c r="G2548" s="18"/>
      <c r="H2548" s="18"/>
      <c r="I2548" s="18"/>
    </row>
    <row r="2549" ht="15">
      <c r="A2549" s="25"/>
      <c r="B2549" s="25"/>
      <c r="C2549" s="25"/>
      <c r="D2549" s="25"/>
      <c r="E2549" s="25"/>
      <c r="F2549" s="17"/>
      <c r="G2549" s="18"/>
      <c r="H2549" s="18"/>
      <c r="I2549" s="18"/>
    </row>
    <row r="2550" ht="15">
      <c r="A2550" s="25"/>
      <c r="B2550" s="25"/>
      <c r="C2550" s="25"/>
      <c r="D2550" s="25"/>
      <c r="E2550" s="25"/>
      <c r="F2550" s="17"/>
      <c r="G2550" s="18"/>
      <c r="H2550" s="18"/>
      <c r="I2550" s="18"/>
    </row>
    <row r="2551" ht="15">
      <c r="A2551" s="25"/>
      <c r="B2551" s="25"/>
      <c r="C2551" s="25"/>
      <c r="D2551" s="25"/>
      <c r="E2551" s="25"/>
      <c r="F2551" s="17"/>
      <c r="G2551" s="18"/>
      <c r="H2551" s="18"/>
      <c r="I2551" s="18"/>
    </row>
    <row r="2552" ht="15">
      <c r="A2552" s="25"/>
      <c r="B2552" s="25"/>
      <c r="C2552" s="25"/>
      <c r="D2552" s="25"/>
      <c r="E2552" s="25"/>
      <c r="F2552" s="17"/>
      <c r="G2552" s="18"/>
      <c r="H2552" s="18"/>
      <c r="I2552" s="18"/>
    </row>
    <row r="2553" ht="15">
      <c r="A2553" s="25"/>
      <c r="B2553" s="25"/>
      <c r="C2553" s="25"/>
      <c r="D2553" s="25"/>
      <c r="E2553" s="25"/>
      <c r="F2553" s="17"/>
      <c r="G2553" s="18"/>
      <c r="H2553" s="18"/>
      <c r="I2553" s="18"/>
    </row>
    <row r="2554" ht="15">
      <c r="A2554" s="25"/>
      <c r="B2554" s="25"/>
      <c r="C2554" s="25"/>
      <c r="D2554" s="25"/>
      <c r="E2554" s="25"/>
      <c r="F2554" s="17"/>
      <c r="G2554" s="18"/>
      <c r="H2554" s="18"/>
      <c r="I2554" s="18"/>
    </row>
    <row r="2555" ht="15">
      <c r="A2555" s="25"/>
      <c r="B2555" s="25"/>
      <c r="C2555" s="25"/>
      <c r="D2555" s="25"/>
      <c r="E2555" s="25"/>
      <c r="F2555" s="17"/>
      <c r="G2555" s="18"/>
      <c r="H2555" s="18"/>
      <c r="I2555" s="18"/>
    </row>
    <row r="2556" ht="15">
      <c r="A2556" s="25"/>
      <c r="B2556" s="25"/>
      <c r="C2556" s="25"/>
      <c r="D2556" s="25"/>
      <c r="E2556" s="25"/>
      <c r="F2556" s="17"/>
      <c r="G2556" s="18"/>
      <c r="H2556" s="18"/>
      <c r="I2556" s="18"/>
    </row>
    <row r="2557" ht="15">
      <c r="A2557" s="25"/>
      <c r="B2557" s="25"/>
      <c r="C2557" s="25"/>
      <c r="D2557" s="25"/>
      <c r="E2557" s="25"/>
      <c r="F2557" s="17"/>
      <c r="G2557" s="18"/>
      <c r="H2557" s="18"/>
      <c r="I2557" s="18"/>
    </row>
    <row r="2558" ht="15">
      <c r="A2558" s="25"/>
      <c r="B2558" s="25"/>
      <c r="C2558" s="25"/>
      <c r="D2558" s="25"/>
      <c r="E2558" s="25"/>
      <c r="F2558" s="17"/>
      <c r="G2558" s="18"/>
      <c r="H2558" s="18"/>
      <c r="I2558" s="18"/>
    </row>
    <row r="2559" ht="15">
      <c r="A2559" s="25"/>
      <c r="B2559" s="25"/>
      <c r="C2559" s="25"/>
      <c r="D2559" s="25"/>
      <c r="E2559" s="25"/>
      <c r="F2559" s="17"/>
      <c r="G2559" s="18"/>
      <c r="H2559" s="18"/>
      <c r="I2559" s="18"/>
    </row>
    <row r="2560" ht="15">
      <c r="A2560" s="25"/>
      <c r="B2560" s="25"/>
      <c r="C2560" s="25"/>
      <c r="D2560" s="25"/>
      <c r="E2560" s="25"/>
      <c r="F2560" s="17"/>
      <c r="G2560" s="18"/>
      <c r="H2560" s="18"/>
      <c r="I2560" s="18"/>
    </row>
    <row r="2561" ht="15">
      <c r="A2561" s="25"/>
      <c r="B2561" s="25"/>
      <c r="C2561" s="25"/>
      <c r="D2561" s="25"/>
      <c r="E2561" s="25"/>
      <c r="F2561" s="17"/>
      <c r="G2561" s="18"/>
      <c r="H2561" s="18"/>
      <c r="I2561" s="18"/>
    </row>
    <row r="2562" ht="15">
      <c r="A2562" s="25"/>
      <c r="B2562" s="25"/>
      <c r="C2562" s="25"/>
      <c r="D2562" s="25"/>
      <c r="E2562" s="25"/>
      <c r="F2562" s="17"/>
      <c r="G2562" s="18"/>
      <c r="H2562" s="18"/>
      <c r="I2562" s="18"/>
    </row>
    <row r="2563" ht="15">
      <c r="A2563" s="25"/>
      <c r="B2563" s="25"/>
      <c r="C2563" s="25"/>
      <c r="D2563" s="25"/>
      <c r="E2563" s="25"/>
      <c r="F2563" s="17"/>
      <c r="G2563" s="18"/>
      <c r="H2563" s="18"/>
      <c r="I2563" s="18"/>
    </row>
    <row r="2564" ht="15">
      <c r="A2564" s="25"/>
      <c r="B2564" s="25"/>
      <c r="C2564" s="25"/>
      <c r="D2564" s="25"/>
      <c r="E2564" s="25"/>
      <c r="F2564" s="17"/>
      <c r="G2564" s="18"/>
      <c r="H2564" s="18"/>
      <c r="I2564" s="18"/>
    </row>
    <row r="2565" ht="15">
      <c r="A2565" s="25"/>
      <c r="B2565" s="25"/>
      <c r="C2565" s="25"/>
      <c r="D2565" s="25"/>
      <c r="E2565" s="25"/>
      <c r="F2565" s="17"/>
      <c r="G2565" s="18"/>
      <c r="H2565" s="18"/>
      <c r="I2565" s="18"/>
    </row>
    <row r="2566" ht="15">
      <c r="A2566" s="25"/>
      <c r="B2566" s="25"/>
      <c r="C2566" s="25"/>
      <c r="D2566" s="25"/>
      <c r="E2566" s="25"/>
      <c r="F2566" s="17"/>
      <c r="G2566" s="18"/>
      <c r="H2566" s="18"/>
      <c r="I2566" s="18"/>
    </row>
    <row r="2567" ht="15">
      <c r="A2567" s="25"/>
      <c r="B2567" s="25"/>
      <c r="C2567" s="25"/>
      <c r="D2567" s="25"/>
      <c r="E2567" s="25"/>
      <c r="F2567" s="17"/>
      <c r="G2567" s="18"/>
      <c r="H2567" s="18"/>
      <c r="I2567" s="18"/>
    </row>
    <row r="2568" ht="15">
      <c r="A2568" s="25"/>
      <c r="B2568" s="25"/>
      <c r="C2568" s="25"/>
      <c r="D2568" s="25"/>
      <c r="E2568" s="25"/>
      <c r="F2568" s="17"/>
      <c r="G2568" s="18"/>
      <c r="H2568" s="18"/>
      <c r="I2568" s="18"/>
    </row>
    <row r="2569" ht="15">
      <c r="A2569" s="25"/>
      <c r="B2569" s="25"/>
      <c r="C2569" s="25"/>
      <c r="D2569" s="25"/>
      <c r="E2569" s="25"/>
      <c r="F2569" s="17"/>
      <c r="G2569" s="18"/>
      <c r="H2569" s="18"/>
      <c r="I2569" s="18"/>
    </row>
    <row r="2570" ht="15">
      <c r="A2570" s="25"/>
      <c r="B2570" s="25"/>
      <c r="C2570" s="25"/>
      <c r="D2570" s="25"/>
      <c r="E2570" s="25"/>
      <c r="F2570" s="17"/>
      <c r="G2570" s="18"/>
      <c r="H2570" s="18"/>
      <c r="I2570" s="18"/>
    </row>
    <row r="2571" ht="15">
      <c r="A2571" s="25"/>
      <c r="B2571" s="25"/>
      <c r="C2571" s="25"/>
      <c r="D2571" s="25"/>
      <c r="E2571" s="25"/>
      <c r="F2571" s="17"/>
      <c r="G2571" s="18"/>
      <c r="H2571" s="18"/>
      <c r="I2571" s="18"/>
    </row>
    <row r="2572" ht="15">
      <c r="A2572" s="25"/>
      <c r="B2572" s="25"/>
      <c r="C2572" s="25"/>
      <c r="D2572" s="25"/>
      <c r="E2572" s="25"/>
      <c r="F2572" s="17"/>
      <c r="G2572" s="18"/>
      <c r="H2572" s="18"/>
      <c r="I2572" s="18"/>
    </row>
    <row r="2573" ht="15">
      <c r="A2573" s="25"/>
      <c r="B2573" s="25"/>
      <c r="C2573" s="25"/>
      <c r="D2573" s="25"/>
      <c r="E2573" s="25"/>
      <c r="F2573" s="17"/>
      <c r="G2573" s="18"/>
      <c r="H2573" s="18"/>
      <c r="I2573" s="18"/>
    </row>
    <row r="2574" ht="15">
      <c r="A2574" s="25"/>
      <c r="B2574" s="25"/>
      <c r="C2574" s="25"/>
      <c r="D2574" s="25"/>
      <c r="E2574" s="25"/>
      <c r="F2574" s="17"/>
      <c r="G2574" s="18"/>
      <c r="H2574" s="18"/>
      <c r="I2574" s="18"/>
    </row>
    <row r="2575" ht="15">
      <c r="A2575" s="25"/>
      <c r="B2575" s="25"/>
      <c r="C2575" s="25"/>
      <c r="D2575" s="25"/>
      <c r="E2575" s="25"/>
      <c r="F2575" s="17"/>
      <c r="G2575" s="18"/>
      <c r="H2575" s="18"/>
      <c r="I2575" s="18"/>
    </row>
    <row r="2576" ht="15">
      <c r="A2576" s="25"/>
      <c r="B2576" s="25"/>
      <c r="C2576" s="25"/>
      <c r="D2576" s="25"/>
      <c r="E2576" s="25"/>
      <c r="F2576" s="17"/>
      <c r="G2576" s="18"/>
      <c r="H2576" s="18"/>
      <c r="I2576" s="18"/>
    </row>
    <row r="2577" ht="15">
      <c r="A2577" s="25"/>
      <c r="B2577" s="25"/>
      <c r="C2577" s="25"/>
      <c r="D2577" s="25"/>
      <c r="E2577" s="25"/>
      <c r="F2577" s="17"/>
      <c r="G2577" s="18"/>
      <c r="H2577" s="18"/>
      <c r="I2577" s="18"/>
    </row>
    <row r="2578" ht="15">
      <c r="A2578" s="25"/>
      <c r="B2578" s="25"/>
      <c r="C2578" s="25"/>
      <c r="D2578" s="25"/>
      <c r="E2578" s="25"/>
      <c r="F2578" s="17"/>
      <c r="G2578" s="18"/>
      <c r="H2578" s="18"/>
      <c r="I2578" s="18"/>
    </row>
    <row r="2579" ht="15">
      <c r="A2579" s="25"/>
      <c r="B2579" s="25"/>
      <c r="C2579" s="25"/>
      <c r="D2579" s="25"/>
      <c r="E2579" s="25"/>
      <c r="F2579" s="17"/>
      <c r="G2579" s="18"/>
      <c r="H2579" s="18"/>
      <c r="I2579" s="18"/>
    </row>
    <row r="2580" ht="15">
      <c r="A2580" s="25"/>
      <c r="B2580" s="25"/>
      <c r="C2580" s="25"/>
      <c r="D2580" s="25"/>
      <c r="E2580" s="25"/>
      <c r="F2580" s="17"/>
      <c r="G2580" s="18"/>
      <c r="H2580" s="18"/>
      <c r="I2580" s="18"/>
    </row>
    <row r="2581" ht="15">
      <c r="A2581" s="25"/>
      <c r="B2581" s="25"/>
      <c r="C2581" s="25"/>
      <c r="D2581" s="25"/>
      <c r="E2581" s="25"/>
      <c r="F2581" s="17"/>
      <c r="G2581" s="18"/>
      <c r="H2581" s="18"/>
      <c r="I2581" s="18"/>
    </row>
    <row r="2582" ht="15">
      <c r="A2582" s="25"/>
      <c r="B2582" s="25"/>
      <c r="C2582" s="25"/>
      <c r="D2582" s="25"/>
      <c r="E2582" s="25"/>
      <c r="F2582" s="17"/>
      <c r="G2582" s="18"/>
      <c r="H2582" s="18"/>
      <c r="I2582" s="18"/>
    </row>
    <row r="2583" ht="15">
      <c r="A2583" s="25"/>
      <c r="B2583" s="25"/>
      <c r="C2583" s="25"/>
      <c r="D2583" s="25"/>
      <c r="E2583" s="25"/>
      <c r="F2583" s="17"/>
      <c r="G2583" s="18"/>
      <c r="H2583" s="18"/>
      <c r="I2583" s="18"/>
    </row>
    <row r="2584" ht="15">
      <c r="A2584" s="25"/>
      <c r="B2584" s="25"/>
      <c r="C2584" s="25"/>
      <c r="D2584" s="25"/>
      <c r="E2584" s="25"/>
      <c r="F2584" s="17"/>
      <c r="G2584" s="18"/>
      <c r="H2584" s="18"/>
      <c r="I2584" s="18"/>
    </row>
    <row r="2585" ht="15">
      <c r="A2585" s="25"/>
      <c r="B2585" s="25"/>
      <c r="C2585" s="25"/>
      <c r="D2585" s="25"/>
      <c r="E2585" s="25"/>
      <c r="F2585" s="17"/>
      <c r="G2585" s="18"/>
      <c r="H2585" s="18"/>
      <c r="I2585" s="18"/>
    </row>
    <row r="2586" ht="15">
      <c r="A2586" s="25"/>
      <c r="B2586" s="25"/>
      <c r="C2586" s="25"/>
      <c r="D2586" s="25"/>
      <c r="E2586" s="25"/>
      <c r="F2586" s="17"/>
      <c r="G2586" s="18"/>
      <c r="H2586" s="18"/>
      <c r="I2586" s="18"/>
    </row>
    <row r="2587" ht="15">
      <c r="A2587" s="25"/>
      <c r="B2587" s="25"/>
      <c r="C2587" s="25"/>
      <c r="D2587" s="25"/>
      <c r="E2587" s="25"/>
      <c r="F2587" s="17"/>
      <c r="G2587" s="18"/>
      <c r="H2587" s="18"/>
      <c r="I2587" s="18"/>
    </row>
    <row r="2588" ht="15">
      <c r="A2588" s="25"/>
      <c r="B2588" s="25"/>
      <c r="C2588" s="25"/>
      <c r="D2588" s="25"/>
      <c r="E2588" s="25"/>
      <c r="F2588" s="17"/>
      <c r="G2588" s="18"/>
      <c r="H2588" s="18"/>
      <c r="I2588" s="18"/>
    </row>
    <row r="2589" ht="15">
      <c r="A2589" s="25"/>
      <c r="B2589" s="25"/>
      <c r="C2589" s="25"/>
      <c r="D2589" s="25"/>
      <c r="E2589" s="25"/>
      <c r="F2589" s="17"/>
      <c r="G2589" s="18"/>
      <c r="H2589" s="18"/>
      <c r="I2589" s="18"/>
    </row>
    <row r="2590" ht="15">
      <c r="A2590" s="25"/>
      <c r="B2590" s="25"/>
      <c r="C2590" s="25"/>
      <c r="D2590" s="25"/>
      <c r="E2590" s="25"/>
      <c r="F2590" s="17"/>
      <c r="G2590" s="18"/>
      <c r="H2590" s="18"/>
      <c r="I2590" s="18"/>
    </row>
    <row r="2591" ht="15">
      <c r="A2591" s="25"/>
      <c r="B2591" s="25"/>
      <c r="C2591" s="25"/>
      <c r="D2591" s="25"/>
      <c r="E2591" s="25"/>
      <c r="F2591" s="17"/>
      <c r="G2591" s="18"/>
      <c r="H2591" s="18"/>
      <c r="I2591" s="18"/>
    </row>
    <row r="2592" ht="15">
      <c r="A2592" s="25"/>
      <c r="B2592" s="25"/>
      <c r="C2592" s="25"/>
      <c r="D2592" s="25"/>
      <c r="E2592" s="25"/>
      <c r="F2592" s="17"/>
      <c r="G2592" s="18"/>
      <c r="H2592" s="18"/>
      <c r="I2592" s="18"/>
    </row>
    <row r="2593" ht="15">
      <c r="A2593" s="25"/>
      <c r="B2593" s="25"/>
      <c r="C2593" s="25"/>
      <c r="D2593" s="25"/>
      <c r="E2593" s="25"/>
      <c r="F2593" s="17"/>
      <c r="G2593" s="18"/>
      <c r="H2593" s="18"/>
      <c r="I2593" s="18"/>
    </row>
    <row r="2594" ht="15">
      <c r="A2594" s="25"/>
      <c r="B2594" s="25"/>
      <c r="C2594" s="25"/>
      <c r="D2594" s="25"/>
      <c r="E2594" s="25"/>
      <c r="F2594" s="17"/>
      <c r="G2594" s="18"/>
      <c r="H2594" s="18"/>
      <c r="I2594" s="18"/>
    </row>
    <row r="2595" ht="15">
      <c r="A2595" s="25"/>
      <c r="B2595" s="25"/>
      <c r="C2595" s="25"/>
      <c r="D2595" s="25"/>
      <c r="E2595" s="25"/>
      <c r="F2595" s="17"/>
      <c r="G2595" s="18"/>
      <c r="H2595" s="18"/>
      <c r="I2595" s="18"/>
    </row>
    <row r="2596" ht="15">
      <c r="A2596" s="25"/>
      <c r="B2596" s="25"/>
      <c r="C2596" s="25"/>
      <c r="D2596" s="25"/>
      <c r="E2596" s="25"/>
      <c r="F2596" s="17"/>
      <c r="G2596" s="18"/>
      <c r="H2596" s="18"/>
      <c r="I2596" s="18"/>
    </row>
    <row r="2597" ht="15">
      <c r="A2597" s="25"/>
      <c r="B2597" s="25"/>
      <c r="C2597" s="25"/>
      <c r="D2597" s="25"/>
      <c r="E2597" s="25"/>
      <c r="F2597" s="17"/>
      <c r="G2597" s="18"/>
      <c r="H2597" s="18"/>
      <c r="I2597" s="18"/>
    </row>
    <row r="2598" ht="15">
      <c r="A2598" s="25"/>
      <c r="B2598" s="25"/>
      <c r="C2598" s="25"/>
      <c r="D2598" s="25"/>
      <c r="E2598" s="25"/>
      <c r="F2598" s="17"/>
      <c r="G2598" s="18"/>
      <c r="H2598" s="18"/>
      <c r="I2598" s="18"/>
    </row>
    <row r="2599" ht="15">
      <c r="A2599" s="25"/>
      <c r="B2599" s="25"/>
      <c r="C2599" s="25"/>
      <c r="D2599" s="25"/>
      <c r="E2599" s="25"/>
      <c r="F2599" s="17"/>
      <c r="G2599" s="18"/>
      <c r="H2599" s="18"/>
      <c r="I2599" s="18"/>
    </row>
    <row r="2600" ht="15">
      <c r="A2600" s="25"/>
      <c r="B2600" s="25"/>
      <c r="C2600" s="25"/>
      <c r="D2600" s="25"/>
      <c r="E2600" s="25"/>
      <c r="F2600" s="17"/>
      <c r="G2600" s="18"/>
      <c r="H2600" s="18"/>
      <c r="I2600" s="18"/>
    </row>
    <row r="2601" ht="15">
      <c r="A2601" s="25"/>
      <c r="B2601" s="25"/>
      <c r="C2601" s="25"/>
      <c r="D2601" s="25"/>
      <c r="E2601" s="25"/>
      <c r="F2601" s="17"/>
      <c r="G2601" s="18"/>
      <c r="H2601" s="18"/>
      <c r="I2601" s="18"/>
    </row>
    <row r="2602" ht="15">
      <c r="A2602" s="25"/>
      <c r="B2602" s="25"/>
      <c r="C2602" s="25"/>
      <c r="D2602" s="25"/>
      <c r="E2602" s="25"/>
      <c r="F2602" s="17"/>
      <c r="G2602" s="18"/>
      <c r="H2602" s="18"/>
      <c r="I2602" s="18"/>
    </row>
    <row r="2603" ht="15">
      <c r="A2603" s="25"/>
      <c r="B2603" s="25"/>
      <c r="C2603" s="25"/>
      <c r="D2603" s="25"/>
      <c r="E2603" s="25"/>
      <c r="F2603" s="17"/>
      <c r="G2603" s="18"/>
      <c r="H2603" s="18"/>
      <c r="I2603" s="18"/>
    </row>
    <row r="2604" ht="15">
      <c r="A2604" s="25"/>
      <c r="B2604" s="25"/>
      <c r="C2604" s="25"/>
      <c r="D2604" s="25"/>
      <c r="E2604" s="25"/>
      <c r="F2604" s="17"/>
      <c r="G2604" s="18"/>
      <c r="H2604" s="18"/>
      <c r="I2604" s="18"/>
    </row>
    <row r="2605" ht="15">
      <c r="A2605" s="25"/>
      <c r="B2605" s="25"/>
      <c r="C2605" s="25"/>
      <c r="D2605" s="25"/>
      <c r="E2605" s="25"/>
      <c r="F2605" s="17"/>
      <c r="G2605" s="18"/>
      <c r="H2605" s="18"/>
      <c r="I2605" s="18"/>
    </row>
    <row r="2606" ht="15">
      <c r="A2606" s="25"/>
      <c r="B2606" s="25"/>
      <c r="C2606" s="25"/>
      <c r="D2606" s="25"/>
      <c r="E2606" s="25"/>
      <c r="F2606" s="17"/>
      <c r="G2606" s="18"/>
      <c r="H2606" s="18"/>
      <c r="I2606" s="18"/>
    </row>
    <row r="2607" ht="15">
      <c r="A2607" s="25"/>
      <c r="B2607" s="25"/>
      <c r="C2607" s="25"/>
      <c r="D2607" s="25"/>
      <c r="E2607" s="25"/>
      <c r="F2607" s="17"/>
      <c r="G2607" s="18"/>
      <c r="H2607" s="18"/>
      <c r="I2607" s="18"/>
    </row>
    <row r="2608" ht="15">
      <c r="A2608" s="25"/>
      <c r="B2608" s="25"/>
      <c r="C2608" s="25"/>
      <c r="D2608" s="25"/>
      <c r="E2608" s="25"/>
      <c r="F2608" s="17"/>
      <c r="G2608" s="18"/>
      <c r="H2608" s="18"/>
      <c r="I2608" s="18"/>
    </row>
    <row r="2609" ht="15">
      <c r="A2609" s="25"/>
      <c r="B2609" s="25"/>
      <c r="C2609" s="25"/>
      <c r="D2609" s="25"/>
      <c r="E2609" s="25"/>
      <c r="F2609" s="17"/>
      <c r="G2609" s="18"/>
      <c r="H2609" s="18"/>
      <c r="I2609" s="18"/>
    </row>
    <row r="2610" ht="15">
      <c r="A2610" s="25"/>
      <c r="B2610" s="25"/>
      <c r="C2610" s="25"/>
      <c r="D2610" s="25"/>
      <c r="E2610" s="25"/>
      <c r="F2610" s="17"/>
      <c r="G2610" s="18"/>
      <c r="H2610" s="18"/>
      <c r="I2610" s="18"/>
    </row>
    <row r="2611" ht="15">
      <c r="A2611" s="25"/>
      <c r="B2611" s="25"/>
      <c r="C2611" s="25"/>
      <c r="D2611" s="25"/>
      <c r="E2611" s="25"/>
      <c r="F2611" s="17"/>
      <c r="G2611" s="18"/>
      <c r="H2611" s="18"/>
      <c r="I2611" s="18"/>
    </row>
    <row r="2612" ht="15">
      <c r="A2612" s="25"/>
      <c r="B2612" s="25"/>
      <c r="C2612" s="25"/>
      <c r="D2612" s="25"/>
      <c r="E2612" s="25"/>
      <c r="F2612" s="17"/>
      <c r="G2612" s="18"/>
      <c r="H2612" s="18"/>
      <c r="I2612" s="18"/>
    </row>
    <row r="2613" ht="15">
      <c r="A2613" s="25"/>
      <c r="B2613" s="25"/>
      <c r="C2613" s="25"/>
      <c r="D2613" s="25"/>
      <c r="E2613" s="25"/>
      <c r="F2613" s="17"/>
      <c r="G2613" s="18"/>
      <c r="H2613" s="18"/>
      <c r="I2613" s="18"/>
    </row>
    <row r="2614" ht="15">
      <c r="A2614" s="25"/>
      <c r="B2614" s="25"/>
      <c r="C2614" s="25"/>
      <c r="D2614" s="25"/>
      <c r="E2614" s="25"/>
      <c r="F2614" s="17"/>
      <c r="G2614" s="18"/>
      <c r="H2614" s="18"/>
      <c r="I2614" s="18"/>
    </row>
    <row r="2615" ht="15">
      <c r="A2615" s="25"/>
      <c r="B2615" s="25"/>
      <c r="C2615" s="25"/>
      <c r="D2615" s="25"/>
      <c r="E2615" s="25"/>
      <c r="F2615" s="17"/>
      <c r="G2615" s="18"/>
      <c r="H2615" s="18"/>
      <c r="I2615" s="18"/>
    </row>
    <row r="2616" ht="15">
      <c r="A2616" s="25"/>
      <c r="B2616" s="25"/>
      <c r="C2616" s="25"/>
      <c r="D2616" s="25"/>
      <c r="E2616" s="25"/>
      <c r="F2616" s="17"/>
      <c r="G2616" s="18"/>
      <c r="H2616" s="18"/>
      <c r="I2616" s="18"/>
    </row>
    <row r="2617" ht="15">
      <c r="A2617" s="25"/>
      <c r="B2617" s="25"/>
      <c r="C2617" s="25"/>
      <c r="D2617" s="25"/>
      <c r="E2617" s="25"/>
      <c r="F2617" s="17"/>
      <c r="G2617" s="18"/>
      <c r="H2617" s="18"/>
      <c r="I2617" s="18"/>
    </row>
    <row r="2618" ht="15">
      <c r="A2618" s="25"/>
      <c r="B2618" s="25"/>
      <c r="C2618" s="25"/>
      <c r="D2618" s="25"/>
      <c r="E2618" s="25"/>
      <c r="F2618" s="17"/>
      <c r="G2618" s="18"/>
      <c r="H2618" s="18"/>
      <c r="I2618" s="18"/>
    </row>
    <row r="2619" ht="15">
      <c r="A2619" s="25"/>
      <c r="B2619" s="25"/>
      <c r="C2619" s="25"/>
      <c r="D2619" s="25"/>
      <c r="E2619" s="25"/>
      <c r="F2619" s="17"/>
      <c r="G2619" s="18"/>
      <c r="H2619" s="18"/>
      <c r="I2619" s="18"/>
    </row>
    <row r="2620" ht="15">
      <c r="A2620" s="25"/>
      <c r="B2620" s="25"/>
      <c r="C2620" s="25"/>
      <c r="D2620" s="25"/>
      <c r="E2620" s="25"/>
      <c r="F2620" s="17"/>
      <c r="G2620" s="18"/>
      <c r="H2620" s="18"/>
      <c r="I2620" s="18"/>
    </row>
    <row r="2621" ht="15">
      <c r="A2621" s="25"/>
      <c r="B2621" s="25"/>
      <c r="C2621" s="25"/>
      <c r="D2621" s="25"/>
      <c r="E2621" s="25"/>
      <c r="F2621" s="17"/>
      <c r="G2621" s="18"/>
      <c r="H2621" s="18"/>
      <c r="I2621" s="18"/>
    </row>
    <row r="2622" ht="15">
      <c r="A2622" s="25"/>
      <c r="B2622" s="25"/>
      <c r="C2622" s="25"/>
      <c r="D2622" s="25"/>
      <c r="E2622" s="25"/>
      <c r="F2622" s="17"/>
      <c r="G2622" s="18"/>
      <c r="H2622" s="18"/>
      <c r="I2622" s="18"/>
    </row>
    <row r="2623" ht="15">
      <c r="A2623" s="25"/>
      <c r="B2623" s="25"/>
      <c r="C2623" s="25"/>
      <c r="D2623" s="25"/>
      <c r="E2623" s="25"/>
      <c r="F2623" s="17"/>
      <c r="G2623" s="18"/>
      <c r="H2623" s="18"/>
      <c r="I2623" s="18"/>
    </row>
    <row r="2624" ht="15">
      <c r="A2624" s="25"/>
      <c r="B2624" s="25"/>
      <c r="C2624" s="25"/>
      <c r="D2624" s="25"/>
      <c r="E2624" s="25"/>
      <c r="F2624" s="17"/>
      <c r="G2624" s="18"/>
      <c r="H2624" s="18"/>
      <c r="I2624" s="18"/>
    </row>
    <row r="2625" ht="15">
      <c r="A2625" s="25"/>
      <c r="B2625" s="25"/>
      <c r="C2625" s="25"/>
      <c r="D2625" s="25"/>
      <c r="E2625" s="25"/>
      <c r="F2625" s="17"/>
      <c r="G2625" s="18"/>
      <c r="H2625" s="18"/>
      <c r="I2625" s="18"/>
    </row>
    <row r="2626" ht="15">
      <c r="A2626" s="25"/>
      <c r="B2626" s="25"/>
      <c r="C2626" s="25"/>
      <c r="D2626" s="25"/>
      <c r="E2626" s="25"/>
      <c r="F2626" s="17"/>
      <c r="G2626" s="18"/>
      <c r="H2626" s="18"/>
      <c r="I2626" s="18"/>
    </row>
    <row r="2627" ht="15">
      <c r="A2627" s="25"/>
      <c r="B2627" s="25"/>
      <c r="C2627" s="25"/>
      <c r="D2627" s="25"/>
      <c r="E2627" s="25"/>
      <c r="F2627" s="17"/>
      <c r="G2627" s="18"/>
      <c r="H2627" s="18"/>
      <c r="I2627" s="18"/>
    </row>
    <row r="2628" ht="15">
      <c r="A2628" s="25"/>
      <c r="B2628" s="25"/>
      <c r="C2628" s="25"/>
      <c r="D2628" s="25"/>
      <c r="E2628" s="25"/>
      <c r="F2628" s="17"/>
      <c r="G2628" s="18"/>
      <c r="H2628" s="18"/>
      <c r="I2628" s="18"/>
    </row>
    <row r="2629" ht="15">
      <c r="A2629" s="25"/>
      <c r="B2629" s="25"/>
      <c r="C2629" s="25"/>
      <c r="D2629" s="25"/>
      <c r="E2629" s="25"/>
      <c r="F2629" s="17"/>
      <c r="G2629" s="18"/>
      <c r="H2629" s="18"/>
      <c r="I2629" s="18"/>
    </row>
    <row r="2630" ht="15">
      <c r="A2630" s="25"/>
      <c r="B2630" s="25"/>
      <c r="C2630" s="25"/>
      <c r="D2630" s="25"/>
      <c r="E2630" s="25"/>
      <c r="F2630" s="17"/>
      <c r="G2630" s="18"/>
      <c r="H2630" s="18"/>
      <c r="I2630" s="18"/>
    </row>
    <row r="2631" ht="15">
      <c r="A2631" s="25"/>
      <c r="B2631" s="25"/>
      <c r="C2631" s="25"/>
      <c r="D2631" s="25"/>
      <c r="E2631" s="25"/>
      <c r="F2631" s="17"/>
      <c r="G2631" s="18"/>
      <c r="H2631" s="18"/>
      <c r="I2631" s="18"/>
    </row>
    <row r="2632" ht="15">
      <c r="A2632" s="25"/>
      <c r="B2632" s="25"/>
      <c r="C2632" s="25"/>
      <c r="D2632" s="25"/>
      <c r="E2632" s="25"/>
      <c r="F2632" s="17"/>
      <c r="G2632" s="18"/>
      <c r="H2632" s="18"/>
      <c r="I2632" s="18"/>
    </row>
    <row r="2633" ht="15">
      <c r="A2633" s="25"/>
      <c r="B2633" s="25"/>
      <c r="C2633" s="25"/>
      <c r="D2633" s="25"/>
      <c r="E2633" s="25"/>
      <c r="F2633" s="17"/>
      <c r="G2633" s="18"/>
      <c r="H2633" s="18"/>
      <c r="I2633" s="18"/>
    </row>
    <row r="2634" ht="15">
      <c r="A2634" s="25"/>
      <c r="B2634" s="25"/>
      <c r="C2634" s="25"/>
      <c r="D2634" s="25"/>
      <c r="E2634" s="25"/>
      <c r="F2634" s="17"/>
      <c r="G2634" s="18"/>
      <c r="H2634" s="18"/>
      <c r="I2634" s="18"/>
    </row>
    <row r="2635" ht="15">
      <c r="A2635" s="25"/>
      <c r="B2635" s="25"/>
      <c r="C2635" s="25"/>
      <c r="D2635" s="25"/>
      <c r="E2635" s="25"/>
      <c r="F2635" s="17"/>
      <c r="G2635" s="18"/>
      <c r="H2635" s="18"/>
      <c r="I2635" s="18"/>
    </row>
    <row r="2636" ht="15">
      <c r="A2636" s="25"/>
      <c r="B2636" s="25"/>
      <c r="C2636" s="25"/>
      <c r="D2636" s="25"/>
      <c r="E2636" s="25"/>
      <c r="F2636" s="17"/>
      <c r="G2636" s="18"/>
      <c r="H2636" s="18"/>
      <c r="I2636" s="18"/>
    </row>
    <row r="2637" ht="15">
      <c r="A2637" s="25"/>
      <c r="B2637" s="25"/>
      <c r="C2637" s="25"/>
      <c r="D2637" s="25"/>
      <c r="E2637" s="25"/>
      <c r="F2637" s="17"/>
      <c r="G2637" s="18"/>
      <c r="H2637" s="18"/>
      <c r="I2637" s="18"/>
    </row>
    <row r="2638" ht="15">
      <c r="A2638" s="25"/>
      <c r="B2638" s="25"/>
      <c r="C2638" s="25"/>
      <c r="D2638" s="25"/>
      <c r="E2638" s="25"/>
      <c r="F2638" s="17"/>
      <c r="G2638" s="18"/>
      <c r="H2638" s="18"/>
      <c r="I2638" s="18"/>
    </row>
    <row r="2639" ht="15">
      <c r="A2639" s="25"/>
      <c r="B2639" s="25"/>
      <c r="C2639" s="25"/>
      <c r="D2639" s="25"/>
      <c r="E2639" s="25"/>
      <c r="F2639" s="17"/>
      <c r="G2639" s="18"/>
      <c r="H2639" s="18"/>
      <c r="I2639" s="18"/>
    </row>
    <row r="2640" ht="15">
      <c r="A2640" s="25"/>
      <c r="B2640" s="25"/>
      <c r="C2640" s="25"/>
      <c r="D2640" s="25"/>
      <c r="E2640" s="25"/>
      <c r="F2640" s="17"/>
      <c r="G2640" s="18"/>
      <c r="H2640" s="18"/>
      <c r="I2640" s="18"/>
    </row>
    <row r="2641" ht="15">
      <c r="A2641" s="25"/>
      <c r="B2641" s="25"/>
      <c r="C2641" s="25"/>
      <c r="D2641" s="25"/>
      <c r="E2641" s="25"/>
      <c r="F2641" s="17"/>
      <c r="G2641" s="18"/>
      <c r="H2641" s="18"/>
      <c r="I2641" s="18"/>
    </row>
    <row r="2642" ht="15">
      <c r="A2642" s="25"/>
      <c r="B2642" s="25"/>
      <c r="C2642" s="25"/>
      <c r="D2642" s="25"/>
      <c r="E2642" s="25"/>
      <c r="F2642" s="17"/>
      <c r="G2642" s="18"/>
      <c r="H2642" s="18"/>
      <c r="I2642" s="18"/>
    </row>
    <row r="2643" ht="15">
      <c r="A2643" s="25"/>
      <c r="B2643" s="25"/>
      <c r="C2643" s="25"/>
      <c r="D2643" s="25"/>
      <c r="E2643" s="25"/>
      <c r="F2643" s="17"/>
      <c r="G2643" s="18"/>
      <c r="H2643" s="18"/>
      <c r="I2643" s="18"/>
    </row>
    <row r="2644" ht="15">
      <c r="A2644" s="25"/>
      <c r="B2644" s="25"/>
      <c r="C2644" s="25"/>
      <c r="D2644" s="25"/>
      <c r="E2644" s="25"/>
      <c r="F2644" s="17"/>
      <c r="G2644" s="18"/>
      <c r="H2644" s="18"/>
      <c r="I2644" s="18"/>
    </row>
    <row r="2645" ht="15">
      <c r="A2645" s="25"/>
      <c r="B2645" s="25"/>
      <c r="C2645" s="25"/>
      <c r="D2645" s="25"/>
      <c r="E2645" s="25"/>
      <c r="F2645" s="17"/>
      <c r="G2645" s="18"/>
      <c r="H2645" s="18"/>
      <c r="I2645" s="18"/>
    </row>
    <row r="2646" ht="15">
      <c r="A2646" s="25"/>
      <c r="B2646" s="25"/>
      <c r="C2646" s="25"/>
      <c r="D2646" s="25"/>
      <c r="E2646" s="25"/>
      <c r="F2646" s="17"/>
      <c r="G2646" s="18"/>
      <c r="H2646" s="18"/>
      <c r="I2646" s="18"/>
    </row>
    <row r="2647" ht="15">
      <c r="A2647" s="25"/>
      <c r="B2647" s="25"/>
      <c r="C2647" s="25"/>
      <c r="D2647" s="25"/>
      <c r="E2647" s="25"/>
      <c r="F2647" s="17"/>
      <c r="G2647" s="18"/>
      <c r="H2647" s="18"/>
      <c r="I2647" s="18"/>
    </row>
    <row r="2648" ht="15">
      <c r="A2648" s="25"/>
      <c r="B2648" s="25"/>
      <c r="C2648" s="25"/>
      <c r="D2648" s="25"/>
      <c r="E2648" s="25"/>
      <c r="F2648" s="17"/>
      <c r="G2648" s="18"/>
      <c r="H2648" s="18"/>
      <c r="I2648" s="18"/>
    </row>
    <row r="2649" ht="15">
      <c r="A2649" s="25"/>
      <c r="B2649" s="25"/>
      <c r="C2649" s="25"/>
      <c r="D2649" s="25"/>
      <c r="E2649" s="25"/>
      <c r="F2649" s="17"/>
      <c r="G2649" s="18"/>
      <c r="H2649" s="18"/>
      <c r="I2649" s="18"/>
    </row>
    <row r="2650" ht="15">
      <c r="A2650" s="25"/>
      <c r="B2650" s="25"/>
      <c r="C2650" s="25"/>
      <c r="D2650" s="25"/>
      <c r="E2650" s="25"/>
      <c r="F2650" s="17"/>
      <c r="G2650" s="18"/>
      <c r="H2650" s="18"/>
      <c r="I2650" s="18"/>
    </row>
    <row r="2651" ht="15">
      <c r="A2651" s="25"/>
      <c r="B2651" s="25"/>
      <c r="C2651" s="25"/>
      <c r="D2651" s="25"/>
      <c r="E2651" s="25"/>
      <c r="F2651" s="17"/>
      <c r="G2651" s="18"/>
      <c r="H2651" s="18"/>
      <c r="I2651" s="18"/>
    </row>
    <row r="2652" ht="15">
      <c r="A2652" s="25"/>
      <c r="B2652" s="25"/>
      <c r="C2652" s="25"/>
      <c r="D2652" s="25"/>
      <c r="E2652" s="25"/>
      <c r="F2652" s="17"/>
      <c r="G2652" s="18"/>
      <c r="H2652" s="18"/>
      <c r="I2652" s="18"/>
    </row>
    <row r="2653" ht="15">
      <c r="A2653" s="25"/>
      <c r="B2653" s="25"/>
      <c r="C2653" s="25"/>
      <c r="D2653" s="25"/>
      <c r="E2653" s="25"/>
      <c r="F2653" s="17"/>
      <c r="G2653" s="18"/>
      <c r="H2653" s="18"/>
      <c r="I2653" s="18"/>
    </row>
    <row r="2654" ht="15">
      <c r="A2654" s="25"/>
      <c r="B2654" s="25"/>
      <c r="C2654" s="25"/>
      <c r="D2654" s="25"/>
      <c r="E2654" s="25"/>
      <c r="F2654" s="17"/>
      <c r="G2654" s="18"/>
      <c r="H2654" s="18"/>
      <c r="I2654" s="18"/>
    </row>
    <row r="2655" ht="15">
      <c r="A2655" s="25"/>
      <c r="B2655" s="25"/>
      <c r="C2655" s="25"/>
      <c r="D2655" s="25"/>
      <c r="E2655" s="25"/>
      <c r="F2655" s="17"/>
      <c r="G2655" s="18"/>
      <c r="H2655" s="18"/>
      <c r="I2655" s="18"/>
    </row>
    <row r="2656" ht="15">
      <c r="A2656" s="25"/>
      <c r="B2656" s="25"/>
      <c r="C2656" s="25"/>
      <c r="D2656" s="25"/>
      <c r="E2656" s="25"/>
      <c r="F2656" s="17"/>
      <c r="G2656" s="18"/>
      <c r="H2656" s="18"/>
      <c r="I2656" s="18"/>
    </row>
    <row r="2657" ht="15">
      <c r="A2657" s="25"/>
      <c r="B2657" s="25"/>
      <c r="C2657" s="25"/>
      <c r="D2657" s="25"/>
      <c r="E2657" s="25"/>
      <c r="F2657" s="17"/>
      <c r="G2657" s="18"/>
      <c r="H2657" s="18"/>
      <c r="I2657" s="18"/>
    </row>
    <row r="2658" ht="15">
      <c r="A2658" s="25"/>
      <c r="B2658" s="25"/>
      <c r="C2658" s="25"/>
      <c r="D2658" s="25"/>
      <c r="E2658" s="25"/>
      <c r="F2658" s="17"/>
      <c r="G2658" s="18"/>
      <c r="H2658" s="18"/>
      <c r="I2658" s="18"/>
    </row>
    <row r="2659" ht="15">
      <c r="A2659" s="25"/>
      <c r="B2659" s="25"/>
      <c r="C2659" s="25"/>
      <c r="D2659" s="25"/>
      <c r="E2659" s="25"/>
      <c r="F2659" s="17"/>
      <c r="G2659" s="18"/>
      <c r="H2659" s="18"/>
      <c r="I2659" s="18"/>
    </row>
    <row r="2660" ht="15">
      <c r="A2660" s="25"/>
      <c r="B2660" s="25"/>
      <c r="C2660" s="25"/>
      <c r="D2660" s="25"/>
      <c r="E2660" s="25"/>
      <c r="F2660" s="17"/>
      <c r="G2660" s="18"/>
      <c r="H2660" s="18"/>
      <c r="I2660" s="18"/>
    </row>
    <row r="2661" ht="15">
      <c r="A2661" s="25"/>
      <c r="B2661" s="25"/>
      <c r="C2661" s="25"/>
      <c r="D2661" s="25"/>
      <c r="E2661" s="25"/>
      <c r="F2661" s="17"/>
      <c r="G2661" s="18"/>
      <c r="H2661" s="18"/>
      <c r="I2661" s="18"/>
    </row>
    <row r="2662" ht="15">
      <c r="A2662" s="25"/>
      <c r="B2662" s="25"/>
      <c r="C2662" s="25"/>
      <c r="D2662" s="25"/>
      <c r="E2662" s="25"/>
      <c r="F2662" s="17"/>
      <c r="G2662" s="18"/>
      <c r="H2662" s="18"/>
      <c r="I2662" s="18"/>
    </row>
    <row r="2663" ht="15">
      <c r="A2663" s="25"/>
      <c r="B2663" s="25"/>
      <c r="C2663" s="25"/>
      <c r="D2663" s="25"/>
      <c r="E2663" s="25"/>
      <c r="F2663" s="17"/>
      <c r="G2663" s="18"/>
      <c r="H2663" s="18"/>
      <c r="I2663" s="18"/>
    </row>
    <row r="2664" ht="15">
      <c r="A2664" s="25"/>
      <c r="B2664" s="25"/>
      <c r="C2664" s="25"/>
      <c r="D2664" s="25"/>
      <c r="E2664" s="25"/>
      <c r="F2664" s="17"/>
      <c r="G2664" s="18"/>
      <c r="H2664" s="18"/>
      <c r="I2664" s="18"/>
    </row>
    <row r="2665" ht="15">
      <c r="A2665" s="25"/>
      <c r="B2665" s="25"/>
      <c r="C2665" s="25"/>
      <c r="D2665" s="25"/>
      <c r="E2665" s="25"/>
      <c r="F2665" s="17"/>
      <c r="G2665" s="18"/>
      <c r="H2665" s="18"/>
      <c r="I2665" s="18"/>
    </row>
    <row r="2666" ht="15">
      <c r="A2666" s="25"/>
      <c r="B2666" s="25"/>
      <c r="C2666" s="25"/>
      <c r="D2666" s="25"/>
      <c r="E2666" s="25"/>
      <c r="F2666" s="17"/>
      <c r="G2666" s="18"/>
      <c r="H2666" s="18"/>
      <c r="I2666" s="18"/>
    </row>
    <row r="2667" ht="15">
      <c r="A2667" s="25"/>
      <c r="B2667" s="25"/>
      <c r="C2667" s="25"/>
      <c r="D2667" s="25"/>
      <c r="E2667" s="25"/>
      <c r="F2667" s="17"/>
      <c r="G2667" s="18"/>
      <c r="H2667" s="18"/>
      <c r="I2667" s="18"/>
    </row>
    <row r="2668" ht="15">
      <c r="A2668" s="25"/>
      <c r="B2668" s="25"/>
      <c r="C2668" s="25"/>
      <c r="D2668" s="25"/>
      <c r="E2668" s="25"/>
      <c r="F2668" s="17"/>
      <c r="G2668" s="18"/>
      <c r="H2668" s="18"/>
      <c r="I2668" s="18"/>
    </row>
    <row r="2669" ht="15">
      <c r="A2669" s="25"/>
      <c r="B2669" s="25"/>
      <c r="C2669" s="25"/>
      <c r="D2669" s="25"/>
      <c r="E2669" s="25"/>
      <c r="F2669" s="17"/>
      <c r="G2669" s="18"/>
      <c r="H2669" s="18"/>
      <c r="I2669" s="18"/>
    </row>
    <row r="2670" ht="15">
      <c r="A2670" s="25"/>
      <c r="B2670" s="25"/>
      <c r="C2670" s="25"/>
      <c r="D2670" s="25"/>
      <c r="E2670" s="25"/>
      <c r="F2670" s="17"/>
      <c r="G2670" s="18"/>
      <c r="H2670" s="18"/>
      <c r="I2670" s="18"/>
    </row>
    <row r="2671" ht="15">
      <c r="A2671" s="25"/>
      <c r="B2671" s="25"/>
      <c r="C2671" s="25"/>
      <c r="D2671" s="25"/>
      <c r="E2671" s="25"/>
      <c r="F2671" s="17"/>
      <c r="G2671" s="18"/>
      <c r="H2671" s="18"/>
      <c r="I2671" s="18"/>
    </row>
    <row r="2672" ht="15">
      <c r="A2672" s="25"/>
      <c r="B2672" s="25"/>
      <c r="C2672" s="25"/>
      <c r="D2672" s="25"/>
      <c r="E2672" s="25"/>
      <c r="F2672" s="17"/>
      <c r="G2672" s="18"/>
      <c r="H2672" s="18"/>
      <c r="I2672" s="18"/>
    </row>
    <row r="2673" ht="15">
      <c r="A2673" s="25"/>
      <c r="B2673" s="25"/>
      <c r="C2673" s="25"/>
      <c r="D2673" s="25"/>
      <c r="E2673" s="25"/>
      <c r="F2673" s="17"/>
      <c r="G2673" s="18"/>
      <c r="H2673" s="18"/>
      <c r="I2673" s="18"/>
    </row>
    <row r="2674" ht="15">
      <c r="A2674" s="25"/>
      <c r="B2674" s="25"/>
      <c r="C2674" s="25"/>
      <c r="D2674" s="25"/>
      <c r="E2674" s="25"/>
      <c r="F2674" s="17"/>
      <c r="G2674" s="18"/>
      <c r="H2674" s="18"/>
      <c r="I2674" s="18"/>
    </row>
    <row r="2675" ht="15">
      <c r="A2675" s="25"/>
      <c r="B2675" s="25"/>
      <c r="C2675" s="25"/>
      <c r="D2675" s="25"/>
      <c r="E2675" s="25"/>
      <c r="F2675" s="17"/>
      <c r="G2675" s="18"/>
      <c r="H2675" s="18"/>
      <c r="I2675" s="18"/>
    </row>
    <row r="2676" ht="15">
      <c r="A2676" s="25"/>
      <c r="B2676" s="25"/>
      <c r="C2676" s="25"/>
      <c r="D2676" s="25"/>
      <c r="E2676" s="25"/>
      <c r="F2676" s="17"/>
      <c r="G2676" s="18"/>
      <c r="H2676" s="18"/>
      <c r="I2676" s="18"/>
    </row>
    <row r="2677" ht="15">
      <c r="A2677" s="25"/>
      <c r="B2677" s="25"/>
      <c r="C2677" s="25"/>
      <c r="D2677" s="25"/>
      <c r="E2677" s="25"/>
      <c r="F2677" s="17"/>
      <c r="G2677" s="18"/>
      <c r="H2677" s="18"/>
      <c r="I2677" s="18"/>
    </row>
    <row r="2678" ht="15">
      <c r="A2678" s="25"/>
      <c r="B2678" s="25"/>
      <c r="C2678" s="25"/>
      <c r="D2678" s="25"/>
      <c r="E2678" s="25"/>
      <c r="F2678" s="17"/>
      <c r="G2678" s="18"/>
      <c r="H2678" s="18"/>
      <c r="I2678" s="18"/>
    </row>
    <row r="2679" ht="15">
      <c r="A2679" s="25"/>
      <c r="B2679" s="25"/>
      <c r="C2679" s="25"/>
      <c r="D2679" s="25"/>
      <c r="E2679" s="25"/>
      <c r="F2679" s="17"/>
      <c r="G2679" s="18"/>
      <c r="H2679" s="18"/>
      <c r="I2679" s="18"/>
    </row>
    <row r="2680" ht="15">
      <c r="A2680" s="25"/>
      <c r="B2680" s="25"/>
      <c r="C2680" s="25"/>
      <c r="D2680" s="25"/>
      <c r="E2680" s="25"/>
      <c r="F2680" s="17"/>
      <c r="G2680" s="18"/>
      <c r="H2680" s="18"/>
      <c r="I2680" s="18"/>
    </row>
    <row r="2681" ht="15">
      <c r="A2681" s="25"/>
      <c r="B2681" s="25"/>
      <c r="C2681" s="25"/>
      <c r="D2681" s="25"/>
      <c r="E2681" s="25"/>
      <c r="F2681" s="17"/>
      <c r="G2681" s="18"/>
      <c r="H2681" s="18"/>
      <c r="I2681" s="18"/>
    </row>
    <row r="2682" ht="15">
      <c r="A2682" s="25"/>
      <c r="B2682" s="25"/>
      <c r="C2682" s="25"/>
      <c r="D2682" s="25"/>
      <c r="E2682" s="25"/>
      <c r="F2682" s="17"/>
      <c r="G2682" s="18"/>
      <c r="H2682" s="18"/>
      <c r="I2682" s="18"/>
    </row>
    <row r="2683" ht="15">
      <c r="A2683" s="25"/>
      <c r="B2683" s="25"/>
      <c r="C2683" s="25"/>
      <c r="D2683" s="25"/>
      <c r="E2683" s="25"/>
      <c r="F2683" s="17"/>
      <c r="G2683" s="18"/>
      <c r="H2683" s="18"/>
      <c r="I2683" s="18"/>
    </row>
    <row r="2684" ht="15">
      <c r="A2684" s="25"/>
      <c r="B2684" s="25"/>
      <c r="C2684" s="25"/>
      <c r="D2684" s="25"/>
      <c r="E2684" s="25"/>
      <c r="F2684" s="17"/>
      <c r="G2684" s="18"/>
      <c r="H2684" s="18"/>
      <c r="I2684" s="18"/>
    </row>
    <row r="2685" ht="15">
      <c r="A2685" s="25"/>
      <c r="B2685" s="25"/>
      <c r="C2685" s="25"/>
      <c r="D2685" s="25"/>
      <c r="E2685" s="25"/>
      <c r="F2685" s="17"/>
      <c r="G2685" s="18"/>
      <c r="H2685" s="18"/>
      <c r="I2685" s="18"/>
    </row>
    <row r="2686" ht="15">
      <c r="A2686" s="25"/>
      <c r="B2686" s="25"/>
      <c r="C2686" s="25"/>
      <c r="D2686" s="25"/>
      <c r="E2686" s="25"/>
      <c r="F2686" s="17"/>
      <c r="G2686" s="18"/>
      <c r="H2686" s="18"/>
      <c r="I2686" s="18"/>
    </row>
    <row r="2687" ht="15">
      <c r="A2687" s="25"/>
      <c r="B2687" s="25"/>
      <c r="C2687" s="25"/>
      <c r="D2687" s="25"/>
      <c r="E2687" s="25"/>
      <c r="F2687" s="17"/>
      <c r="G2687" s="18"/>
      <c r="H2687" s="18"/>
      <c r="I2687" s="18"/>
    </row>
    <row r="2688" ht="15">
      <c r="A2688" s="25"/>
      <c r="B2688" s="25"/>
      <c r="C2688" s="25"/>
      <c r="D2688" s="25"/>
      <c r="E2688" s="25"/>
      <c r="F2688" s="17"/>
      <c r="G2688" s="18"/>
      <c r="H2688" s="18"/>
      <c r="I2688" s="18"/>
    </row>
    <row r="2689" ht="15">
      <c r="A2689" s="25"/>
      <c r="B2689" s="25"/>
      <c r="C2689" s="25"/>
      <c r="D2689" s="25"/>
      <c r="E2689" s="25"/>
      <c r="F2689" s="17"/>
      <c r="G2689" s="18"/>
      <c r="H2689" s="18"/>
      <c r="I2689" s="18"/>
    </row>
    <row r="2690" ht="15">
      <c r="A2690" s="25"/>
      <c r="B2690" s="25"/>
      <c r="C2690" s="25"/>
      <c r="D2690" s="25"/>
      <c r="E2690" s="25"/>
      <c r="F2690" s="17"/>
      <c r="G2690" s="18"/>
      <c r="H2690" s="18"/>
      <c r="I2690" s="18"/>
    </row>
    <row r="2691" ht="15">
      <c r="A2691" s="25"/>
      <c r="B2691" s="25"/>
      <c r="C2691" s="25"/>
      <c r="D2691" s="25"/>
      <c r="E2691" s="25"/>
      <c r="F2691" s="17"/>
      <c r="G2691" s="18"/>
      <c r="H2691" s="18"/>
      <c r="I2691" s="18"/>
    </row>
    <row r="2692" ht="15">
      <c r="A2692" s="25"/>
      <c r="B2692" s="25"/>
      <c r="C2692" s="25"/>
      <c r="D2692" s="25"/>
      <c r="E2692" s="25"/>
      <c r="F2692" s="17"/>
      <c r="G2692" s="18"/>
      <c r="H2692" s="18"/>
      <c r="I2692" s="18"/>
    </row>
    <row r="2693" ht="15">
      <c r="A2693" s="25"/>
      <c r="B2693" s="25"/>
      <c r="C2693" s="25"/>
      <c r="D2693" s="25"/>
      <c r="E2693" s="25"/>
      <c r="F2693" s="17"/>
      <c r="G2693" s="18"/>
      <c r="H2693" s="18"/>
      <c r="I2693" s="18"/>
    </row>
    <row r="2694" ht="15">
      <c r="A2694" s="25"/>
      <c r="B2694" s="25"/>
      <c r="C2694" s="25"/>
      <c r="D2694" s="25"/>
      <c r="E2694" s="25"/>
      <c r="F2694" s="17"/>
      <c r="G2694" s="18"/>
      <c r="H2694" s="18"/>
      <c r="I2694" s="18"/>
    </row>
    <row r="2695" ht="15">
      <c r="A2695" s="25"/>
      <c r="B2695" s="25"/>
      <c r="C2695" s="25"/>
      <c r="D2695" s="25"/>
      <c r="E2695" s="25"/>
      <c r="F2695" s="17"/>
      <c r="G2695" s="18"/>
      <c r="H2695" s="18"/>
      <c r="I2695" s="18"/>
    </row>
    <row r="2696" ht="15">
      <c r="A2696" s="25"/>
      <c r="B2696" s="25"/>
      <c r="C2696" s="25"/>
      <c r="D2696" s="25"/>
      <c r="E2696" s="25"/>
      <c r="F2696" s="17"/>
      <c r="G2696" s="18"/>
      <c r="H2696" s="18"/>
      <c r="I2696" s="18"/>
    </row>
    <row r="2697" ht="15">
      <c r="A2697" s="25"/>
      <c r="B2697" s="25"/>
      <c r="C2697" s="25"/>
      <c r="D2697" s="25"/>
      <c r="E2697" s="25"/>
      <c r="F2697" s="17"/>
      <c r="G2697" s="18"/>
      <c r="H2697" s="18"/>
      <c r="I2697" s="18"/>
    </row>
    <row r="2698" ht="15">
      <c r="A2698" s="25"/>
      <c r="B2698" s="25"/>
      <c r="C2698" s="25"/>
      <c r="D2698" s="25"/>
      <c r="E2698" s="25"/>
      <c r="F2698" s="17"/>
      <c r="G2698" s="18"/>
      <c r="H2698" s="18"/>
      <c r="I2698" s="18"/>
    </row>
    <row r="2699" ht="15">
      <c r="A2699" s="25"/>
      <c r="B2699" s="25"/>
      <c r="C2699" s="25"/>
      <c r="D2699" s="25"/>
      <c r="E2699" s="25"/>
      <c r="F2699" s="17"/>
      <c r="G2699" s="18"/>
      <c r="H2699" s="18"/>
      <c r="I2699" s="18"/>
    </row>
    <row r="2700" ht="15">
      <c r="A2700" s="25"/>
      <c r="B2700" s="25"/>
      <c r="C2700" s="25"/>
      <c r="D2700" s="25"/>
      <c r="E2700" s="25"/>
      <c r="F2700" s="17"/>
      <c r="G2700" s="18"/>
      <c r="H2700" s="18"/>
      <c r="I2700" s="18"/>
    </row>
    <row r="2701" ht="15">
      <c r="A2701" s="25"/>
      <c r="B2701" s="25"/>
      <c r="C2701" s="25"/>
      <c r="D2701" s="25"/>
      <c r="E2701" s="25"/>
      <c r="F2701" s="17"/>
      <c r="G2701" s="18"/>
      <c r="H2701" s="18"/>
      <c r="I2701" s="18"/>
    </row>
    <row r="2702" ht="15">
      <c r="A2702" s="25"/>
      <c r="B2702" s="25"/>
      <c r="C2702" s="25"/>
      <c r="D2702" s="25"/>
      <c r="E2702" s="25"/>
      <c r="F2702" s="17"/>
      <c r="G2702" s="18"/>
      <c r="H2702" s="18"/>
      <c r="I2702" s="18"/>
    </row>
    <row r="2703" ht="15">
      <c r="A2703" s="25"/>
      <c r="B2703" s="25"/>
      <c r="C2703" s="25"/>
      <c r="D2703" s="25"/>
      <c r="E2703" s="25"/>
      <c r="F2703" s="17"/>
      <c r="G2703" s="18"/>
      <c r="H2703" s="18"/>
      <c r="I2703" s="18"/>
    </row>
    <row r="2704" ht="15">
      <c r="A2704" s="25"/>
      <c r="B2704" s="25"/>
      <c r="C2704" s="25"/>
      <c r="D2704" s="25"/>
      <c r="E2704" s="25"/>
      <c r="F2704" s="17"/>
      <c r="G2704" s="18"/>
      <c r="H2704" s="18"/>
      <c r="I2704" s="18"/>
    </row>
    <row r="2705" ht="15">
      <c r="A2705" s="25"/>
      <c r="B2705" s="25"/>
      <c r="C2705" s="25"/>
      <c r="D2705" s="25"/>
      <c r="E2705" s="25"/>
      <c r="F2705" s="17"/>
      <c r="G2705" s="18"/>
      <c r="H2705" s="18"/>
      <c r="I2705" s="18"/>
    </row>
    <row r="2706" ht="15">
      <c r="A2706" s="25"/>
      <c r="B2706" s="25"/>
      <c r="C2706" s="25"/>
      <c r="D2706" s="25"/>
      <c r="E2706" s="25"/>
      <c r="F2706" s="17"/>
      <c r="G2706" s="18"/>
      <c r="H2706" s="18"/>
      <c r="I2706" s="18"/>
    </row>
    <row r="2707" ht="15">
      <c r="A2707" s="25"/>
      <c r="B2707" s="25"/>
      <c r="C2707" s="25"/>
      <c r="D2707" s="25"/>
      <c r="E2707" s="25"/>
      <c r="F2707" s="17"/>
      <c r="G2707" s="18"/>
      <c r="H2707" s="18"/>
      <c r="I2707" s="18"/>
    </row>
    <row r="2708" ht="15">
      <c r="A2708" s="25"/>
      <c r="B2708" s="25"/>
      <c r="C2708" s="25"/>
      <c r="D2708" s="25"/>
      <c r="E2708" s="25"/>
      <c r="F2708" s="17"/>
      <c r="G2708" s="18"/>
      <c r="H2708" s="18"/>
      <c r="I2708" s="18"/>
    </row>
    <row r="2709" ht="15">
      <c r="A2709" s="25"/>
      <c r="B2709" s="25"/>
      <c r="C2709" s="25"/>
      <c r="D2709" s="25"/>
      <c r="E2709" s="25"/>
      <c r="F2709" s="17"/>
      <c r="G2709" s="18"/>
      <c r="H2709" s="18"/>
      <c r="I2709" s="18"/>
    </row>
    <row r="2710" ht="15">
      <c r="A2710" s="25"/>
      <c r="B2710" s="25"/>
      <c r="C2710" s="25"/>
      <c r="D2710" s="25"/>
      <c r="E2710" s="25"/>
      <c r="F2710" s="17"/>
      <c r="G2710" s="18"/>
      <c r="H2710" s="18"/>
      <c r="I2710" s="18"/>
    </row>
    <row r="2711" ht="15">
      <c r="A2711" s="25"/>
      <c r="B2711" s="25"/>
      <c r="C2711" s="25"/>
      <c r="D2711" s="25"/>
      <c r="E2711" s="25"/>
      <c r="F2711" s="17"/>
      <c r="G2711" s="18"/>
      <c r="H2711" s="18"/>
      <c r="I2711" s="18"/>
    </row>
    <row r="2712" ht="15">
      <c r="A2712" s="25"/>
      <c r="B2712" s="25"/>
      <c r="C2712" s="25"/>
      <c r="D2712" s="25"/>
      <c r="E2712" s="25"/>
      <c r="F2712" s="17"/>
      <c r="G2712" s="18"/>
      <c r="H2712" s="18"/>
      <c r="I2712" s="18"/>
    </row>
    <row r="2713" ht="15">
      <c r="A2713" s="25"/>
      <c r="B2713" s="25"/>
      <c r="C2713" s="25"/>
      <c r="D2713" s="25"/>
      <c r="E2713" s="25"/>
      <c r="F2713" s="17"/>
      <c r="G2713" s="18"/>
      <c r="H2713" s="18"/>
      <c r="I2713" s="18"/>
    </row>
    <row r="2714" ht="15">
      <c r="A2714" s="25"/>
      <c r="B2714" s="25"/>
      <c r="C2714" s="25"/>
      <c r="D2714" s="25"/>
      <c r="E2714" s="25"/>
      <c r="F2714" s="17"/>
      <c r="G2714" s="18"/>
      <c r="H2714" s="18"/>
      <c r="I2714" s="18"/>
    </row>
    <row r="2715" ht="15">
      <c r="A2715" s="25"/>
      <c r="B2715" s="25"/>
      <c r="C2715" s="25"/>
      <c r="D2715" s="25"/>
      <c r="E2715" s="25"/>
      <c r="F2715" s="17"/>
      <c r="G2715" s="18"/>
      <c r="H2715" s="18"/>
      <c r="I2715" s="18"/>
    </row>
    <row r="2716" ht="15">
      <c r="A2716" s="25"/>
      <c r="B2716" s="25"/>
      <c r="C2716" s="25"/>
      <c r="D2716" s="25"/>
      <c r="E2716" s="25"/>
      <c r="F2716" s="17"/>
      <c r="G2716" s="18"/>
      <c r="H2716" s="18"/>
      <c r="I2716" s="18"/>
    </row>
    <row r="2717" ht="15">
      <c r="A2717" s="25"/>
      <c r="B2717" s="25"/>
      <c r="C2717" s="25"/>
      <c r="D2717" s="25"/>
      <c r="E2717" s="25"/>
      <c r="F2717" s="17"/>
      <c r="G2717" s="18"/>
      <c r="H2717" s="18"/>
      <c r="I2717" s="18"/>
    </row>
    <row r="2718" ht="15">
      <c r="A2718" s="25"/>
      <c r="B2718" s="25"/>
      <c r="C2718" s="25"/>
      <c r="D2718" s="25"/>
      <c r="E2718" s="25"/>
      <c r="F2718" s="17"/>
      <c r="G2718" s="18"/>
      <c r="H2718" s="18"/>
      <c r="I2718" s="18"/>
    </row>
    <row r="2719" ht="15">
      <c r="A2719" s="25"/>
      <c r="B2719" s="25"/>
      <c r="C2719" s="25"/>
      <c r="D2719" s="25"/>
      <c r="E2719" s="25"/>
      <c r="F2719" s="17"/>
      <c r="G2719" s="18"/>
      <c r="H2719" s="18"/>
      <c r="I2719" s="18"/>
    </row>
    <row r="2720" ht="15">
      <c r="A2720" s="25"/>
      <c r="B2720" s="25"/>
      <c r="C2720" s="25"/>
      <c r="D2720" s="25"/>
      <c r="E2720" s="25"/>
      <c r="F2720" s="17"/>
      <c r="G2720" s="18"/>
      <c r="H2720" s="18"/>
      <c r="I2720" s="18"/>
    </row>
    <row r="2721" ht="15">
      <c r="A2721" s="25"/>
      <c r="B2721" s="25"/>
      <c r="C2721" s="25"/>
      <c r="D2721" s="25"/>
      <c r="E2721" s="25"/>
      <c r="F2721" s="17"/>
      <c r="G2721" s="18"/>
      <c r="H2721" s="18"/>
      <c r="I2721" s="18"/>
    </row>
    <row r="2722" ht="15">
      <c r="A2722" s="25"/>
      <c r="B2722" s="25"/>
      <c r="C2722" s="25"/>
      <c r="D2722" s="25"/>
      <c r="E2722" s="25"/>
      <c r="F2722" s="17"/>
      <c r="G2722" s="18"/>
      <c r="H2722" s="18"/>
      <c r="I2722" s="18"/>
    </row>
    <row r="2723" ht="15">
      <c r="A2723" s="25"/>
      <c r="B2723" s="25"/>
      <c r="C2723" s="25"/>
      <c r="D2723" s="25"/>
      <c r="E2723" s="25"/>
      <c r="F2723" s="17"/>
      <c r="G2723" s="18"/>
      <c r="H2723" s="18"/>
      <c r="I2723" s="18"/>
    </row>
    <row r="2724" ht="15">
      <c r="A2724" s="25"/>
      <c r="B2724" s="25"/>
      <c r="C2724" s="25"/>
      <c r="D2724" s="25"/>
      <c r="E2724" s="25"/>
      <c r="F2724" s="17"/>
      <c r="G2724" s="18"/>
      <c r="H2724" s="18"/>
      <c r="I2724" s="18"/>
    </row>
    <row r="2725" ht="15">
      <c r="A2725" s="25"/>
      <c r="B2725" s="25"/>
      <c r="C2725" s="25"/>
      <c r="D2725" s="25"/>
      <c r="E2725" s="25"/>
      <c r="F2725" s="17"/>
      <c r="G2725" s="18"/>
      <c r="H2725" s="18"/>
      <c r="I2725" s="18"/>
    </row>
    <row r="2726" ht="15">
      <c r="A2726" s="25"/>
      <c r="B2726" s="25"/>
      <c r="C2726" s="25"/>
      <c r="D2726" s="25"/>
      <c r="E2726" s="25"/>
      <c r="F2726" s="17"/>
      <c r="G2726" s="18"/>
      <c r="H2726" s="18"/>
      <c r="I2726" s="18"/>
    </row>
    <row r="2727" ht="15">
      <c r="A2727" s="25"/>
      <c r="B2727" s="25"/>
      <c r="C2727" s="25"/>
      <c r="D2727" s="25"/>
      <c r="E2727" s="25"/>
      <c r="F2727" s="17"/>
      <c r="G2727" s="18"/>
      <c r="H2727" s="18"/>
      <c r="I2727" s="18"/>
    </row>
    <row r="2728" ht="15">
      <c r="A2728" s="25"/>
      <c r="B2728" s="25"/>
      <c r="C2728" s="25"/>
      <c r="D2728" s="25"/>
      <c r="E2728" s="25"/>
      <c r="F2728" s="17"/>
      <c r="G2728" s="18"/>
      <c r="H2728" s="18"/>
      <c r="I2728" s="18"/>
    </row>
    <row r="2729" ht="15">
      <c r="A2729" s="25"/>
      <c r="B2729" s="25"/>
      <c r="C2729" s="25"/>
      <c r="D2729" s="25"/>
      <c r="E2729" s="25"/>
      <c r="F2729" s="17"/>
      <c r="G2729" s="18"/>
      <c r="H2729" s="18"/>
      <c r="I2729" s="18"/>
    </row>
    <row r="2730" ht="15">
      <c r="A2730" s="25"/>
      <c r="B2730" s="25"/>
      <c r="C2730" s="25"/>
      <c r="D2730" s="25"/>
      <c r="E2730" s="25"/>
      <c r="F2730" s="17"/>
      <c r="G2730" s="18"/>
      <c r="H2730" s="18"/>
      <c r="I2730" s="18"/>
    </row>
    <row r="2731" ht="15">
      <c r="A2731" s="25"/>
      <c r="B2731" s="25"/>
      <c r="C2731" s="25"/>
      <c r="D2731" s="25"/>
      <c r="E2731" s="25"/>
      <c r="F2731" s="17"/>
      <c r="G2731" s="18"/>
      <c r="H2731" s="18"/>
      <c r="I2731" s="18"/>
    </row>
    <row r="2732" ht="15">
      <c r="A2732" s="25"/>
      <c r="B2732" s="25"/>
      <c r="C2732" s="25"/>
      <c r="D2732" s="25"/>
      <c r="E2732" s="25"/>
      <c r="F2732" s="17"/>
      <c r="G2732" s="18"/>
      <c r="H2732" s="18"/>
      <c r="I2732" s="18"/>
    </row>
    <row r="2733" ht="15">
      <c r="A2733" s="25"/>
      <c r="B2733" s="25"/>
      <c r="C2733" s="25"/>
      <c r="D2733" s="25"/>
      <c r="E2733" s="25"/>
      <c r="F2733" s="17"/>
      <c r="G2733" s="18"/>
      <c r="H2733" s="18"/>
      <c r="I2733" s="18"/>
    </row>
    <row r="2734" ht="15">
      <c r="A2734" s="25"/>
      <c r="B2734" s="25"/>
      <c r="C2734" s="25"/>
      <c r="D2734" s="25"/>
      <c r="E2734" s="25"/>
      <c r="F2734" s="17"/>
      <c r="G2734" s="18"/>
      <c r="H2734" s="18"/>
      <c r="I2734" s="18"/>
    </row>
    <row r="2735" ht="15">
      <c r="A2735" s="25"/>
      <c r="B2735" s="25"/>
      <c r="C2735" s="25"/>
      <c r="D2735" s="25"/>
      <c r="E2735" s="25"/>
      <c r="F2735" s="17"/>
      <c r="G2735" s="18"/>
      <c r="H2735" s="18"/>
      <c r="I2735" s="18"/>
    </row>
    <row r="2736" ht="15">
      <c r="A2736" s="25"/>
      <c r="B2736" s="25"/>
      <c r="C2736" s="25"/>
      <c r="D2736" s="25"/>
      <c r="E2736" s="25"/>
      <c r="F2736" s="17"/>
      <c r="G2736" s="18"/>
      <c r="H2736" s="18"/>
      <c r="I2736" s="18"/>
    </row>
    <row r="2737" ht="15">
      <c r="A2737" s="25"/>
      <c r="B2737" s="25"/>
      <c r="C2737" s="25"/>
      <c r="D2737" s="25"/>
      <c r="E2737" s="25"/>
      <c r="F2737" s="17"/>
      <c r="G2737" s="18"/>
      <c r="H2737" s="18"/>
      <c r="I2737" s="18"/>
    </row>
    <row r="2738" ht="15">
      <c r="A2738" s="25"/>
      <c r="B2738" s="25"/>
      <c r="C2738" s="25"/>
      <c r="D2738" s="25"/>
      <c r="E2738" s="25"/>
      <c r="F2738" s="17"/>
      <c r="G2738" s="18"/>
      <c r="H2738" s="18"/>
      <c r="I2738" s="18"/>
    </row>
    <row r="2739" ht="15">
      <c r="A2739" s="25"/>
      <c r="B2739" s="25"/>
      <c r="C2739" s="25"/>
      <c r="D2739" s="25"/>
      <c r="E2739" s="25"/>
      <c r="F2739" s="17"/>
      <c r="G2739" s="18"/>
      <c r="H2739" s="18"/>
      <c r="I2739" s="18"/>
    </row>
    <row r="2740" ht="15">
      <c r="A2740" s="25"/>
      <c r="B2740" s="25"/>
      <c r="C2740" s="25"/>
      <c r="D2740" s="25"/>
      <c r="E2740" s="25"/>
      <c r="F2740" s="17"/>
      <c r="G2740" s="18"/>
      <c r="H2740" s="18"/>
      <c r="I2740" s="18"/>
    </row>
    <row r="2741" ht="15">
      <c r="A2741" s="25"/>
      <c r="B2741" s="25"/>
      <c r="C2741" s="25"/>
      <c r="D2741" s="25"/>
      <c r="E2741" s="25"/>
      <c r="F2741" s="17"/>
      <c r="G2741" s="18"/>
      <c r="H2741" s="18"/>
      <c r="I2741" s="18"/>
    </row>
    <row r="2742" ht="15">
      <c r="A2742" s="25"/>
      <c r="B2742" s="25"/>
      <c r="C2742" s="25"/>
      <c r="D2742" s="25"/>
      <c r="E2742" s="25"/>
      <c r="F2742" s="17"/>
      <c r="G2742" s="18"/>
      <c r="H2742" s="18"/>
      <c r="I2742" s="18"/>
    </row>
    <row r="2743" ht="15">
      <c r="A2743" s="25"/>
      <c r="B2743" s="25"/>
      <c r="C2743" s="25"/>
      <c r="D2743" s="25"/>
      <c r="E2743" s="25"/>
      <c r="F2743" s="17"/>
      <c r="G2743" s="18"/>
      <c r="H2743" s="18"/>
      <c r="I2743" s="18"/>
    </row>
    <row r="2744" ht="15">
      <c r="A2744" s="25"/>
      <c r="B2744" s="25"/>
      <c r="C2744" s="25"/>
      <c r="D2744" s="25"/>
      <c r="E2744" s="25"/>
      <c r="F2744" s="17"/>
      <c r="G2744" s="18"/>
      <c r="H2744" s="18"/>
      <c r="I2744" s="18"/>
    </row>
    <row r="2745" ht="15">
      <c r="A2745" s="25"/>
      <c r="B2745" s="25"/>
      <c r="C2745" s="25"/>
      <c r="D2745" s="25"/>
      <c r="E2745" s="25"/>
      <c r="F2745" s="17"/>
      <c r="G2745" s="18"/>
      <c r="H2745" s="18"/>
      <c r="I2745" s="18"/>
    </row>
    <row r="2746" ht="15">
      <c r="A2746" s="25"/>
      <c r="B2746" s="25"/>
      <c r="C2746" s="25"/>
      <c r="D2746" s="25"/>
      <c r="E2746" s="25"/>
      <c r="F2746" s="17"/>
      <c r="G2746" s="18"/>
      <c r="H2746" s="18"/>
      <c r="I2746" s="18"/>
    </row>
    <row r="2747" ht="15">
      <c r="A2747" s="25"/>
      <c r="B2747" s="25"/>
      <c r="C2747" s="25"/>
      <c r="D2747" s="25"/>
      <c r="E2747" s="25"/>
      <c r="F2747" s="17"/>
      <c r="G2747" s="18"/>
      <c r="H2747" s="18"/>
      <c r="I2747" s="18"/>
    </row>
    <row r="2748" ht="15">
      <c r="A2748" s="25"/>
      <c r="B2748" s="25"/>
      <c r="C2748" s="25"/>
      <c r="D2748" s="25"/>
      <c r="E2748" s="25"/>
      <c r="F2748" s="17"/>
      <c r="G2748" s="18"/>
      <c r="H2748" s="18"/>
      <c r="I2748" s="18"/>
    </row>
    <row r="2749" ht="15">
      <c r="A2749" s="25"/>
      <c r="B2749" s="25"/>
      <c r="C2749" s="25"/>
      <c r="D2749" s="25"/>
      <c r="E2749" s="25"/>
      <c r="F2749" s="17"/>
      <c r="G2749" s="18"/>
      <c r="H2749" s="18"/>
      <c r="I2749" s="18"/>
    </row>
    <row r="2750" ht="15">
      <c r="A2750" s="25"/>
      <c r="B2750" s="25"/>
      <c r="C2750" s="25"/>
      <c r="D2750" s="25"/>
      <c r="E2750" s="25"/>
      <c r="F2750" s="17"/>
      <c r="G2750" s="18"/>
      <c r="H2750" s="18"/>
      <c r="I2750" s="18"/>
    </row>
    <row r="2751" ht="15">
      <c r="A2751" s="25"/>
      <c r="B2751" s="25"/>
      <c r="C2751" s="25"/>
      <c r="D2751" s="25"/>
      <c r="E2751" s="25"/>
      <c r="F2751" s="17"/>
      <c r="G2751" s="18"/>
      <c r="H2751" s="18"/>
      <c r="I2751" s="18"/>
    </row>
    <row r="2752" ht="15">
      <c r="A2752" s="25"/>
      <c r="B2752" s="25"/>
      <c r="C2752" s="25"/>
      <c r="D2752" s="25"/>
      <c r="E2752" s="25"/>
      <c r="F2752" s="17"/>
      <c r="G2752" s="18"/>
      <c r="H2752" s="18"/>
      <c r="I2752" s="18"/>
    </row>
    <row r="2753" ht="15">
      <c r="A2753" s="25"/>
      <c r="B2753" s="25"/>
      <c r="C2753" s="25"/>
      <c r="D2753" s="25"/>
      <c r="E2753" s="25"/>
      <c r="F2753" s="17"/>
      <c r="G2753" s="18"/>
      <c r="H2753" s="18"/>
      <c r="I2753" s="18"/>
    </row>
    <row r="2754" ht="15">
      <c r="A2754" s="25"/>
      <c r="B2754" s="25"/>
      <c r="C2754" s="25"/>
      <c r="D2754" s="25"/>
      <c r="E2754" s="25"/>
      <c r="F2754" s="17"/>
      <c r="G2754" s="18"/>
      <c r="H2754" s="18"/>
      <c r="I2754" s="18"/>
    </row>
    <row r="2755" ht="15">
      <c r="A2755" s="25"/>
      <c r="B2755" s="25"/>
      <c r="C2755" s="25"/>
      <c r="D2755" s="25"/>
      <c r="E2755" s="25"/>
      <c r="F2755" s="17"/>
      <c r="G2755" s="18"/>
      <c r="H2755" s="18"/>
      <c r="I2755" s="18"/>
    </row>
    <row r="2756" ht="15">
      <c r="A2756" s="25"/>
      <c r="B2756" s="25"/>
      <c r="C2756" s="25"/>
      <c r="D2756" s="25"/>
      <c r="E2756" s="25"/>
      <c r="F2756" s="17"/>
      <c r="G2756" s="18"/>
      <c r="H2756" s="18"/>
      <c r="I2756" s="18"/>
    </row>
    <row r="2757" ht="15">
      <c r="A2757" s="25"/>
      <c r="B2757" s="25"/>
      <c r="C2757" s="25"/>
      <c r="D2757" s="25"/>
      <c r="E2757" s="25"/>
      <c r="F2757" s="17"/>
      <c r="G2757" s="18"/>
      <c r="H2757" s="18"/>
      <c r="I2757" s="18"/>
    </row>
    <row r="2758" ht="15">
      <c r="A2758" s="25"/>
      <c r="B2758" s="25"/>
      <c r="C2758" s="25"/>
      <c r="D2758" s="25"/>
      <c r="E2758" s="25"/>
      <c r="F2758" s="17"/>
      <c r="G2758" s="18"/>
      <c r="H2758" s="18"/>
      <c r="I2758" s="18"/>
    </row>
    <row r="2759" ht="15">
      <c r="A2759" s="25"/>
      <c r="B2759" s="25"/>
      <c r="C2759" s="25"/>
      <c r="D2759" s="25"/>
      <c r="E2759" s="25"/>
      <c r="F2759" s="17"/>
      <c r="G2759" s="18"/>
      <c r="H2759" s="18"/>
      <c r="I2759" s="18"/>
    </row>
    <row r="2760" ht="15">
      <c r="A2760" s="25"/>
      <c r="B2760" s="25"/>
      <c r="C2760" s="25"/>
      <c r="D2760" s="25"/>
      <c r="E2760" s="25"/>
      <c r="F2760" s="17"/>
      <c r="G2760" s="18"/>
      <c r="H2760" s="18"/>
      <c r="I2760" s="18"/>
    </row>
    <row r="2761" ht="15">
      <c r="A2761" s="25"/>
      <c r="B2761" s="25"/>
      <c r="C2761" s="25"/>
      <c r="D2761" s="25"/>
      <c r="E2761" s="25"/>
      <c r="F2761" s="17"/>
      <c r="G2761" s="18"/>
      <c r="H2761" s="18"/>
      <c r="I2761" s="18"/>
    </row>
    <row r="2762" ht="15">
      <c r="A2762" s="25"/>
      <c r="B2762" s="25"/>
      <c r="C2762" s="25"/>
      <c r="D2762" s="25"/>
      <c r="E2762" s="25"/>
      <c r="F2762" s="17"/>
      <c r="G2762" s="18"/>
      <c r="H2762" s="18"/>
      <c r="I2762" s="18"/>
    </row>
    <row r="2763" ht="15">
      <c r="A2763" s="25"/>
      <c r="B2763" s="25"/>
      <c r="C2763" s="25"/>
      <c r="D2763" s="25"/>
      <c r="E2763" s="25"/>
      <c r="F2763" s="17"/>
      <c r="G2763" s="18"/>
      <c r="H2763" s="18"/>
      <c r="I2763" s="18"/>
    </row>
    <row r="2764" ht="15">
      <c r="A2764" s="25"/>
      <c r="B2764" s="25"/>
      <c r="C2764" s="25"/>
      <c r="D2764" s="25"/>
      <c r="E2764" s="25"/>
      <c r="F2764" s="17"/>
      <c r="G2764" s="18"/>
      <c r="H2764" s="18"/>
      <c r="I2764" s="18"/>
    </row>
    <row r="2765" ht="15">
      <c r="A2765" s="25"/>
      <c r="B2765" s="25"/>
      <c r="C2765" s="25"/>
      <c r="D2765" s="25"/>
      <c r="E2765" s="25"/>
      <c r="F2765" s="17"/>
      <c r="G2765" s="18"/>
      <c r="H2765" s="18"/>
      <c r="I2765" s="18"/>
    </row>
    <row r="2766" ht="15">
      <c r="A2766" s="25"/>
      <c r="B2766" s="25"/>
      <c r="C2766" s="25"/>
      <c r="D2766" s="25"/>
      <c r="E2766" s="25"/>
      <c r="F2766" s="17"/>
      <c r="G2766" s="18"/>
      <c r="H2766" s="18"/>
      <c r="I2766" s="18"/>
    </row>
    <row r="2767" ht="15">
      <c r="A2767" s="25"/>
      <c r="B2767" s="25"/>
      <c r="C2767" s="25"/>
      <c r="D2767" s="25"/>
      <c r="E2767" s="25"/>
      <c r="F2767" s="17"/>
      <c r="G2767" s="18"/>
      <c r="H2767" s="18"/>
      <c r="I2767" s="18"/>
    </row>
    <row r="2768" ht="15">
      <c r="A2768" s="25"/>
      <c r="B2768" s="25"/>
      <c r="C2768" s="25"/>
      <c r="D2768" s="25"/>
      <c r="E2768" s="25"/>
      <c r="F2768" s="17"/>
      <c r="G2768" s="18"/>
      <c r="H2768" s="18"/>
      <c r="I2768" s="18"/>
    </row>
    <row r="2769" ht="15">
      <c r="A2769" s="25"/>
      <c r="B2769" s="25"/>
      <c r="C2769" s="25"/>
      <c r="D2769" s="25"/>
      <c r="E2769" s="25"/>
      <c r="F2769" s="17"/>
      <c r="G2769" s="18"/>
      <c r="H2769" s="18"/>
      <c r="I2769" s="18"/>
    </row>
    <row r="2770" ht="15">
      <c r="A2770" s="25"/>
      <c r="B2770" s="25"/>
      <c r="C2770" s="25"/>
      <c r="D2770" s="25"/>
      <c r="E2770" s="25"/>
      <c r="F2770" s="17"/>
      <c r="G2770" s="18"/>
      <c r="H2770" s="18"/>
      <c r="I2770" s="18"/>
    </row>
    <row r="2771" ht="15">
      <c r="A2771" s="25"/>
      <c r="B2771" s="25"/>
      <c r="C2771" s="25"/>
      <c r="D2771" s="25"/>
      <c r="E2771" s="25"/>
      <c r="F2771" s="17"/>
      <c r="G2771" s="18"/>
      <c r="H2771" s="18"/>
      <c r="I2771" s="18"/>
    </row>
    <row r="2772" ht="15">
      <c r="A2772" s="25"/>
      <c r="B2772" s="25"/>
      <c r="C2772" s="25"/>
      <c r="D2772" s="25"/>
      <c r="E2772" s="25"/>
      <c r="F2772" s="17"/>
      <c r="G2772" s="18"/>
      <c r="H2772" s="18"/>
      <c r="I2772" s="18"/>
    </row>
    <row r="2773" ht="15">
      <c r="A2773" s="25"/>
      <c r="B2773" s="25"/>
      <c r="C2773" s="25"/>
      <c r="D2773" s="25"/>
      <c r="E2773" s="25"/>
      <c r="F2773" s="17"/>
      <c r="G2773" s="18"/>
      <c r="H2773" s="18"/>
      <c r="I2773" s="18"/>
    </row>
    <row r="2774" ht="15">
      <c r="A2774" s="25"/>
      <c r="B2774" s="25"/>
      <c r="C2774" s="25"/>
      <c r="D2774" s="25"/>
      <c r="E2774" s="25"/>
      <c r="F2774" s="17"/>
      <c r="G2774" s="18"/>
      <c r="H2774" s="18"/>
      <c r="I2774" s="18"/>
    </row>
    <row r="2775" ht="15">
      <c r="A2775" s="25"/>
      <c r="B2775" s="25"/>
      <c r="C2775" s="25"/>
      <c r="D2775" s="25"/>
      <c r="E2775" s="25"/>
      <c r="F2775" s="17"/>
      <c r="G2775" s="18"/>
      <c r="H2775" s="18"/>
      <c r="I2775" s="18"/>
    </row>
    <row r="2776" ht="15">
      <c r="A2776" s="25"/>
      <c r="B2776" s="25"/>
      <c r="C2776" s="25"/>
      <c r="D2776" s="25"/>
      <c r="E2776" s="25"/>
      <c r="F2776" s="17"/>
      <c r="G2776" s="18"/>
      <c r="H2776" s="18"/>
      <c r="I2776" s="18"/>
    </row>
    <row r="2777" ht="15">
      <c r="A2777" s="25"/>
      <c r="B2777" s="25"/>
      <c r="C2777" s="25"/>
      <c r="D2777" s="25"/>
      <c r="E2777" s="25"/>
      <c r="F2777" s="17"/>
      <c r="G2777" s="18"/>
      <c r="H2777" s="18"/>
      <c r="I2777" s="18"/>
    </row>
    <row r="2778" ht="15">
      <c r="A2778" s="25"/>
      <c r="B2778" s="25"/>
      <c r="C2778" s="25"/>
      <c r="D2778" s="25"/>
      <c r="E2778" s="25"/>
      <c r="F2778" s="17"/>
      <c r="G2778" s="18"/>
      <c r="H2778" s="18"/>
      <c r="I2778" s="18"/>
    </row>
    <row r="2779" ht="15">
      <c r="A2779" s="25"/>
      <c r="B2779" s="25"/>
      <c r="C2779" s="25"/>
      <c r="D2779" s="25"/>
      <c r="E2779" s="25"/>
      <c r="F2779" s="17"/>
      <c r="G2779" s="18"/>
      <c r="H2779" s="18"/>
      <c r="I2779" s="18"/>
    </row>
    <row r="2780" ht="15">
      <c r="A2780" s="25"/>
      <c r="B2780" s="25"/>
      <c r="C2780" s="25"/>
      <c r="D2780" s="25"/>
      <c r="E2780" s="25"/>
      <c r="F2780" s="17"/>
      <c r="G2780" s="18"/>
      <c r="H2780" s="18"/>
      <c r="I2780" s="18"/>
    </row>
    <row r="2781" ht="15">
      <c r="A2781" s="25"/>
      <c r="B2781" s="25"/>
      <c r="C2781" s="25"/>
      <c r="D2781" s="25"/>
      <c r="E2781" s="25"/>
      <c r="F2781" s="17"/>
      <c r="G2781" s="18"/>
      <c r="H2781" s="18"/>
      <c r="I2781" s="18"/>
    </row>
    <row r="2782" ht="15">
      <c r="A2782" s="25"/>
      <c r="B2782" s="25"/>
      <c r="C2782" s="25"/>
      <c r="D2782" s="25"/>
      <c r="E2782" s="25"/>
      <c r="F2782" s="17"/>
      <c r="G2782" s="18"/>
      <c r="H2782" s="18"/>
      <c r="I2782" s="18"/>
    </row>
    <row r="2783" ht="15">
      <c r="A2783" s="25"/>
      <c r="B2783" s="25"/>
      <c r="C2783" s="25"/>
      <c r="D2783" s="25"/>
      <c r="E2783" s="25"/>
      <c r="F2783" s="17"/>
      <c r="G2783" s="18"/>
      <c r="H2783" s="18"/>
      <c r="I2783" s="18"/>
    </row>
    <row r="2784" ht="15">
      <c r="A2784" s="25"/>
      <c r="B2784" s="25"/>
      <c r="C2784" s="25"/>
      <c r="D2784" s="25"/>
      <c r="E2784" s="25"/>
      <c r="F2784" s="17"/>
      <c r="G2784" s="18"/>
      <c r="H2784" s="18"/>
      <c r="I2784" s="18"/>
    </row>
    <row r="2785" ht="15">
      <c r="A2785" s="25"/>
      <c r="B2785" s="25"/>
      <c r="C2785" s="25"/>
      <c r="D2785" s="25"/>
      <c r="E2785" s="25"/>
      <c r="F2785" s="17"/>
      <c r="G2785" s="18"/>
      <c r="H2785" s="18"/>
      <c r="I2785" s="18"/>
    </row>
    <row r="2786" ht="15">
      <c r="A2786" s="25"/>
      <c r="B2786" s="25"/>
      <c r="C2786" s="25"/>
      <c r="D2786" s="25"/>
      <c r="E2786" s="25"/>
      <c r="F2786" s="17"/>
      <c r="G2786" s="18"/>
      <c r="H2786" s="18"/>
      <c r="I2786" s="18"/>
    </row>
    <row r="2787" ht="15">
      <c r="A2787" s="25"/>
      <c r="B2787" s="25"/>
      <c r="C2787" s="25"/>
      <c r="D2787" s="25"/>
      <c r="E2787" s="25"/>
      <c r="F2787" s="17"/>
      <c r="G2787" s="18"/>
      <c r="H2787" s="18"/>
      <c r="I2787" s="18"/>
    </row>
    <row r="2788" ht="15">
      <c r="A2788" s="25"/>
      <c r="B2788" s="25"/>
      <c r="C2788" s="25"/>
      <c r="D2788" s="25"/>
      <c r="E2788" s="25"/>
      <c r="F2788" s="17"/>
      <c r="G2788" s="18"/>
      <c r="H2788" s="18"/>
      <c r="I2788" s="18"/>
    </row>
    <row r="2789" ht="15">
      <c r="A2789" s="25"/>
      <c r="B2789" s="25"/>
      <c r="C2789" s="25"/>
      <c r="D2789" s="25"/>
      <c r="E2789" s="25"/>
      <c r="F2789" s="17"/>
      <c r="G2789" s="18"/>
      <c r="H2789" s="18"/>
      <c r="I2789" s="18"/>
    </row>
    <row r="2790" ht="15">
      <c r="A2790" s="25"/>
      <c r="B2790" s="25"/>
      <c r="C2790" s="25"/>
      <c r="D2790" s="25"/>
      <c r="E2790" s="25"/>
      <c r="F2790" s="17"/>
      <c r="G2790" s="18"/>
      <c r="H2790" s="18"/>
      <c r="I2790" s="18"/>
    </row>
    <row r="2791" ht="15">
      <c r="A2791" s="25"/>
      <c r="B2791" s="25"/>
      <c r="C2791" s="25"/>
      <c r="D2791" s="25"/>
      <c r="E2791" s="25"/>
      <c r="F2791" s="17"/>
      <c r="G2791" s="18"/>
      <c r="H2791" s="18"/>
      <c r="I2791" s="18"/>
    </row>
    <row r="2792" ht="15">
      <c r="A2792" s="25"/>
      <c r="B2792" s="25"/>
      <c r="C2792" s="25"/>
      <c r="D2792" s="25"/>
      <c r="E2792" s="25"/>
      <c r="F2792" s="17"/>
      <c r="G2792" s="18"/>
      <c r="H2792" s="18"/>
      <c r="I2792" s="18"/>
    </row>
    <row r="2793" ht="15">
      <c r="A2793" s="25"/>
      <c r="B2793" s="25"/>
      <c r="C2793" s="25"/>
      <c r="D2793" s="25"/>
      <c r="E2793" s="25"/>
      <c r="F2793" s="17"/>
      <c r="G2793" s="18"/>
      <c r="H2793" s="18"/>
      <c r="I2793" s="18"/>
    </row>
    <row r="2794" ht="15">
      <c r="A2794" s="25"/>
      <c r="B2794" s="25"/>
      <c r="C2794" s="25"/>
      <c r="D2794" s="25"/>
      <c r="E2794" s="25"/>
      <c r="F2794" s="17"/>
      <c r="G2794" s="18"/>
      <c r="H2794" s="18"/>
      <c r="I2794" s="18"/>
    </row>
    <row r="2795" ht="15">
      <c r="A2795" s="25"/>
      <c r="B2795" s="25"/>
      <c r="C2795" s="25"/>
      <c r="D2795" s="25"/>
      <c r="E2795" s="25"/>
      <c r="F2795" s="17"/>
      <c r="G2795" s="18"/>
      <c r="H2795" s="18"/>
      <c r="I2795" s="18"/>
    </row>
    <row r="2796" ht="15">
      <c r="A2796" s="25"/>
      <c r="B2796" s="25"/>
      <c r="C2796" s="25"/>
      <c r="D2796" s="25"/>
      <c r="E2796" s="25"/>
      <c r="F2796" s="17"/>
      <c r="G2796" s="18"/>
      <c r="H2796" s="18"/>
      <c r="I2796" s="18"/>
    </row>
    <row r="2797" ht="15">
      <c r="A2797" s="25"/>
      <c r="B2797" s="25"/>
      <c r="C2797" s="25"/>
      <c r="D2797" s="25"/>
      <c r="E2797" s="25"/>
      <c r="F2797" s="17"/>
      <c r="G2797" s="18"/>
      <c r="H2797" s="18"/>
      <c r="I2797" s="18"/>
    </row>
    <row r="2798" ht="15">
      <c r="A2798" s="25"/>
      <c r="B2798" s="25"/>
      <c r="C2798" s="25"/>
      <c r="D2798" s="25"/>
      <c r="E2798" s="25"/>
      <c r="F2798" s="17"/>
      <c r="G2798" s="18"/>
      <c r="H2798" s="18"/>
      <c r="I2798" s="18"/>
    </row>
    <row r="2799" ht="15">
      <c r="A2799" s="25"/>
      <c r="B2799" s="25"/>
      <c r="C2799" s="25"/>
      <c r="D2799" s="25"/>
      <c r="E2799" s="25"/>
      <c r="F2799" s="17"/>
      <c r="G2799" s="18"/>
      <c r="H2799" s="18"/>
      <c r="I2799" s="18"/>
    </row>
    <row r="2800" ht="15">
      <c r="A2800" s="25"/>
      <c r="B2800" s="25"/>
      <c r="C2800" s="25"/>
      <c r="D2800" s="25"/>
      <c r="E2800" s="25"/>
      <c r="F2800" s="17"/>
      <c r="G2800" s="18"/>
      <c r="H2800" s="18"/>
      <c r="I2800" s="18"/>
    </row>
    <row r="2801" ht="15">
      <c r="A2801" s="25"/>
      <c r="B2801" s="25"/>
      <c r="C2801" s="25"/>
      <c r="D2801" s="25"/>
      <c r="E2801" s="25"/>
      <c r="F2801" s="17"/>
      <c r="G2801" s="18"/>
      <c r="H2801" s="18"/>
      <c r="I2801" s="18"/>
    </row>
    <row r="2802" ht="15">
      <c r="A2802" s="25"/>
      <c r="B2802" s="25"/>
      <c r="C2802" s="25"/>
      <c r="D2802" s="25"/>
      <c r="E2802" s="25"/>
      <c r="F2802" s="17"/>
      <c r="G2802" s="18"/>
      <c r="H2802" s="18"/>
      <c r="I2802" s="18"/>
    </row>
    <row r="2803" ht="15">
      <c r="A2803" s="25"/>
      <c r="B2803" s="25"/>
      <c r="C2803" s="25"/>
      <c r="D2803" s="25"/>
      <c r="E2803" s="25"/>
      <c r="F2803" s="17"/>
      <c r="G2803" s="18"/>
      <c r="H2803" s="18"/>
      <c r="I2803" s="18"/>
    </row>
    <row r="2804" ht="15">
      <c r="A2804" s="25"/>
      <c r="B2804" s="25"/>
      <c r="C2804" s="25"/>
      <c r="D2804" s="25"/>
      <c r="E2804" s="25"/>
      <c r="F2804" s="17"/>
      <c r="G2804" s="18"/>
      <c r="H2804" s="18"/>
      <c r="I2804" s="18"/>
    </row>
    <row r="2805" ht="15">
      <c r="A2805" s="25"/>
      <c r="B2805" s="25"/>
      <c r="C2805" s="25"/>
      <c r="D2805" s="25"/>
      <c r="E2805" s="25"/>
      <c r="F2805" s="17"/>
      <c r="G2805" s="18"/>
      <c r="H2805" s="18"/>
      <c r="I2805" s="18"/>
    </row>
    <row r="2806" ht="15">
      <c r="A2806" s="25"/>
      <c r="B2806" s="25"/>
      <c r="C2806" s="25"/>
      <c r="D2806" s="25"/>
      <c r="E2806" s="25"/>
      <c r="F2806" s="17"/>
      <c r="G2806" s="18"/>
      <c r="H2806" s="18"/>
      <c r="I2806" s="18"/>
    </row>
    <row r="2807" ht="15">
      <c r="A2807" s="25"/>
      <c r="B2807" s="25"/>
      <c r="C2807" s="25"/>
      <c r="D2807" s="25"/>
      <c r="E2807" s="25"/>
      <c r="F2807" s="17"/>
      <c r="G2807" s="18"/>
      <c r="H2807" s="18"/>
      <c r="I2807" s="18"/>
    </row>
    <row r="2808" ht="15">
      <c r="A2808" s="25"/>
      <c r="B2808" s="25"/>
      <c r="C2808" s="25"/>
      <c r="D2808" s="25"/>
      <c r="E2808" s="25"/>
      <c r="F2808" s="17"/>
      <c r="G2808" s="18"/>
      <c r="H2808" s="18"/>
      <c r="I2808" s="18"/>
    </row>
    <row r="2809" ht="15">
      <c r="A2809" s="25"/>
      <c r="B2809" s="25"/>
      <c r="C2809" s="25"/>
      <c r="D2809" s="25"/>
      <c r="E2809" s="25"/>
      <c r="F2809" s="17"/>
      <c r="G2809" s="18"/>
      <c r="H2809" s="18"/>
      <c r="I2809" s="18"/>
    </row>
    <row r="2810" ht="15">
      <c r="A2810" s="25"/>
      <c r="B2810" s="25"/>
      <c r="C2810" s="25"/>
      <c r="D2810" s="25"/>
      <c r="E2810" s="25"/>
      <c r="F2810" s="17"/>
      <c r="G2810" s="18"/>
      <c r="H2810" s="18"/>
      <c r="I2810" s="18"/>
    </row>
    <row r="2811" ht="15">
      <c r="A2811" s="25"/>
      <c r="B2811" s="25"/>
      <c r="C2811" s="25"/>
      <c r="D2811" s="25"/>
      <c r="E2811" s="25"/>
      <c r="F2811" s="17"/>
      <c r="G2811" s="18"/>
      <c r="H2811" s="18"/>
      <c r="I2811" s="18"/>
    </row>
    <row r="2812" ht="15">
      <c r="A2812" s="25"/>
      <c r="B2812" s="25"/>
      <c r="C2812" s="25"/>
      <c r="D2812" s="25"/>
      <c r="E2812" s="25"/>
      <c r="F2812" s="17"/>
      <c r="G2812" s="18"/>
      <c r="H2812" s="18"/>
      <c r="I2812" s="18"/>
    </row>
    <row r="2813" ht="15">
      <c r="A2813" s="25"/>
      <c r="B2813" s="25"/>
      <c r="C2813" s="25"/>
      <c r="D2813" s="25"/>
      <c r="E2813" s="25"/>
      <c r="F2813" s="17"/>
      <c r="G2813" s="18"/>
      <c r="H2813" s="18"/>
      <c r="I2813" s="18"/>
    </row>
    <row r="2814" ht="15">
      <c r="A2814" s="25"/>
      <c r="B2814" s="25"/>
      <c r="C2814" s="25"/>
      <c r="D2814" s="25"/>
      <c r="E2814" s="25"/>
      <c r="F2814" s="17"/>
      <c r="G2814" s="18"/>
      <c r="H2814" s="18"/>
      <c r="I2814" s="18"/>
    </row>
    <row r="2815" ht="15">
      <c r="A2815" s="25"/>
      <c r="B2815" s="25"/>
      <c r="C2815" s="25"/>
      <c r="D2815" s="25"/>
      <c r="E2815" s="25"/>
      <c r="F2815" s="17"/>
      <c r="G2815" s="18"/>
      <c r="H2815" s="18"/>
      <c r="I2815" s="18"/>
    </row>
    <row r="2816" ht="15">
      <c r="A2816" s="25"/>
      <c r="B2816" s="25"/>
      <c r="C2816" s="25"/>
      <c r="D2816" s="25"/>
      <c r="E2816" s="25"/>
      <c r="F2816" s="17"/>
      <c r="G2816" s="18"/>
      <c r="H2816" s="18"/>
      <c r="I2816" s="18"/>
    </row>
    <row r="2817" ht="15">
      <c r="A2817" s="25"/>
      <c r="B2817" s="25"/>
      <c r="C2817" s="25"/>
      <c r="D2817" s="25"/>
      <c r="E2817" s="25"/>
      <c r="F2817" s="17"/>
      <c r="G2817" s="18"/>
      <c r="H2817" s="18"/>
      <c r="I2817" s="18"/>
    </row>
    <row r="2818" ht="15">
      <c r="A2818" s="25"/>
      <c r="B2818" s="25"/>
      <c r="C2818" s="25"/>
      <c r="D2818" s="25"/>
      <c r="E2818" s="25"/>
      <c r="F2818" s="17"/>
      <c r="G2818" s="18"/>
      <c r="H2818" s="18"/>
      <c r="I2818" s="18"/>
    </row>
    <row r="2819" ht="15">
      <c r="A2819" s="25"/>
      <c r="B2819" s="25"/>
      <c r="C2819" s="25"/>
      <c r="D2819" s="25"/>
      <c r="E2819" s="25"/>
      <c r="F2819" s="17"/>
      <c r="G2819" s="18"/>
      <c r="H2819" s="18"/>
      <c r="I2819" s="18"/>
    </row>
    <row r="2820" ht="15">
      <c r="A2820" s="25"/>
      <c r="B2820" s="25"/>
      <c r="C2820" s="25"/>
      <c r="D2820" s="25"/>
      <c r="E2820" s="25"/>
      <c r="F2820" s="17"/>
      <c r="G2820" s="18"/>
      <c r="H2820" s="18"/>
      <c r="I2820" s="18"/>
    </row>
    <row r="2821" ht="15">
      <c r="A2821" s="25"/>
      <c r="B2821" s="25"/>
      <c r="C2821" s="25"/>
      <c r="D2821" s="25"/>
      <c r="E2821" s="25"/>
      <c r="F2821" s="17"/>
      <c r="G2821" s="18"/>
      <c r="H2821" s="18"/>
      <c r="I2821" s="18"/>
    </row>
    <row r="2822" ht="15">
      <c r="A2822" s="25"/>
      <c r="B2822" s="25"/>
      <c r="C2822" s="25"/>
      <c r="D2822" s="25"/>
      <c r="E2822" s="25"/>
      <c r="F2822" s="17"/>
      <c r="G2822" s="18"/>
      <c r="H2822" s="18"/>
      <c r="I2822" s="18"/>
    </row>
    <row r="2823" ht="15">
      <c r="A2823" s="25"/>
      <c r="B2823" s="25"/>
      <c r="C2823" s="25"/>
      <c r="D2823" s="25"/>
      <c r="E2823" s="25"/>
      <c r="F2823" s="17"/>
      <c r="G2823" s="18"/>
      <c r="H2823" s="18"/>
      <c r="I2823" s="18"/>
    </row>
    <row r="2824" ht="15">
      <c r="A2824" s="25"/>
      <c r="B2824" s="25"/>
      <c r="C2824" s="25"/>
      <c r="D2824" s="25"/>
      <c r="E2824" s="25"/>
      <c r="F2824" s="17"/>
      <c r="G2824" s="18"/>
      <c r="H2824" s="18"/>
      <c r="I2824" s="18"/>
    </row>
    <row r="2825" ht="15">
      <c r="A2825" s="25"/>
      <c r="B2825" s="25"/>
      <c r="C2825" s="25"/>
      <c r="D2825" s="25"/>
      <c r="E2825" s="25"/>
      <c r="F2825" s="17"/>
      <c r="G2825" s="18"/>
      <c r="H2825" s="18"/>
      <c r="I2825" s="18"/>
    </row>
    <row r="2826" ht="15">
      <c r="A2826" s="25"/>
      <c r="B2826" s="25"/>
      <c r="C2826" s="25"/>
      <c r="D2826" s="25"/>
      <c r="E2826" s="25"/>
      <c r="F2826" s="17"/>
      <c r="G2826" s="18"/>
      <c r="H2826" s="18"/>
      <c r="I2826" s="18"/>
    </row>
    <row r="2827" ht="15">
      <c r="A2827" s="25"/>
      <c r="B2827" s="25"/>
      <c r="C2827" s="25"/>
      <c r="D2827" s="25"/>
      <c r="E2827" s="25"/>
      <c r="F2827" s="17"/>
      <c r="G2827" s="18"/>
      <c r="H2827" s="18"/>
      <c r="I2827" s="18"/>
    </row>
    <row r="2828" ht="15">
      <c r="A2828" s="25"/>
      <c r="B2828" s="25"/>
      <c r="C2828" s="25"/>
      <c r="D2828" s="25"/>
      <c r="E2828" s="25"/>
      <c r="F2828" s="17"/>
      <c r="G2828" s="18"/>
      <c r="H2828" s="18"/>
      <c r="I2828" s="18"/>
    </row>
    <row r="2829" ht="15">
      <c r="A2829" s="25"/>
      <c r="B2829" s="25"/>
      <c r="C2829" s="25"/>
      <c r="D2829" s="25"/>
      <c r="E2829" s="25"/>
      <c r="F2829" s="17"/>
      <c r="G2829" s="18"/>
      <c r="H2829" s="18"/>
      <c r="I2829" s="18"/>
    </row>
    <row r="2830" ht="15">
      <c r="A2830" s="25"/>
      <c r="B2830" s="25"/>
      <c r="C2830" s="25"/>
      <c r="D2830" s="25"/>
      <c r="E2830" s="25"/>
      <c r="F2830" s="17"/>
      <c r="G2830" s="18"/>
      <c r="H2830" s="18"/>
      <c r="I2830" s="18"/>
    </row>
    <row r="2831" ht="15">
      <c r="A2831" s="25"/>
      <c r="B2831" s="25"/>
      <c r="C2831" s="25"/>
      <c r="D2831" s="25"/>
      <c r="E2831" s="25"/>
      <c r="F2831" s="17"/>
      <c r="G2831" s="18"/>
      <c r="H2831" s="18"/>
      <c r="I2831" s="18"/>
    </row>
    <row r="2832" ht="15">
      <c r="A2832" s="25"/>
      <c r="B2832" s="25"/>
      <c r="C2832" s="25"/>
      <c r="D2832" s="25"/>
      <c r="E2832" s="25"/>
      <c r="F2832" s="17"/>
      <c r="G2832" s="18"/>
      <c r="H2832" s="18"/>
      <c r="I2832" s="18"/>
    </row>
    <row r="2833" ht="15">
      <c r="A2833" s="25"/>
      <c r="B2833" s="25"/>
      <c r="C2833" s="25"/>
      <c r="D2833" s="25"/>
      <c r="E2833" s="25"/>
      <c r="F2833" s="17"/>
      <c r="G2833" s="18"/>
      <c r="H2833" s="18"/>
      <c r="I2833" s="18"/>
    </row>
    <row r="2834" ht="15">
      <c r="A2834" s="25"/>
      <c r="B2834" s="25"/>
      <c r="C2834" s="25"/>
      <c r="D2834" s="25"/>
      <c r="E2834" s="25"/>
      <c r="F2834" s="17"/>
      <c r="G2834" s="18"/>
      <c r="H2834" s="18"/>
      <c r="I2834" s="18"/>
    </row>
    <row r="2835" ht="15">
      <c r="A2835" s="25"/>
      <c r="B2835" s="25"/>
      <c r="C2835" s="25"/>
      <c r="D2835" s="25"/>
      <c r="E2835" s="25"/>
      <c r="F2835" s="17"/>
      <c r="G2835" s="18"/>
      <c r="H2835" s="18"/>
      <c r="I2835" s="18"/>
    </row>
    <row r="2836" ht="15">
      <c r="A2836" s="25"/>
      <c r="B2836" s="25"/>
      <c r="C2836" s="25"/>
      <c r="D2836" s="25"/>
      <c r="E2836" s="25"/>
      <c r="F2836" s="17"/>
      <c r="G2836" s="18"/>
      <c r="H2836" s="18"/>
      <c r="I2836" s="18"/>
    </row>
    <row r="2837" ht="15">
      <c r="A2837" s="25"/>
      <c r="B2837" s="25"/>
      <c r="C2837" s="25"/>
      <c r="D2837" s="25"/>
      <c r="E2837" s="25"/>
      <c r="F2837" s="17"/>
      <c r="G2837" s="18"/>
      <c r="H2837" s="18"/>
      <c r="I2837" s="18"/>
    </row>
    <row r="2838" ht="15">
      <c r="A2838" s="25"/>
      <c r="B2838" s="25"/>
      <c r="C2838" s="25"/>
      <c r="D2838" s="25"/>
      <c r="E2838" s="25"/>
      <c r="F2838" s="17"/>
      <c r="G2838" s="18"/>
      <c r="H2838" s="18"/>
      <c r="I2838" s="18"/>
    </row>
    <row r="2839" ht="15">
      <c r="A2839" s="25"/>
      <c r="B2839" s="25"/>
      <c r="C2839" s="25"/>
      <c r="D2839" s="25"/>
      <c r="E2839" s="25"/>
      <c r="F2839" s="17"/>
      <c r="G2839" s="18"/>
      <c r="H2839" s="18"/>
      <c r="I2839" s="18"/>
    </row>
    <row r="2840" ht="15">
      <c r="A2840" s="25"/>
      <c r="B2840" s="25"/>
      <c r="C2840" s="25"/>
      <c r="D2840" s="25"/>
      <c r="E2840" s="25"/>
      <c r="F2840" s="17"/>
      <c r="G2840" s="18"/>
      <c r="H2840" s="18"/>
      <c r="I2840" s="18"/>
    </row>
    <row r="2841" ht="15">
      <c r="A2841" s="25"/>
      <c r="B2841" s="25"/>
      <c r="C2841" s="25"/>
      <c r="D2841" s="25"/>
      <c r="E2841" s="25"/>
      <c r="F2841" s="17"/>
      <c r="G2841" s="18"/>
      <c r="H2841" s="18"/>
      <c r="I2841" s="18"/>
    </row>
    <row r="2842" ht="15">
      <c r="A2842" s="25"/>
      <c r="B2842" s="25"/>
      <c r="C2842" s="25"/>
      <c r="D2842" s="25"/>
      <c r="E2842" s="25"/>
      <c r="F2842" s="17"/>
      <c r="G2842" s="18"/>
      <c r="H2842" s="18"/>
      <c r="I2842" s="18"/>
    </row>
    <row r="2843" ht="15">
      <c r="A2843" s="25"/>
      <c r="B2843" s="25"/>
      <c r="C2843" s="25"/>
      <c r="D2843" s="25"/>
      <c r="E2843" s="25"/>
      <c r="F2843" s="17"/>
      <c r="G2843" s="18"/>
      <c r="H2843" s="18"/>
      <c r="I2843" s="18"/>
    </row>
    <row r="2844" ht="15">
      <c r="A2844" s="25"/>
      <c r="B2844" s="25"/>
      <c r="C2844" s="25"/>
      <c r="D2844" s="25"/>
      <c r="E2844" s="25"/>
      <c r="F2844" s="17"/>
      <c r="G2844" s="18"/>
      <c r="H2844" s="18"/>
      <c r="I2844" s="18"/>
    </row>
    <row r="2845" ht="15">
      <c r="A2845" s="25"/>
      <c r="B2845" s="25"/>
      <c r="C2845" s="25"/>
      <c r="D2845" s="25"/>
      <c r="E2845" s="25"/>
      <c r="F2845" s="17"/>
      <c r="G2845" s="18"/>
      <c r="H2845" s="18"/>
      <c r="I2845" s="18"/>
    </row>
    <row r="2846" ht="15">
      <c r="A2846" s="25"/>
      <c r="B2846" s="25"/>
      <c r="C2846" s="25"/>
      <c r="D2846" s="25"/>
      <c r="E2846" s="25"/>
      <c r="F2846" s="17"/>
      <c r="G2846" s="18"/>
      <c r="H2846" s="18"/>
      <c r="I2846" s="18"/>
    </row>
    <row r="2847" ht="15">
      <c r="A2847" s="25"/>
      <c r="B2847" s="25"/>
      <c r="C2847" s="25"/>
      <c r="D2847" s="25"/>
      <c r="E2847" s="25"/>
      <c r="F2847" s="17"/>
      <c r="G2847" s="18"/>
      <c r="H2847" s="18"/>
      <c r="I2847" s="18"/>
    </row>
    <row r="2848" ht="15">
      <c r="A2848" s="25"/>
      <c r="B2848" s="25"/>
      <c r="C2848" s="25"/>
      <c r="D2848" s="25"/>
      <c r="E2848" s="25"/>
      <c r="F2848" s="17"/>
      <c r="G2848" s="18"/>
      <c r="H2848" s="18"/>
      <c r="I2848" s="18"/>
    </row>
    <row r="2849" ht="15">
      <c r="A2849" s="25"/>
      <c r="B2849" s="25"/>
      <c r="C2849" s="25"/>
      <c r="D2849" s="25"/>
      <c r="E2849" s="25"/>
      <c r="F2849" s="17"/>
      <c r="G2849" s="18"/>
      <c r="H2849" s="18"/>
      <c r="I2849" s="18"/>
    </row>
    <row r="2850" ht="15">
      <c r="A2850" s="25"/>
      <c r="B2850" s="25"/>
      <c r="C2850" s="25"/>
      <c r="D2850" s="25"/>
      <c r="E2850" s="25"/>
      <c r="F2850" s="17"/>
      <c r="G2850" s="18"/>
      <c r="H2850" s="18"/>
      <c r="I2850" s="18"/>
    </row>
    <row r="2851" ht="15">
      <c r="A2851" s="25"/>
      <c r="B2851" s="25"/>
      <c r="C2851" s="25"/>
      <c r="D2851" s="25"/>
      <c r="E2851" s="25"/>
      <c r="F2851" s="17"/>
      <c r="G2851" s="18"/>
      <c r="H2851" s="18"/>
      <c r="I2851" s="18"/>
    </row>
    <row r="2852" ht="15">
      <c r="A2852" s="25"/>
      <c r="B2852" s="25"/>
      <c r="C2852" s="25"/>
      <c r="D2852" s="25"/>
      <c r="E2852" s="25"/>
      <c r="F2852" s="17"/>
      <c r="G2852" s="18"/>
      <c r="H2852" s="18"/>
      <c r="I2852" s="18"/>
    </row>
    <row r="2853" ht="15">
      <c r="A2853" s="25"/>
      <c r="B2853" s="25"/>
      <c r="C2853" s="25"/>
      <c r="D2853" s="25"/>
      <c r="E2853" s="25"/>
      <c r="F2853" s="17"/>
      <c r="G2853" s="18"/>
      <c r="H2853" s="18"/>
      <c r="I2853" s="18"/>
    </row>
    <row r="2854" ht="15">
      <c r="A2854" s="25"/>
      <c r="B2854" s="25"/>
      <c r="C2854" s="25"/>
      <c r="D2854" s="25"/>
      <c r="E2854" s="25"/>
      <c r="F2854" s="17"/>
      <c r="G2854" s="18"/>
      <c r="H2854" s="18"/>
      <c r="I2854" s="18"/>
    </row>
    <row r="2855" ht="15">
      <c r="A2855" s="25"/>
      <c r="B2855" s="25"/>
      <c r="C2855" s="25"/>
      <c r="D2855" s="25"/>
      <c r="E2855" s="25"/>
      <c r="F2855" s="17"/>
      <c r="G2855" s="18"/>
      <c r="H2855" s="18"/>
      <c r="I2855" s="18"/>
    </row>
    <row r="2856" ht="15">
      <c r="A2856" s="25"/>
      <c r="B2856" s="25"/>
      <c r="C2856" s="25"/>
      <c r="D2856" s="25"/>
      <c r="E2856" s="25"/>
      <c r="F2856" s="17"/>
      <c r="G2856" s="18"/>
      <c r="H2856" s="18"/>
      <c r="I2856" s="18"/>
    </row>
    <row r="2857" ht="15">
      <c r="A2857" s="25"/>
      <c r="B2857" s="25"/>
      <c r="C2857" s="25"/>
      <c r="D2857" s="25"/>
      <c r="E2857" s="25"/>
      <c r="F2857" s="17"/>
      <c r="G2857" s="18"/>
      <c r="H2857" s="18"/>
      <c r="I2857" s="18"/>
    </row>
    <row r="2858" ht="15">
      <c r="A2858" s="25"/>
      <c r="B2858" s="25"/>
      <c r="C2858" s="25"/>
      <c r="D2858" s="25"/>
      <c r="E2858" s="25"/>
      <c r="F2858" s="17"/>
      <c r="G2858" s="18"/>
      <c r="H2858" s="18"/>
      <c r="I2858" s="18"/>
    </row>
    <row r="2859" ht="15">
      <c r="A2859" s="25"/>
      <c r="B2859" s="25"/>
      <c r="C2859" s="25"/>
      <c r="D2859" s="25"/>
      <c r="E2859" s="25"/>
      <c r="F2859" s="17"/>
      <c r="G2859" s="18"/>
      <c r="H2859" s="18"/>
      <c r="I2859" s="18"/>
    </row>
    <row r="2860" ht="15">
      <c r="A2860" s="25"/>
      <c r="B2860" s="25"/>
      <c r="C2860" s="25"/>
      <c r="D2860" s="25"/>
      <c r="E2860" s="25"/>
      <c r="F2860" s="17"/>
      <c r="G2860" s="18"/>
      <c r="H2860" s="18"/>
      <c r="I2860" s="18"/>
    </row>
    <row r="2861" ht="15">
      <c r="A2861" s="25"/>
      <c r="B2861" s="25"/>
      <c r="C2861" s="25"/>
      <c r="D2861" s="25"/>
      <c r="E2861" s="25"/>
      <c r="F2861" s="17"/>
      <c r="G2861" s="18"/>
      <c r="H2861" s="18"/>
      <c r="I2861" s="18"/>
    </row>
    <row r="2862" ht="15">
      <c r="A2862" s="25"/>
      <c r="B2862" s="25"/>
      <c r="C2862" s="25"/>
      <c r="D2862" s="25"/>
      <c r="E2862" s="25"/>
      <c r="F2862" s="17"/>
      <c r="G2862" s="18"/>
      <c r="H2862" s="18"/>
      <c r="I2862" s="18"/>
    </row>
    <row r="2863" ht="15">
      <c r="A2863" s="25"/>
      <c r="B2863" s="25"/>
      <c r="C2863" s="25"/>
      <c r="D2863" s="25"/>
      <c r="E2863" s="25"/>
      <c r="F2863" s="17"/>
      <c r="G2863" s="18"/>
      <c r="H2863" s="18"/>
      <c r="I2863" s="18"/>
    </row>
    <row r="2864" ht="15">
      <c r="A2864" s="25"/>
      <c r="B2864" s="25"/>
      <c r="C2864" s="25"/>
      <c r="D2864" s="25"/>
      <c r="E2864" s="25"/>
      <c r="F2864" s="17"/>
      <c r="G2864" s="18"/>
      <c r="H2864" s="18"/>
      <c r="I2864" s="18"/>
    </row>
    <row r="2865" ht="15">
      <c r="A2865" s="25"/>
      <c r="B2865" s="25"/>
      <c r="C2865" s="25"/>
      <c r="D2865" s="25"/>
      <c r="E2865" s="25"/>
      <c r="F2865" s="17"/>
      <c r="G2865" s="18"/>
      <c r="H2865" s="18"/>
      <c r="I2865" s="18"/>
    </row>
    <row r="2866" ht="15">
      <c r="A2866" s="25"/>
      <c r="B2866" s="25"/>
      <c r="C2866" s="25"/>
      <c r="D2866" s="25"/>
      <c r="E2866" s="25"/>
      <c r="F2866" s="17"/>
      <c r="G2866" s="18"/>
      <c r="H2866" s="18"/>
      <c r="I2866" s="18"/>
    </row>
    <row r="2867" ht="15">
      <c r="A2867" s="25"/>
      <c r="B2867" s="25"/>
      <c r="C2867" s="25"/>
      <c r="D2867" s="25"/>
      <c r="E2867" s="25"/>
      <c r="F2867" s="17"/>
      <c r="G2867" s="18"/>
      <c r="H2867" s="18"/>
      <c r="I2867" s="18"/>
    </row>
    <row r="2868" ht="15">
      <c r="A2868" s="25"/>
      <c r="B2868" s="25"/>
      <c r="C2868" s="25"/>
      <c r="D2868" s="25"/>
      <c r="E2868" s="25"/>
      <c r="F2868" s="17"/>
      <c r="G2868" s="18"/>
      <c r="H2868" s="18"/>
      <c r="I2868" s="18"/>
    </row>
    <row r="2869" ht="15">
      <c r="A2869" s="25"/>
      <c r="B2869" s="25"/>
      <c r="C2869" s="25"/>
      <c r="D2869" s="25"/>
      <c r="E2869" s="25"/>
      <c r="F2869" s="17"/>
      <c r="G2869" s="18"/>
      <c r="H2869" s="18"/>
      <c r="I2869" s="18"/>
    </row>
    <row r="2870" ht="15">
      <c r="A2870" s="25"/>
      <c r="B2870" s="25"/>
      <c r="C2870" s="25"/>
      <c r="D2870" s="25"/>
      <c r="E2870" s="25"/>
      <c r="F2870" s="17"/>
      <c r="G2870" s="18"/>
      <c r="H2870" s="18"/>
      <c r="I2870" s="18"/>
    </row>
    <row r="2871" ht="15">
      <c r="A2871" s="25"/>
      <c r="B2871" s="25"/>
      <c r="C2871" s="25"/>
      <c r="D2871" s="25"/>
      <c r="E2871" s="25"/>
      <c r="F2871" s="17"/>
      <c r="G2871" s="18"/>
      <c r="H2871" s="18"/>
      <c r="I2871" s="18"/>
    </row>
    <row r="2872" ht="15">
      <c r="A2872" s="25"/>
      <c r="B2872" s="25"/>
      <c r="C2872" s="25"/>
      <c r="D2872" s="25"/>
      <c r="E2872" s="25"/>
      <c r="F2872" s="17"/>
      <c r="G2872" s="18"/>
      <c r="H2872" s="18"/>
      <c r="I2872" s="18"/>
    </row>
    <row r="2873" ht="15">
      <c r="A2873" s="25"/>
      <c r="B2873" s="25"/>
      <c r="C2873" s="25"/>
      <c r="D2873" s="25"/>
      <c r="E2873" s="25"/>
      <c r="F2873" s="17"/>
      <c r="G2873" s="18"/>
      <c r="H2873" s="18"/>
      <c r="I2873" s="18"/>
    </row>
    <row r="2874" ht="15">
      <c r="A2874" s="25"/>
      <c r="B2874" s="25"/>
      <c r="C2874" s="25"/>
      <c r="D2874" s="25"/>
      <c r="E2874" s="25"/>
      <c r="F2874" s="17"/>
      <c r="G2874" s="18"/>
      <c r="H2874" s="18"/>
      <c r="I2874" s="18"/>
    </row>
    <row r="2875" ht="15">
      <c r="A2875" s="25"/>
      <c r="B2875" s="25"/>
      <c r="C2875" s="25"/>
      <c r="D2875" s="25"/>
      <c r="E2875" s="25"/>
      <c r="F2875" s="17"/>
      <c r="G2875" s="18"/>
      <c r="H2875" s="18"/>
      <c r="I2875" s="18"/>
    </row>
    <row r="2876" ht="15">
      <c r="A2876" s="25"/>
      <c r="B2876" s="25"/>
      <c r="C2876" s="25"/>
      <c r="D2876" s="25"/>
      <c r="E2876" s="25"/>
      <c r="F2876" s="17"/>
      <c r="G2876" s="18"/>
      <c r="H2876" s="18"/>
      <c r="I2876" s="18"/>
    </row>
    <row r="2877" ht="15">
      <c r="A2877" s="25"/>
      <c r="B2877" s="25"/>
      <c r="C2877" s="25"/>
      <c r="D2877" s="25"/>
      <c r="E2877" s="25"/>
      <c r="F2877" s="17"/>
      <c r="G2877" s="18"/>
      <c r="H2877" s="18"/>
      <c r="I2877" s="18"/>
    </row>
    <row r="2878" ht="15">
      <c r="A2878" s="25"/>
      <c r="B2878" s="25"/>
      <c r="C2878" s="25"/>
      <c r="D2878" s="25"/>
      <c r="E2878" s="25"/>
      <c r="F2878" s="17"/>
      <c r="G2878" s="18"/>
      <c r="H2878" s="18"/>
      <c r="I2878" s="18"/>
    </row>
    <row r="2879" ht="15">
      <c r="A2879" s="25"/>
      <c r="B2879" s="25"/>
      <c r="C2879" s="25"/>
      <c r="D2879" s="25"/>
      <c r="E2879" s="25"/>
      <c r="F2879" s="17"/>
      <c r="G2879" s="18"/>
      <c r="H2879" s="18"/>
      <c r="I2879" s="18"/>
    </row>
    <row r="2880" ht="15">
      <c r="A2880" s="25"/>
      <c r="B2880" s="25"/>
      <c r="C2880" s="25"/>
      <c r="D2880" s="25"/>
      <c r="E2880" s="25"/>
      <c r="F2880" s="17"/>
      <c r="G2880" s="18"/>
      <c r="H2880" s="18"/>
      <c r="I2880" s="18"/>
    </row>
    <row r="2881" ht="15">
      <c r="A2881" s="25"/>
      <c r="B2881" s="25"/>
      <c r="C2881" s="25"/>
      <c r="D2881" s="25"/>
      <c r="E2881" s="25"/>
      <c r="F2881" s="17"/>
      <c r="G2881" s="18"/>
      <c r="H2881" s="18"/>
      <c r="I2881" s="18"/>
    </row>
    <row r="2882" ht="15">
      <c r="A2882" s="25"/>
      <c r="B2882" s="25"/>
      <c r="C2882" s="25"/>
      <c r="D2882" s="25"/>
      <c r="E2882" s="25"/>
      <c r="F2882" s="17"/>
      <c r="G2882" s="18"/>
      <c r="H2882" s="18"/>
      <c r="I2882" s="18"/>
    </row>
    <row r="2883" ht="15">
      <c r="A2883" s="25"/>
      <c r="B2883" s="25"/>
      <c r="C2883" s="25"/>
      <c r="D2883" s="25"/>
      <c r="E2883" s="25"/>
      <c r="F2883" s="17"/>
      <c r="G2883" s="18"/>
      <c r="H2883" s="18"/>
      <c r="I2883" s="18"/>
    </row>
    <row r="2884" ht="15">
      <c r="A2884" s="25"/>
      <c r="B2884" s="25"/>
      <c r="C2884" s="25"/>
      <c r="D2884" s="25"/>
      <c r="E2884" s="25"/>
      <c r="F2884" s="17"/>
      <c r="G2884" s="18"/>
      <c r="H2884" s="18"/>
      <c r="I2884" s="18"/>
    </row>
    <row r="2885" ht="15">
      <c r="A2885" s="25"/>
      <c r="B2885" s="25"/>
      <c r="C2885" s="25"/>
      <c r="D2885" s="25"/>
      <c r="E2885" s="25"/>
      <c r="F2885" s="17"/>
      <c r="G2885" s="18"/>
      <c r="H2885" s="18"/>
      <c r="I2885" s="18"/>
    </row>
    <row r="2886" ht="15">
      <c r="A2886" s="25"/>
      <c r="B2886" s="25"/>
      <c r="C2886" s="25"/>
      <c r="D2886" s="25"/>
      <c r="E2886" s="25"/>
      <c r="F2886" s="17"/>
      <c r="G2886" s="18"/>
      <c r="H2886" s="18"/>
      <c r="I2886" s="18"/>
    </row>
    <row r="2887" ht="15">
      <c r="A2887" s="25"/>
      <c r="B2887" s="25"/>
      <c r="C2887" s="25"/>
      <c r="D2887" s="25"/>
      <c r="E2887" s="25"/>
      <c r="F2887" s="17"/>
      <c r="G2887" s="18"/>
      <c r="H2887" s="18"/>
      <c r="I2887" s="18"/>
    </row>
    <row r="2888" ht="15">
      <c r="A2888" s="25"/>
      <c r="B2888" s="25"/>
      <c r="C2888" s="25"/>
      <c r="D2888" s="25"/>
      <c r="E2888" s="25"/>
      <c r="F2888" s="17"/>
      <c r="G2888" s="18"/>
      <c r="H2888" s="18"/>
      <c r="I2888" s="18"/>
    </row>
    <row r="2889" ht="15">
      <c r="A2889" s="25"/>
      <c r="B2889" s="25"/>
      <c r="C2889" s="25"/>
      <c r="D2889" s="25"/>
      <c r="E2889" s="25"/>
      <c r="F2889" s="17"/>
      <c r="G2889" s="18"/>
      <c r="H2889" s="18"/>
      <c r="I2889" s="18"/>
    </row>
    <row r="2890" ht="15">
      <c r="A2890" s="25"/>
      <c r="B2890" s="25"/>
      <c r="C2890" s="25"/>
      <c r="D2890" s="25"/>
      <c r="E2890" s="25"/>
      <c r="F2890" s="17"/>
      <c r="G2890" s="18"/>
      <c r="H2890" s="18"/>
      <c r="I2890" s="18"/>
    </row>
    <row r="2891" ht="15">
      <c r="A2891" s="25"/>
      <c r="B2891" s="25"/>
      <c r="C2891" s="25"/>
      <c r="D2891" s="25"/>
      <c r="E2891" s="25"/>
      <c r="F2891" s="17"/>
      <c r="G2891" s="18"/>
      <c r="H2891" s="18"/>
      <c r="I2891" s="18"/>
    </row>
    <row r="2892" ht="15">
      <c r="A2892" s="25"/>
      <c r="B2892" s="25"/>
      <c r="C2892" s="25"/>
      <c r="D2892" s="25"/>
      <c r="E2892" s="25"/>
      <c r="F2892" s="17"/>
      <c r="G2892" s="18"/>
      <c r="H2892" s="18"/>
      <c r="I2892" s="18"/>
    </row>
    <row r="2893" ht="15">
      <c r="A2893" s="25"/>
      <c r="B2893" s="25"/>
      <c r="C2893" s="25"/>
      <c r="D2893" s="25"/>
      <c r="E2893" s="25"/>
      <c r="F2893" s="17"/>
      <c r="G2893" s="18"/>
      <c r="H2893" s="18"/>
      <c r="I2893" s="18"/>
    </row>
    <row r="2894" ht="15">
      <c r="A2894" s="25"/>
      <c r="B2894" s="25"/>
      <c r="C2894" s="25"/>
      <c r="D2894" s="25"/>
      <c r="E2894" s="25"/>
      <c r="F2894" s="17"/>
      <c r="G2894" s="18"/>
      <c r="H2894" s="18"/>
      <c r="I2894" s="18"/>
    </row>
    <row r="2895" ht="15">
      <c r="A2895" s="25"/>
      <c r="B2895" s="25"/>
      <c r="C2895" s="25"/>
      <c r="D2895" s="25"/>
      <c r="E2895" s="25"/>
      <c r="F2895" s="17"/>
      <c r="G2895" s="18"/>
      <c r="H2895" s="18"/>
      <c r="I2895" s="18"/>
    </row>
    <row r="2896" ht="15">
      <c r="A2896" s="25"/>
      <c r="B2896" s="25"/>
      <c r="C2896" s="25"/>
      <c r="D2896" s="25"/>
      <c r="E2896" s="25"/>
      <c r="F2896" s="17"/>
      <c r="G2896" s="18"/>
      <c r="H2896" s="18"/>
      <c r="I2896" s="18"/>
    </row>
    <row r="2897" ht="15">
      <c r="A2897" s="25"/>
      <c r="B2897" s="25"/>
      <c r="C2897" s="25"/>
      <c r="D2897" s="25"/>
      <c r="E2897" s="25"/>
      <c r="F2897" s="17"/>
      <c r="G2897" s="18"/>
      <c r="H2897" s="18"/>
      <c r="I2897" s="18"/>
    </row>
    <row r="2898" ht="15">
      <c r="A2898" s="25"/>
      <c r="B2898" s="25"/>
      <c r="C2898" s="25"/>
      <c r="D2898" s="25"/>
      <c r="E2898" s="25"/>
      <c r="F2898" s="17"/>
      <c r="G2898" s="18"/>
      <c r="H2898" s="18"/>
      <c r="I2898" s="18"/>
    </row>
    <row r="2899" ht="15">
      <c r="A2899" s="25"/>
      <c r="B2899" s="25"/>
      <c r="C2899" s="25"/>
      <c r="D2899" s="25"/>
      <c r="E2899" s="25"/>
      <c r="F2899" s="17"/>
      <c r="G2899" s="18"/>
      <c r="H2899" s="18"/>
      <c r="I2899" s="18"/>
    </row>
    <row r="2900" ht="15">
      <c r="A2900" s="25"/>
      <c r="B2900" s="25"/>
      <c r="C2900" s="25"/>
      <c r="D2900" s="25"/>
      <c r="E2900" s="25"/>
      <c r="F2900" s="17"/>
      <c r="G2900" s="18"/>
      <c r="H2900" s="18"/>
      <c r="I2900" s="18"/>
    </row>
    <row r="2901" ht="15">
      <c r="A2901" s="25"/>
      <c r="B2901" s="25"/>
      <c r="C2901" s="25"/>
      <c r="D2901" s="25"/>
      <c r="E2901" s="25"/>
      <c r="F2901" s="17"/>
      <c r="G2901" s="18"/>
      <c r="H2901" s="18"/>
      <c r="I2901" s="18"/>
    </row>
    <row r="2902" ht="15">
      <c r="A2902" s="25"/>
      <c r="B2902" s="25"/>
      <c r="C2902" s="25"/>
      <c r="D2902" s="25"/>
      <c r="E2902" s="25"/>
      <c r="F2902" s="17"/>
      <c r="G2902" s="18"/>
      <c r="H2902" s="18"/>
      <c r="I2902" s="18"/>
    </row>
    <row r="2903" ht="15">
      <c r="A2903" s="25"/>
      <c r="B2903" s="25"/>
      <c r="C2903" s="25"/>
      <c r="D2903" s="25"/>
      <c r="E2903" s="25"/>
      <c r="F2903" s="17"/>
      <c r="G2903" s="18"/>
      <c r="H2903" s="18"/>
      <c r="I2903" s="18"/>
    </row>
    <row r="2904" ht="15">
      <c r="A2904" s="25"/>
      <c r="B2904" s="25"/>
      <c r="C2904" s="25"/>
      <c r="D2904" s="25"/>
      <c r="E2904" s="25"/>
      <c r="F2904" s="17"/>
      <c r="G2904" s="18"/>
      <c r="H2904" s="18"/>
      <c r="I2904" s="18"/>
    </row>
    <row r="2905" ht="15">
      <c r="A2905" s="25"/>
      <c r="B2905" s="25"/>
      <c r="C2905" s="25"/>
      <c r="D2905" s="25"/>
      <c r="E2905" s="25"/>
      <c r="F2905" s="17"/>
      <c r="G2905" s="18"/>
      <c r="H2905" s="18"/>
      <c r="I2905" s="18"/>
    </row>
    <row r="2906" ht="15">
      <c r="A2906" s="25"/>
      <c r="B2906" s="25"/>
      <c r="C2906" s="25"/>
      <c r="D2906" s="25"/>
      <c r="E2906" s="25"/>
      <c r="F2906" s="17"/>
      <c r="G2906" s="18"/>
      <c r="H2906" s="18"/>
      <c r="I2906" s="18"/>
    </row>
    <row r="2907" ht="15">
      <c r="A2907" s="25"/>
      <c r="B2907" s="25"/>
      <c r="C2907" s="25"/>
      <c r="D2907" s="25"/>
      <c r="E2907" s="25"/>
      <c r="F2907" s="17"/>
      <c r="G2907" s="18"/>
      <c r="H2907" s="18"/>
      <c r="I2907" s="18"/>
    </row>
    <row r="2908" ht="15">
      <c r="A2908" s="25"/>
      <c r="B2908" s="25"/>
      <c r="C2908" s="25"/>
      <c r="D2908" s="25"/>
      <c r="E2908" s="25"/>
      <c r="F2908" s="17"/>
      <c r="G2908" s="18"/>
      <c r="H2908" s="18"/>
      <c r="I2908" s="18"/>
    </row>
    <row r="2909" ht="15">
      <c r="A2909" s="25"/>
      <c r="B2909" s="25"/>
      <c r="C2909" s="25"/>
      <c r="D2909" s="25"/>
      <c r="E2909" s="25"/>
      <c r="F2909" s="17"/>
      <c r="G2909" s="18"/>
      <c r="H2909" s="18"/>
      <c r="I2909" s="18"/>
    </row>
    <row r="2910" ht="15">
      <c r="A2910" s="25"/>
      <c r="B2910" s="25"/>
      <c r="C2910" s="25"/>
      <c r="D2910" s="25"/>
      <c r="E2910" s="25"/>
      <c r="F2910" s="17"/>
      <c r="G2910" s="18"/>
      <c r="H2910" s="18"/>
      <c r="I2910" s="18"/>
    </row>
    <row r="2911" ht="15">
      <c r="A2911" s="25"/>
      <c r="B2911" s="25"/>
      <c r="C2911" s="25"/>
      <c r="D2911" s="25"/>
      <c r="E2911" s="25"/>
      <c r="F2911" s="17"/>
      <c r="G2911" s="18"/>
      <c r="H2911" s="18"/>
      <c r="I2911" s="18"/>
    </row>
    <row r="2912" ht="15">
      <c r="A2912" s="25"/>
      <c r="B2912" s="25"/>
      <c r="C2912" s="25"/>
      <c r="D2912" s="25"/>
      <c r="E2912" s="25"/>
      <c r="F2912" s="17"/>
      <c r="G2912" s="18"/>
      <c r="H2912" s="18"/>
      <c r="I2912" s="18"/>
    </row>
    <row r="2913" ht="15">
      <c r="A2913" s="25"/>
      <c r="B2913" s="25"/>
      <c r="C2913" s="25"/>
      <c r="D2913" s="25"/>
      <c r="E2913" s="25"/>
      <c r="F2913" s="17"/>
      <c r="G2913" s="18"/>
      <c r="H2913" s="18"/>
      <c r="I2913" s="18"/>
    </row>
    <row r="2914" ht="15">
      <c r="A2914" s="25"/>
      <c r="B2914" s="25"/>
      <c r="C2914" s="25"/>
      <c r="D2914" s="25"/>
      <c r="E2914" s="25"/>
      <c r="F2914" s="17"/>
      <c r="G2914" s="18"/>
      <c r="H2914" s="18"/>
      <c r="I2914" s="18"/>
    </row>
    <row r="2915" ht="15">
      <c r="A2915" s="25"/>
      <c r="B2915" s="25"/>
      <c r="C2915" s="25"/>
      <c r="D2915" s="25"/>
      <c r="E2915" s="25"/>
      <c r="F2915" s="17"/>
      <c r="G2915" s="18"/>
      <c r="H2915" s="18"/>
      <c r="I2915" s="18"/>
    </row>
    <row r="2916" ht="15">
      <c r="A2916" s="25"/>
      <c r="B2916" s="25"/>
      <c r="C2916" s="25"/>
      <c r="D2916" s="25"/>
      <c r="E2916" s="25"/>
      <c r="F2916" s="17"/>
      <c r="G2916" s="18"/>
      <c r="H2916" s="18"/>
      <c r="I2916" s="18"/>
    </row>
    <row r="2917" ht="15">
      <c r="A2917" s="25"/>
      <c r="B2917" s="25"/>
      <c r="C2917" s="25"/>
      <c r="D2917" s="25"/>
      <c r="E2917" s="25"/>
      <c r="F2917" s="17"/>
      <c r="G2917" s="18"/>
      <c r="H2917" s="18"/>
      <c r="I2917" s="18"/>
    </row>
    <row r="2918" ht="15">
      <c r="A2918" s="25"/>
      <c r="B2918" s="25"/>
      <c r="C2918" s="25"/>
      <c r="D2918" s="25"/>
      <c r="E2918" s="25"/>
      <c r="F2918" s="17"/>
      <c r="G2918" s="18"/>
      <c r="H2918" s="18"/>
      <c r="I2918" s="18"/>
    </row>
    <row r="2919" ht="15">
      <c r="A2919" s="25"/>
      <c r="B2919" s="25"/>
      <c r="C2919" s="25"/>
      <c r="D2919" s="25"/>
      <c r="E2919" s="25"/>
      <c r="F2919" s="17"/>
      <c r="G2919" s="18"/>
      <c r="H2919" s="18"/>
      <c r="I2919" s="18"/>
    </row>
    <row r="2920" ht="15">
      <c r="A2920" s="25"/>
      <c r="B2920" s="25"/>
      <c r="C2920" s="25"/>
      <c r="D2920" s="25"/>
      <c r="E2920" s="25"/>
      <c r="F2920" s="17"/>
      <c r="G2920" s="18"/>
      <c r="H2920" s="18"/>
      <c r="I2920" s="18"/>
    </row>
    <row r="2921" ht="15">
      <c r="A2921" s="25"/>
      <c r="B2921" s="25"/>
      <c r="C2921" s="25"/>
      <c r="D2921" s="25"/>
      <c r="E2921" s="25"/>
      <c r="F2921" s="17"/>
      <c r="G2921" s="18"/>
      <c r="H2921" s="18"/>
      <c r="I2921" s="18"/>
    </row>
    <row r="2922" ht="15">
      <c r="A2922" s="25"/>
      <c r="B2922" s="25"/>
      <c r="C2922" s="25"/>
      <c r="D2922" s="25"/>
      <c r="E2922" s="25"/>
      <c r="F2922" s="17"/>
      <c r="G2922" s="18"/>
      <c r="H2922" s="18"/>
      <c r="I2922" s="18"/>
    </row>
    <row r="2923" ht="15">
      <c r="A2923" s="25"/>
      <c r="B2923" s="25"/>
      <c r="C2923" s="25"/>
      <c r="D2923" s="25"/>
      <c r="E2923" s="25"/>
      <c r="F2923" s="17"/>
      <c r="G2923" s="18"/>
      <c r="H2923" s="18"/>
      <c r="I2923" s="18"/>
    </row>
    <row r="2924" ht="15">
      <c r="A2924" s="25"/>
      <c r="B2924" s="25"/>
      <c r="C2924" s="25"/>
      <c r="D2924" s="25"/>
      <c r="E2924" s="25"/>
      <c r="F2924" s="17"/>
      <c r="G2924" s="18"/>
      <c r="H2924" s="18"/>
      <c r="I2924" s="18"/>
    </row>
    <row r="2925" ht="15">
      <c r="A2925" s="25"/>
      <c r="B2925" s="25"/>
      <c r="C2925" s="25"/>
      <c r="D2925" s="25"/>
      <c r="E2925" s="25"/>
      <c r="F2925" s="17"/>
      <c r="G2925" s="18"/>
      <c r="H2925" s="18"/>
      <c r="I2925" s="18"/>
    </row>
    <row r="2926" ht="15">
      <c r="A2926" s="25"/>
      <c r="B2926" s="25"/>
      <c r="C2926" s="25"/>
      <c r="D2926" s="25"/>
      <c r="E2926" s="25"/>
      <c r="F2926" s="17"/>
      <c r="G2926" s="18"/>
      <c r="H2926" s="18"/>
      <c r="I2926" s="18"/>
    </row>
    <row r="2927" ht="15">
      <c r="A2927" s="25"/>
      <c r="B2927" s="25"/>
      <c r="C2927" s="25"/>
      <c r="D2927" s="25"/>
      <c r="E2927" s="25"/>
      <c r="F2927" s="17"/>
      <c r="G2927" s="18"/>
      <c r="H2927" s="18"/>
      <c r="I2927" s="18"/>
    </row>
    <row r="2928" ht="15">
      <c r="A2928" s="25"/>
      <c r="B2928" s="25"/>
      <c r="C2928" s="25"/>
      <c r="D2928" s="25"/>
      <c r="E2928" s="25"/>
      <c r="F2928" s="17"/>
      <c r="G2928" s="18"/>
      <c r="H2928" s="18"/>
      <c r="I2928" s="18"/>
    </row>
    <row r="2929" ht="15">
      <c r="A2929" s="25"/>
      <c r="B2929" s="25"/>
      <c r="C2929" s="25"/>
      <c r="D2929" s="25"/>
      <c r="E2929" s="25"/>
      <c r="F2929" s="17"/>
      <c r="G2929" s="18"/>
      <c r="H2929" s="18"/>
      <c r="I2929" s="18"/>
    </row>
    <row r="2930" ht="15">
      <c r="A2930" s="25"/>
      <c r="B2930" s="25"/>
      <c r="C2930" s="25"/>
      <c r="D2930" s="25"/>
      <c r="E2930" s="25"/>
      <c r="F2930" s="17"/>
      <c r="G2930" s="18"/>
      <c r="H2930" s="18"/>
      <c r="I2930" s="18"/>
    </row>
    <row r="2931" ht="15">
      <c r="A2931" s="25"/>
      <c r="B2931" s="25"/>
      <c r="C2931" s="25"/>
      <c r="D2931" s="25"/>
      <c r="E2931" s="25"/>
      <c r="F2931" s="17"/>
      <c r="G2931" s="18"/>
      <c r="H2931" s="18"/>
      <c r="I2931" s="18"/>
    </row>
    <row r="2932" ht="15">
      <c r="A2932" s="25"/>
      <c r="B2932" s="25"/>
      <c r="C2932" s="25"/>
      <c r="D2932" s="25"/>
      <c r="E2932" s="25"/>
      <c r="F2932" s="17"/>
      <c r="G2932" s="18"/>
      <c r="H2932" s="18"/>
      <c r="I2932" s="18"/>
    </row>
    <row r="2933" ht="15">
      <c r="A2933" s="25"/>
      <c r="B2933" s="25"/>
      <c r="C2933" s="25"/>
      <c r="D2933" s="25"/>
      <c r="E2933" s="25"/>
      <c r="F2933" s="17"/>
      <c r="G2933" s="18"/>
      <c r="H2933" s="18"/>
      <c r="I2933" s="18"/>
    </row>
    <row r="2934" ht="15">
      <c r="A2934" s="25"/>
      <c r="B2934" s="25"/>
      <c r="C2934" s="25"/>
      <c r="D2934" s="25"/>
      <c r="E2934" s="25"/>
      <c r="F2934" s="17"/>
      <c r="G2934" s="18"/>
      <c r="H2934" s="18"/>
      <c r="I2934" s="18"/>
    </row>
    <row r="2935" ht="15">
      <c r="A2935" s="25"/>
      <c r="B2935" s="25"/>
      <c r="C2935" s="25"/>
      <c r="D2935" s="25"/>
      <c r="E2935" s="25"/>
      <c r="F2935" s="17"/>
      <c r="G2935" s="18"/>
      <c r="H2935" s="18"/>
      <c r="I2935" s="18"/>
    </row>
    <row r="2936" ht="15">
      <c r="A2936" s="25"/>
      <c r="B2936" s="25"/>
      <c r="C2936" s="25"/>
      <c r="D2936" s="25"/>
      <c r="E2936" s="25"/>
      <c r="F2936" s="17"/>
      <c r="G2936" s="18"/>
      <c r="H2936" s="18"/>
      <c r="I2936" s="18"/>
    </row>
    <row r="2937" ht="15">
      <c r="A2937" s="25"/>
      <c r="B2937" s="25"/>
      <c r="C2937" s="25"/>
      <c r="D2937" s="25"/>
      <c r="E2937" s="25"/>
      <c r="F2937" s="17"/>
      <c r="G2937" s="18"/>
      <c r="H2937" s="18"/>
      <c r="I2937" s="18"/>
    </row>
    <row r="2938" ht="15">
      <c r="A2938" s="25"/>
      <c r="B2938" s="25"/>
      <c r="C2938" s="25"/>
      <c r="D2938" s="25"/>
      <c r="E2938" s="25"/>
      <c r="F2938" s="17"/>
      <c r="G2938" s="18"/>
      <c r="H2938" s="18"/>
      <c r="I2938" s="18"/>
    </row>
    <row r="2939" ht="15">
      <c r="A2939" s="25"/>
      <c r="B2939" s="25"/>
      <c r="C2939" s="25"/>
      <c r="D2939" s="25"/>
      <c r="E2939" s="25"/>
      <c r="F2939" s="17"/>
      <c r="G2939" s="18"/>
      <c r="H2939" s="18"/>
      <c r="I2939" s="18"/>
    </row>
    <row r="2940" ht="15">
      <c r="A2940" s="25"/>
      <c r="B2940" s="25"/>
      <c r="C2940" s="25"/>
      <c r="D2940" s="25"/>
      <c r="E2940" s="25"/>
      <c r="F2940" s="17"/>
      <c r="G2940" s="18"/>
      <c r="H2940" s="18"/>
      <c r="I2940" s="18"/>
    </row>
    <row r="2941" ht="15">
      <c r="A2941" s="25"/>
      <c r="B2941" s="25"/>
      <c r="C2941" s="25"/>
      <c r="D2941" s="25"/>
      <c r="E2941" s="25"/>
      <c r="F2941" s="17"/>
      <c r="G2941" s="18"/>
      <c r="H2941" s="18"/>
      <c r="I2941" s="18"/>
    </row>
    <row r="2942" ht="15">
      <c r="A2942" s="25"/>
      <c r="B2942" s="25"/>
      <c r="C2942" s="25"/>
      <c r="D2942" s="25"/>
      <c r="E2942" s="25"/>
      <c r="F2942" s="17"/>
      <c r="G2942" s="18"/>
      <c r="H2942" s="18"/>
      <c r="I2942" s="18"/>
    </row>
    <row r="2943" ht="15">
      <c r="A2943" s="25"/>
      <c r="B2943" s="25"/>
      <c r="C2943" s="25"/>
      <c r="D2943" s="25"/>
      <c r="E2943" s="25"/>
      <c r="F2943" s="17"/>
      <c r="G2943" s="18"/>
      <c r="H2943" s="18"/>
      <c r="I2943" s="18"/>
    </row>
    <row r="2944" ht="15">
      <c r="A2944" s="25"/>
      <c r="B2944" s="25"/>
      <c r="C2944" s="25"/>
      <c r="D2944" s="25"/>
      <c r="E2944" s="25"/>
      <c r="F2944" s="17"/>
      <c r="G2944" s="18"/>
      <c r="H2944" s="18"/>
      <c r="I2944" s="18"/>
    </row>
    <row r="2945" ht="15">
      <c r="A2945" s="25"/>
      <c r="B2945" s="25"/>
      <c r="C2945" s="25"/>
      <c r="D2945" s="25"/>
      <c r="E2945" s="25"/>
      <c r="F2945" s="17"/>
      <c r="G2945" s="18"/>
      <c r="H2945" s="18"/>
      <c r="I2945" s="18"/>
    </row>
    <row r="2946" ht="15">
      <c r="A2946" s="25"/>
      <c r="B2946" s="25"/>
      <c r="C2946" s="25"/>
      <c r="D2946" s="25"/>
      <c r="E2946" s="25"/>
      <c r="F2946" s="17"/>
      <c r="G2946" s="18"/>
      <c r="H2946" s="18"/>
      <c r="I2946" s="18"/>
    </row>
    <row r="2947" ht="15">
      <c r="A2947" s="25"/>
      <c r="B2947" s="25"/>
      <c r="C2947" s="25"/>
      <c r="D2947" s="25"/>
      <c r="E2947" s="25"/>
      <c r="F2947" s="17"/>
      <c r="G2947" s="18"/>
      <c r="H2947" s="18"/>
      <c r="I2947" s="18"/>
    </row>
    <row r="2948" ht="15">
      <c r="A2948" s="25"/>
      <c r="B2948" s="25"/>
      <c r="C2948" s="25"/>
      <c r="D2948" s="25"/>
      <c r="E2948" s="25"/>
      <c r="F2948" s="17"/>
      <c r="G2948" s="18"/>
      <c r="H2948" s="18"/>
      <c r="I2948" s="18"/>
    </row>
    <row r="2949" ht="15">
      <c r="A2949" s="25"/>
      <c r="B2949" s="25"/>
      <c r="C2949" s="25"/>
      <c r="D2949" s="25"/>
      <c r="E2949" s="25"/>
      <c r="F2949" s="17"/>
      <c r="G2949" s="18"/>
      <c r="H2949" s="18"/>
      <c r="I2949" s="18"/>
    </row>
    <row r="2950" ht="15">
      <c r="A2950" s="25"/>
      <c r="B2950" s="25"/>
      <c r="C2950" s="25"/>
      <c r="D2950" s="25"/>
      <c r="E2950" s="25"/>
      <c r="F2950" s="17"/>
      <c r="G2950" s="18"/>
      <c r="H2950" s="18"/>
      <c r="I2950" s="18"/>
    </row>
    <row r="2951" ht="15">
      <c r="A2951" s="25"/>
      <c r="B2951" s="25"/>
      <c r="C2951" s="25"/>
      <c r="D2951" s="25"/>
      <c r="E2951" s="25"/>
      <c r="F2951" s="17"/>
      <c r="G2951" s="18"/>
      <c r="H2951" s="18"/>
      <c r="I2951" s="18"/>
    </row>
    <row r="2952" ht="15">
      <c r="A2952" s="25"/>
      <c r="B2952" s="25"/>
      <c r="C2952" s="25"/>
      <c r="D2952" s="25"/>
      <c r="E2952" s="25"/>
      <c r="F2952" s="17"/>
      <c r="G2952" s="18"/>
      <c r="H2952" s="18"/>
      <c r="I2952" s="18"/>
    </row>
    <row r="2953" ht="15">
      <c r="A2953" s="25"/>
      <c r="B2953" s="25"/>
      <c r="C2953" s="25"/>
      <c r="D2953" s="25"/>
      <c r="E2953" s="25"/>
      <c r="F2953" s="17"/>
      <c r="G2953" s="18"/>
      <c r="H2953" s="18"/>
      <c r="I2953" s="18"/>
    </row>
    <row r="2954" ht="15">
      <c r="A2954" s="25"/>
      <c r="B2954" s="25"/>
      <c r="C2954" s="25"/>
      <c r="D2954" s="25"/>
      <c r="E2954" s="25"/>
      <c r="F2954" s="17"/>
      <c r="G2954" s="18"/>
      <c r="H2954" s="18"/>
      <c r="I2954" s="18"/>
    </row>
    <row r="2955" ht="15">
      <c r="A2955" s="25"/>
      <c r="B2955" s="25"/>
      <c r="C2955" s="25"/>
      <c r="D2955" s="25"/>
      <c r="E2955" s="25"/>
      <c r="F2955" s="17"/>
      <c r="G2955" s="18"/>
      <c r="H2955" s="18"/>
      <c r="I2955" s="18"/>
    </row>
    <row r="2956" ht="15">
      <c r="A2956" s="25"/>
      <c r="B2956" s="25"/>
      <c r="C2956" s="25"/>
      <c r="D2956" s="25"/>
      <c r="E2956" s="25"/>
      <c r="F2956" s="17"/>
      <c r="G2956" s="18"/>
      <c r="H2956" s="18"/>
      <c r="I2956" s="18"/>
    </row>
    <row r="2957" ht="15">
      <c r="A2957" s="25"/>
      <c r="B2957" s="25"/>
      <c r="C2957" s="25"/>
      <c r="D2957" s="25"/>
      <c r="E2957" s="25"/>
      <c r="F2957" s="17"/>
      <c r="G2957" s="18"/>
      <c r="H2957" s="18"/>
      <c r="I2957" s="18"/>
    </row>
    <row r="2958" ht="15">
      <c r="A2958" s="25"/>
      <c r="B2958" s="25"/>
      <c r="C2958" s="25"/>
      <c r="D2958" s="25"/>
      <c r="E2958" s="25"/>
      <c r="F2958" s="17"/>
      <c r="G2958" s="18"/>
      <c r="H2958" s="18"/>
      <c r="I2958" s="18"/>
    </row>
    <row r="2959" ht="15">
      <c r="A2959" s="25"/>
      <c r="B2959" s="25"/>
      <c r="C2959" s="25"/>
      <c r="D2959" s="25"/>
      <c r="E2959" s="25"/>
      <c r="F2959" s="17"/>
      <c r="G2959" s="18"/>
      <c r="H2959" s="18"/>
      <c r="I2959" s="18"/>
    </row>
    <row r="2960" ht="15">
      <c r="A2960" s="25"/>
      <c r="B2960" s="25"/>
      <c r="C2960" s="25"/>
      <c r="D2960" s="25"/>
      <c r="E2960" s="25"/>
      <c r="F2960" s="17"/>
      <c r="G2960" s="18"/>
      <c r="H2960" s="18"/>
      <c r="I2960" s="18"/>
    </row>
    <row r="2961" ht="15">
      <c r="A2961" s="25"/>
      <c r="B2961" s="25"/>
      <c r="C2961" s="25"/>
      <c r="D2961" s="25"/>
      <c r="E2961" s="25"/>
      <c r="F2961" s="17"/>
      <c r="G2961" s="18"/>
      <c r="H2961" s="18"/>
      <c r="I2961" s="18"/>
    </row>
    <row r="2962" ht="15">
      <c r="A2962" s="25"/>
      <c r="B2962" s="25"/>
      <c r="C2962" s="25"/>
      <c r="D2962" s="25"/>
      <c r="E2962" s="25"/>
      <c r="F2962" s="17"/>
      <c r="G2962" s="18"/>
      <c r="H2962" s="18"/>
      <c r="I2962" s="18"/>
    </row>
    <row r="2963" ht="15">
      <c r="A2963" s="25"/>
      <c r="B2963" s="25"/>
      <c r="C2963" s="25"/>
      <c r="D2963" s="25"/>
      <c r="E2963" s="25"/>
      <c r="F2963" s="17"/>
      <c r="G2963" s="18"/>
      <c r="H2963" s="18"/>
      <c r="I2963" s="18"/>
    </row>
    <row r="2964" ht="15">
      <c r="A2964" s="25"/>
      <c r="B2964" s="25"/>
      <c r="C2964" s="25"/>
      <c r="D2964" s="25"/>
      <c r="E2964" s="25"/>
      <c r="F2964" s="17"/>
      <c r="G2964" s="18"/>
      <c r="H2964" s="18"/>
      <c r="I2964" s="18"/>
    </row>
    <row r="2965" ht="15">
      <c r="A2965" s="25"/>
      <c r="B2965" s="25"/>
      <c r="C2965" s="25"/>
      <c r="D2965" s="25"/>
      <c r="E2965" s="25"/>
      <c r="F2965" s="17"/>
      <c r="G2965" s="18"/>
      <c r="H2965" s="18"/>
      <c r="I2965" s="18"/>
    </row>
    <row r="2966" ht="15">
      <c r="A2966" s="25"/>
      <c r="B2966" s="25"/>
      <c r="C2966" s="25"/>
      <c r="D2966" s="25"/>
      <c r="E2966" s="25"/>
      <c r="F2966" s="17"/>
      <c r="G2966" s="18"/>
      <c r="H2966" s="18"/>
      <c r="I2966" s="18"/>
    </row>
    <row r="2967" ht="15">
      <c r="A2967" s="25"/>
      <c r="B2967" s="25"/>
      <c r="C2967" s="25"/>
      <c r="D2967" s="25"/>
      <c r="E2967" s="25"/>
      <c r="F2967" s="17"/>
      <c r="G2967" s="18"/>
      <c r="H2967" s="18"/>
      <c r="I2967" s="18"/>
    </row>
    <row r="2968" ht="15">
      <c r="A2968" s="25"/>
      <c r="B2968" s="25"/>
      <c r="C2968" s="25"/>
      <c r="D2968" s="25"/>
      <c r="E2968" s="25"/>
      <c r="F2968" s="17"/>
      <c r="G2968" s="18"/>
      <c r="H2968" s="18"/>
      <c r="I2968" s="18"/>
    </row>
    <row r="2969" ht="15">
      <c r="A2969" s="25"/>
      <c r="B2969" s="25"/>
      <c r="C2969" s="25"/>
      <c r="D2969" s="25"/>
      <c r="E2969" s="25"/>
      <c r="F2969" s="17"/>
      <c r="G2969" s="18"/>
      <c r="H2969" s="18"/>
      <c r="I2969" s="18"/>
    </row>
    <row r="2970" ht="15">
      <c r="A2970" s="25"/>
      <c r="B2970" s="25"/>
      <c r="C2970" s="25"/>
      <c r="D2970" s="25"/>
      <c r="E2970" s="25"/>
      <c r="F2970" s="17"/>
      <c r="G2970" s="18"/>
      <c r="H2970" s="18"/>
      <c r="I2970" s="18"/>
    </row>
    <row r="2971" ht="15">
      <c r="A2971" s="25"/>
      <c r="B2971" s="25"/>
      <c r="C2971" s="25"/>
      <c r="D2971" s="25"/>
      <c r="E2971" s="25"/>
      <c r="F2971" s="17"/>
      <c r="G2971" s="18"/>
      <c r="H2971" s="18"/>
      <c r="I2971" s="18"/>
    </row>
    <row r="2972" ht="15">
      <c r="A2972" s="25"/>
      <c r="B2972" s="25"/>
      <c r="C2972" s="25"/>
      <c r="D2972" s="25"/>
      <c r="E2972" s="25"/>
      <c r="F2972" s="17"/>
      <c r="G2972" s="18"/>
      <c r="H2972" s="18"/>
      <c r="I2972" s="18"/>
    </row>
    <row r="2973" ht="15">
      <c r="A2973" s="25"/>
      <c r="B2973" s="25"/>
      <c r="C2973" s="25"/>
      <c r="D2973" s="25"/>
      <c r="E2973" s="25"/>
      <c r="F2973" s="17"/>
      <c r="G2973" s="18"/>
      <c r="H2973" s="18"/>
      <c r="I2973" s="18"/>
    </row>
    <row r="2974" ht="15">
      <c r="A2974" s="25"/>
      <c r="B2974" s="25"/>
      <c r="C2974" s="25"/>
      <c r="D2974" s="25"/>
      <c r="E2974" s="25"/>
      <c r="F2974" s="17"/>
      <c r="G2974" s="18"/>
      <c r="H2974" s="18"/>
      <c r="I2974" s="18"/>
    </row>
    <row r="2975" ht="15">
      <c r="A2975" s="25"/>
      <c r="B2975" s="25"/>
      <c r="C2975" s="25"/>
      <c r="D2975" s="25"/>
      <c r="E2975" s="25"/>
      <c r="F2975" s="17"/>
      <c r="G2975" s="18"/>
      <c r="H2975" s="18"/>
      <c r="I2975" s="18"/>
    </row>
    <row r="2976" ht="15">
      <c r="A2976" s="25"/>
      <c r="B2976" s="25"/>
      <c r="C2976" s="25"/>
      <c r="D2976" s="25"/>
      <c r="E2976" s="25"/>
      <c r="F2976" s="17"/>
      <c r="G2976" s="18"/>
      <c r="H2976" s="18"/>
      <c r="I2976" s="18"/>
    </row>
    <row r="2977" ht="15">
      <c r="A2977" s="25"/>
      <c r="B2977" s="25"/>
      <c r="C2977" s="25"/>
      <c r="D2977" s="25"/>
      <c r="E2977" s="25"/>
      <c r="F2977" s="17"/>
      <c r="G2977" s="18"/>
      <c r="H2977" s="18"/>
      <c r="I2977" s="18"/>
    </row>
    <row r="2978" ht="15">
      <c r="A2978" s="25"/>
      <c r="B2978" s="25"/>
      <c r="C2978" s="25"/>
      <c r="D2978" s="25"/>
      <c r="E2978" s="25"/>
      <c r="F2978" s="17"/>
      <c r="G2978" s="18"/>
      <c r="H2978" s="18"/>
      <c r="I2978" s="18"/>
    </row>
    <row r="2979" ht="15">
      <c r="A2979" s="25"/>
      <c r="B2979" s="25"/>
      <c r="C2979" s="25"/>
      <c r="D2979" s="25"/>
      <c r="E2979" s="25"/>
      <c r="F2979" s="17"/>
      <c r="G2979" s="18"/>
      <c r="H2979" s="18"/>
      <c r="I2979" s="18"/>
    </row>
    <row r="2980" ht="15">
      <c r="A2980" s="25"/>
      <c r="B2980" s="25"/>
      <c r="C2980" s="25"/>
      <c r="D2980" s="25"/>
      <c r="E2980" s="25"/>
      <c r="F2980" s="17"/>
      <c r="G2980" s="18"/>
      <c r="H2980" s="18"/>
      <c r="I2980" s="18"/>
    </row>
    <row r="2981" ht="15">
      <c r="A2981" s="25"/>
      <c r="B2981" s="25"/>
      <c r="C2981" s="25"/>
      <c r="D2981" s="25"/>
      <c r="E2981" s="25"/>
      <c r="F2981" s="17"/>
      <c r="G2981" s="18"/>
      <c r="H2981" s="18"/>
      <c r="I2981" s="18"/>
    </row>
    <row r="2982" ht="15">
      <c r="A2982" s="25"/>
      <c r="B2982" s="25"/>
      <c r="C2982" s="25"/>
      <c r="D2982" s="25"/>
      <c r="E2982" s="25"/>
      <c r="F2982" s="17"/>
      <c r="G2982" s="18"/>
      <c r="H2982" s="18"/>
      <c r="I2982" s="18"/>
    </row>
    <row r="2983" ht="15">
      <c r="A2983" s="25"/>
      <c r="B2983" s="25"/>
      <c r="C2983" s="25"/>
      <c r="D2983" s="25"/>
      <c r="E2983" s="25"/>
      <c r="F2983" s="17"/>
      <c r="G2983" s="18"/>
      <c r="H2983" s="18"/>
      <c r="I2983" s="18"/>
    </row>
    <row r="2984" ht="15">
      <c r="A2984" s="25"/>
      <c r="B2984" s="25"/>
      <c r="C2984" s="25"/>
      <c r="D2984" s="25"/>
      <c r="E2984" s="25"/>
      <c r="F2984" s="17"/>
      <c r="G2984" s="18"/>
      <c r="H2984" s="18"/>
      <c r="I2984" s="18"/>
    </row>
    <row r="2985" ht="15">
      <c r="A2985" s="25"/>
      <c r="B2985" s="25"/>
      <c r="C2985" s="25"/>
      <c r="D2985" s="25"/>
      <c r="E2985" s="25"/>
      <c r="F2985" s="17"/>
      <c r="G2985" s="18"/>
      <c r="H2985" s="18"/>
      <c r="I2985" s="18"/>
    </row>
    <row r="2986" ht="15">
      <c r="A2986" s="25"/>
      <c r="B2986" s="25"/>
      <c r="C2986" s="25"/>
      <c r="D2986" s="25"/>
      <c r="E2986" s="25"/>
      <c r="F2986" s="17"/>
      <c r="G2986" s="18"/>
      <c r="H2986" s="18"/>
      <c r="I2986" s="18"/>
    </row>
    <row r="2987" ht="15">
      <c r="A2987" s="25"/>
      <c r="B2987" s="25"/>
      <c r="C2987" s="25"/>
      <c r="D2987" s="25"/>
      <c r="E2987" s="25"/>
      <c r="F2987" s="17"/>
      <c r="G2987" s="18"/>
      <c r="H2987" s="18"/>
      <c r="I2987" s="18"/>
    </row>
    <row r="2988" ht="15">
      <c r="A2988" s="25"/>
      <c r="B2988" s="25"/>
      <c r="C2988" s="25"/>
      <c r="D2988" s="25"/>
      <c r="E2988" s="25"/>
      <c r="F2988" s="17"/>
      <c r="G2988" s="18"/>
      <c r="H2988" s="18"/>
      <c r="I2988" s="18"/>
    </row>
    <row r="2989" ht="15">
      <c r="A2989" s="25"/>
      <c r="B2989" s="25"/>
      <c r="C2989" s="25"/>
      <c r="D2989" s="25"/>
      <c r="E2989" s="25"/>
      <c r="F2989" s="17"/>
      <c r="G2989" s="18"/>
      <c r="H2989" s="18"/>
      <c r="I2989" s="18"/>
    </row>
    <row r="2990" ht="15">
      <c r="A2990" s="25"/>
      <c r="B2990" s="25"/>
      <c r="C2990" s="25"/>
      <c r="D2990" s="25"/>
      <c r="E2990" s="25"/>
      <c r="F2990" s="17"/>
      <c r="G2990" s="18"/>
      <c r="H2990" s="18"/>
      <c r="I2990" s="18"/>
    </row>
    <row r="2991" ht="15">
      <c r="A2991" s="25"/>
      <c r="B2991" s="25"/>
      <c r="C2991" s="25"/>
      <c r="D2991" s="25"/>
      <c r="E2991" s="25"/>
      <c r="F2991" s="17"/>
      <c r="G2991" s="18"/>
      <c r="H2991" s="18"/>
      <c r="I2991" s="18"/>
    </row>
    <row r="2992" ht="15">
      <c r="A2992" s="25"/>
      <c r="B2992" s="25"/>
      <c r="C2992" s="25"/>
      <c r="D2992" s="25"/>
      <c r="E2992" s="25"/>
      <c r="F2992" s="17"/>
      <c r="G2992" s="18"/>
      <c r="H2992" s="18"/>
      <c r="I2992" s="18"/>
    </row>
    <row r="2993" ht="15">
      <c r="A2993" s="25"/>
      <c r="B2993" s="25"/>
      <c r="C2993" s="25"/>
      <c r="D2993" s="25"/>
      <c r="E2993" s="25"/>
      <c r="F2993" s="17"/>
      <c r="G2993" s="18"/>
      <c r="H2993" s="18"/>
      <c r="I2993" s="18"/>
    </row>
    <row r="2994" ht="15">
      <c r="A2994" s="25"/>
      <c r="B2994" s="25"/>
      <c r="C2994" s="25"/>
      <c r="D2994" s="25"/>
      <c r="E2994" s="25"/>
      <c r="F2994" s="17"/>
      <c r="G2994" s="18"/>
      <c r="H2994" s="18"/>
      <c r="I2994" s="18"/>
    </row>
    <row r="2995" ht="15">
      <c r="A2995" s="25"/>
      <c r="B2995" s="25"/>
      <c r="C2995" s="25"/>
      <c r="D2995" s="25"/>
      <c r="E2995" s="25"/>
      <c r="F2995" s="17"/>
      <c r="G2995" s="18"/>
      <c r="H2995" s="18"/>
      <c r="I2995" s="18"/>
    </row>
    <row r="2996" ht="15">
      <c r="A2996" s="25"/>
      <c r="B2996" s="25"/>
      <c r="C2996" s="25"/>
      <c r="D2996" s="25"/>
      <c r="E2996" s="25"/>
      <c r="F2996" s="17"/>
      <c r="G2996" s="18"/>
      <c r="H2996" s="18"/>
      <c r="I2996" s="18"/>
    </row>
    <row r="2997" ht="15">
      <c r="A2997" s="25"/>
      <c r="B2997" s="25"/>
      <c r="C2997" s="25"/>
      <c r="D2997" s="25"/>
      <c r="E2997" s="25"/>
      <c r="F2997" s="17"/>
      <c r="G2997" s="18"/>
      <c r="H2997" s="18"/>
      <c r="I2997" s="18"/>
    </row>
    <row r="2998" ht="15">
      <c r="A2998" s="25"/>
      <c r="B2998" s="25"/>
      <c r="C2998" s="25"/>
      <c r="D2998" s="25"/>
      <c r="E2998" s="25"/>
      <c r="F2998" s="17"/>
      <c r="G2998" s="18"/>
      <c r="H2998" s="18"/>
      <c r="I2998" s="18"/>
    </row>
    <row r="2999" ht="15">
      <c r="A2999" s="25"/>
      <c r="B2999" s="25"/>
      <c r="C2999" s="25"/>
      <c r="D2999" s="25"/>
      <c r="E2999" s="25"/>
      <c r="F2999" s="17"/>
      <c r="G2999" s="18"/>
      <c r="H2999" s="18"/>
      <c r="I2999" s="18"/>
    </row>
    <row r="3000" ht="15">
      <c r="A3000" s="25"/>
      <c r="B3000" s="25"/>
      <c r="C3000" s="25"/>
      <c r="D3000" s="25"/>
      <c r="E3000" s="25"/>
      <c r="F3000" s="17"/>
      <c r="G3000" s="18"/>
      <c r="H3000" s="18"/>
      <c r="I3000" s="18"/>
    </row>
    <row r="3001" ht="15">
      <c r="A3001" s="25"/>
      <c r="B3001" s="25"/>
      <c r="C3001" s="25"/>
      <c r="D3001" s="25"/>
      <c r="E3001" s="25"/>
      <c r="F3001" s="17"/>
      <c r="G3001" s="18"/>
      <c r="H3001" s="18"/>
      <c r="I3001" s="18"/>
    </row>
    <row r="3002" ht="15">
      <c r="A3002" s="25"/>
      <c r="B3002" s="25"/>
      <c r="C3002" s="25"/>
      <c r="D3002" s="25"/>
      <c r="E3002" s="25"/>
      <c r="F3002" s="17"/>
      <c r="G3002" s="18"/>
      <c r="H3002" s="18"/>
      <c r="I3002" s="18"/>
    </row>
    <row r="3003" ht="15">
      <c r="A3003" s="25"/>
      <c r="B3003" s="25"/>
      <c r="C3003" s="25"/>
      <c r="D3003" s="25"/>
      <c r="E3003" s="25"/>
      <c r="F3003" s="17"/>
      <c r="G3003" s="18"/>
      <c r="H3003" s="18"/>
      <c r="I3003" s="18"/>
    </row>
    <row r="3004" ht="15">
      <c r="A3004" s="25"/>
      <c r="B3004" s="25"/>
      <c r="C3004" s="25"/>
      <c r="D3004" s="25"/>
      <c r="E3004" s="25"/>
      <c r="F3004" s="17"/>
      <c r="G3004" s="18"/>
      <c r="H3004" s="18"/>
      <c r="I3004" s="18"/>
    </row>
    <row r="3005" ht="15">
      <c r="A3005" s="25"/>
      <c r="B3005" s="25"/>
      <c r="C3005" s="25"/>
      <c r="D3005" s="25"/>
      <c r="E3005" s="25"/>
      <c r="F3005" s="17"/>
      <c r="G3005" s="18"/>
      <c r="H3005" s="18"/>
      <c r="I3005" s="18"/>
    </row>
    <row r="3006" ht="15">
      <c r="A3006" s="25"/>
      <c r="B3006" s="25"/>
      <c r="C3006" s="25"/>
      <c r="D3006" s="25"/>
      <c r="E3006" s="25"/>
      <c r="F3006" s="17"/>
      <c r="G3006" s="18"/>
      <c r="H3006" s="18"/>
      <c r="I3006" s="18"/>
    </row>
    <row r="3007" ht="15">
      <c r="A3007" s="25"/>
      <c r="B3007" s="25"/>
      <c r="C3007" s="25"/>
      <c r="D3007" s="25"/>
      <c r="E3007" s="25"/>
      <c r="F3007" s="17"/>
      <c r="G3007" s="18"/>
      <c r="H3007" s="18"/>
      <c r="I3007" s="18"/>
    </row>
    <row r="3008" ht="15">
      <c r="A3008" s="25"/>
      <c r="B3008" s="25"/>
      <c r="C3008" s="25"/>
      <c r="D3008" s="25"/>
      <c r="E3008" s="25"/>
      <c r="F3008" s="17"/>
      <c r="G3008" s="18"/>
      <c r="H3008" s="18"/>
      <c r="I3008" s="18"/>
    </row>
    <row r="3009" ht="15">
      <c r="A3009" s="25"/>
      <c r="B3009" s="25"/>
      <c r="C3009" s="25"/>
      <c r="D3009" s="25"/>
      <c r="E3009" s="25"/>
      <c r="F3009" s="17"/>
      <c r="G3009" s="18"/>
      <c r="H3009" s="18"/>
      <c r="I3009" s="18"/>
    </row>
    <row r="3010" ht="15">
      <c r="A3010" s="25"/>
      <c r="B3010" s="25"/>
      <c r="C3010" s="25"/>
      <c r="D3010" s="25"/>
      <c r="E3010" s="25"/>
      <c r="F3010" s="17"/>
      <c r="G3010" s="18"/>
      <c r="H3010" s="18"/>
      <c r="I3010" s="18"/>
    </row>
    <row r="3011" ht="15">
      <c r="A3011" s="25"/>
      <c r="B3011" s="25"/>
      <c r="C3011" s="25"/>
      <c r="D3011" s="25"/>
      <c r="E3011" s="25"/>
      <c r="F3011" s="17"/>
      <c r="G3011" s="18"/>
      <c r="H3011" s="18"/>
      <c r="I3011" s="18"/>
    </row>
    <row r="3012" ht="15">
      <c r="A3012" s="25"/>
      <c r="B3012" s="25"/>
      <c r="C3012" s="25"/>
      <c r="D3012" s="25"/>
      <c r="E3012" s="25"/>
      <c r="F3012" s="17"/>
      <c r="G3012" s="18"/>
      <c r="H3012" s="18"/>
      <c r="I3012" s="18"/>
    </row>
    <row r="3013" ht="15">
      <c r="A3013" s="25"/>
      <c r="B3013" s="25"/>
      <c r="C3013" s="25"/>
      <c r="D3013" s="25"/>
      <c r="E3013" s="25"/>
      <c r="F3013" s="17"/>
      <c r="G3013" s="18"/>
      <c r="H3013" s="18"/>
      <c r="I3013" s="18"/>
    </row>
    <row r="3014" ht="15">
      <c r="A3014" s="25"/>
      <c r="B3014" s="25"/>
      <c r="C3014" s="25"/>
      <c r="D3014" s="25"/>
      <c r="E3014" s="25"/>
      <c r="F3014" s="17"/>
      <c r="G3014" s="18"/>
      <c r="H3014" s="18"/>
      <c r="I3014" s="18"/>
    </row>
    <row r="3015" ht="15">
      <c r="A3015" s="25"/>
      <c r="B3015" s="25"/>
      <c r="C3015" s="25"/>
      <c r="D3015" s="25"/>
      <c r="E3015" s="25"/>
      <c r="F3015" s="17"/>
      <c r="G3015" s="18"/>
      <c r="H3015" s="18"/>
      <c r="I3015" s="18"/>
    </row>
    <row r="3016" ht="15">
      <c r="A3016" s="25"/>
      <c r="B3016" s="25"/>
      <c r="C3016" s="25"/>
      <c r="D3016" s="25"/>
      <c r="E3016" s="25"/>
      <c r="F3016" s="17"/>
      <c r="G3016" s="18"/>
      <c r="H3016" s="18"/>
      <c r="I3016" s="18"/>
    </row>
    <row r="3017" ht="15">
      <c r="A3017" s="25"/>
      <c r="B3017" s="25"/>
      <c r="C3017" s="25"/>
      <c r="D3017" s="25"/>
      <c r="E3017" s="25"/>
      <c r="F3017" s="17"/>
      <c r="G3017" s="18"/>
      <c r="H3017" s="18"/>
      <c r="I3017" s="18"/>
    </row>
    <row r="3018" ht="15">
      <c r="A3018" s="25"/>
      <c r="B3018" s="25"/>
      <c r="C3018" s="25"/>
      <c r="D3018" s="25"/>
      <c r="E3018" s="25"/>
      <c r="F3018" s="17"/>
      <c r="G3018" s="18"/>
      <c r="H3018" s="18"/>
      <c r="I3018" s="18"/>
    </row>
    <row r="3019" ht="15">
      <c r="A3019" s="25"/>
      <c r="B3019" s="25"/>
      <c r="C3019" s="25"/>
      <c r="D3019" s="25"/>
      <c r="E3019" s="25"/>
      <c r="F3019" s="17"/>
      <c r="G3019" s="18"/>
      <c r="H3019" s="18"/>
      <c r="I3019" s="18"/>
    </row>
    <row r="3020" ht="15">
      <c r="A3020" s="25"/>
      <c r="B3020" s="25"/>
      <c r="C3020" s="25"/>
      <c r="D3020" s="25"/>
      <c r="E3020" s="25"/>
      <c r="F3020" s="17"/>
      <c r="G3020" s="18"/>
      <c r="H3020" s="18"/>
      <c r="I3020" s="18"/>
    </row>
    <row r="3021" ht="15">
      <c r="A3021" s="25"/>
      <c r="B3021" s="25"/>
      <c r="C3021" s="25"/>
      <c r="D3021" s="25"/>
      <c r="E3021" s="25"/>
      <c r="F3021" s="17"/>
      <c r="G3021" s="18"/>
      <c r="H3021" s="18"/>
      <c r="I3021" s="18"/>
    </row>
    <row r="3022" ht="15">
      <c r="A3022" s="25"/>
      <c r="B3022" s="25"/>
      <c r="C3022" s="25"/>
      <c r="D3022" s="25"/>
      <c r="E3022" s="25"/>
      <c r="F3022" s="17"/>
      <c r="G3022" s="18"/>
      <c r="H3022" s="18"/>
      <c r="I3022" s="18"/>
    </row>
    <row r="3023" ht="15">
      <c r="A3023" s="25"/>
      <c r="B3023" s="25"/>
      <c r="C3023" s="25"/>
      <c r="D3023" s="25"/>
      <c r="E3023" s="25"/>
      <c r="F3023" s="17"/>
      <c r="G3023" s="18"/>
      <c r="H3023" s="18"/>
      <c r="I3023" s="18"/>
    </row>
    <row r="3024" ht="15">
      <c r="A3024" s="25"/>
      <c r="B3024" s="25"/>
      <c r="C3024" s="25"/>
      <c r="D3024" s="25"/>
      <c r="E3024" s="25"/>
      <c r="F3024" s="17"/>
      <c r="G3024" s="18"/>
      <c r="H3024" s="18"/>
      <c r="I3024" s="18"/>
    </row>
    <row r="3025" ht="15">
      <c r="A3025" s="25"/>
      <c r="B3025" s="25"/>
      <c r="C3025" s="25"/>
      <c r="D3025" s="25"/>
      <c r="E3025" s="25"/>
      <c r="F3025" s="17"/>
      <c r="G3025" s="18"/>
      <c r="H3025" s="18"/>
      <c r="I3025" s="18"/>
    </row>
    <row r="3026" ht="15">
      <c r="A3026" s="25"/>
      <c r="B3026" s="25"/>
      <c r="C3026" s="25"/>
      <c r="D3026" s="25"/>
      <c r="E3026" s="25"/>
      <c r="F3026" s="17"/>
      <c r="G3026" s="18"/>
      <c r="H3026" s="18"/>
      <c r="I3026" s="18"/>
    </row>
    <row r="3027" ht="15">
      <c r="A3027" s="25"/>
      <c r="B3027" s="25"/>
      <c r="C3027" s="25"/>
      <c r="D3027" s="25"/>
      <c r="E3027" s="25"/>
      <c r="F3027" s="17"/>
      <c r="G3027" s="18"/>
      <c r="H3027" s="18"/>
      <c r="I3027" s="18"/>
    </row>
    <row r="3028" ht="15">
      <c r="A3028" s="25"/>
      <c r="B3028" s="25"/>
      <c r="C3028" s="25"/>
      <c r="D3028" s="25"/>
      <c r="E3028" s="25"/>
      <c r="F3028" s="17"/>
      <c r="G3028" s="18"/>
      <c r="H3028" s="18"/>
      <c r="I3028" s="18"/>
    </row>
    <row r="3029" ht="15">
      <c r="A3029" s="25"/>
      <c r="B3029" s="25"/>
      <c r="C3029" s="25"/>
      <c r="D3029" s="25"/>
      <c r="E3029" s="25"/>
      <c r="F3029" s="17"/>
      <c r="G3029" s="18"/>
      <c r="H3029" s="18"/>
      <c r="I3029" s="18"/>
    </row>
    <row r="3030" ht="15">
      <c r="A3030" s="25"/>
      <c r="B3030" s="25"/>
      <c r="C3030" s="25"/>
      <c r="D3030" s="25"/>
      <c r="E3030" s="25"/>
      <c r="F3030" s="17"/>
      <c r="G3030" s="18"/>
      <c r="H3030" s="18"/>
      <c r="I3030" s="18"/>
    </row>
    <row r="3031" ht="15">
      <c r="A3031" s="25"/>
      <c r="B3031" s="25"/>
      <c r="C3031" s="25"/>
      <c r="D3031" s="25"/>
      <c r="E3031" s="25"/>
      <c r="F3031" s="17"/>
      <c r="G3031" s="18"/>
      <c r="H3031" s="18"/>
      <c r="I3031" s="18"/>
    </row>
    <row r="3032" ht="15">
      <c r="A3032" s="25"/>
      <c r="B3032" s="25"/>
      <c r="C3032" s="25"/>
      <c r="D3032" s="25"/>
      <c r="E3032" s="25"/>
      <c r="F3032" s="17"/>
      <c r="G3032" s="18"/>
      <c r="H3032" s="18"/>
      <c r="I3032" s="18"/>
    </row>
    <row r="3033" ht="15">
      <c r="A3033" s="25"/>
      <c r="B3033" s="25"/>
      <c r="C3033" s="25"/>
      <c r="D3033" s="25"/>
      <c r="E3033" s="25"/>
      <c r="F3033" s="17"/>
      <c r="G3033" s="18"/>
      <c r="H3033" s="18"/>
      <c r="I3033" s="18"/>
    </row>
    <row r="3034" ht="15">
      <c r="A3034" s="25"/>
      <c r="B3034" s="25"/>
      <c r="C3034" s="25"/>
      <c r="D3034" s="25"/>
      <c r="E3034" s="25"/>
      <c r="F3034" s="17"/>
      <c r="G3034" s="18"/>
      <c r="H3034" s="18"/>
      <c r="I3034" s="18"/>
    </row>
    <row r="3035" ht="15">
      <c r="A3035" s="25"/>
      <c r="B3035" s="25"/>
      <c r="C3035" s="25"/>
      <c r="D3035" s="25"/>
      <c r="E3035" s="25"/>
      <c r="F3035" s="17"/>
      <c r="G3035" s="18"/>
      <c r="H3035" s="18"/>
      <c r="I3035" s="18"/>
    </row>
    <row r="3036" ht="15">
      <c r="A3036" s="25"/>
      <c r="B3036" s="25"/>
      <c r="C3036" s="25"/>
      <c r="D3036" s="25"/>
      <c r="E3036" s="25"/>
      <c r="F3036" s="17"/>
      <c r="G3036" s="18"/>
      <c r="H3036" s="18"/>
      <c r="I3036" s="18"/>
    </row>
    <row r="3037" ht="15">
      <c r="A3037" s="25"/>
      <c r="B3037" s="25"/>
      <c r="C3037" s="25"/>
      <c r="D3037" s="25"/>
      <c r="E3037" s="25"/>
      <c r="F3037" s="17"/>
      <c r="G3037" s="18"/>
      <c r="H3037" s="18"/>
      <c r="I3037" s="18"/>
    </row>
    <row r="3038" ht="15">
      <c r="A3038" s="25"/>
      <c r="B3038" s="25"/>
      <c r="C3038" s="25"/>
      <c r="D3038" s="25"/>
      <c r="E3038" s="25"/>
      <c r="F3038" s="17"/>
      <c r="G3038" s="18"/>
      <c r="H3038" s="18"/>
      <c r="I3038" s="18"/>
    </row>
    <row r="3039" ht="15">
      <c r="A3039" s="25"/>
      <c r="B3039" s="25"/>
      <c r="C3039" s="25"/>
      <c r="D3039" s="25"/>
      <c r="E3039" s="25"/>
      <c r="F3039" s="17"/>
      <c r="G3039" s="18"/>
      <c r="H3039" s="18"/>
      <c r="I3039" s="18"/>
    </row>
    <row r="3040" ht="15">
      <c r="A3040" s="25"/>
      <c r="B3040" s="25"/>
      <c r="C3040" s="25"/>
      <c r="D3040" s="25"/>
      <c r="E3040" s="25"/>
      <c r="F3040" s="17"/>
      <c r="G3040" s="18"/>
      <c r="H3040" s="18"/>
      <c r="I3040" s="18"/>
    </row>
    <row r="3041" ht="15">
      <c r="A3041" s="25"/>
      <c r="B3041" s="25"/>
      <c r="C3041" s="25"/>
      <c r="D3041" s="25"/>
      <c r="E3041" s="25"/>
      <c r="F3041" s="17"/>
      <c r="G3041" s="18"/>
      <c r="H3041" s="18"/>
      <c r="I3041" s="18"/>
    </row>
    <row r="3042" ht="15">
      <c r="A3042" s="25"/>
      <c r="B3042" s="25"/>
      <c r="C3042" s="25"/>
      <c r="D3042" s="25"/>
      <c r="E3042" s="25"/>
      <c r="F3042" s="17"/>
      <c r="G3042" s="18"/>
      <c r="H3042" s="18"/>
      <c r="I3042" s="18"/>
    </row>
    <row r="3043" ht="15">
      <c r="A3043" s="25"/>
      <c r="B3043" s="25"/>
      <c r="C3043" s="25"/>
      <c r="D3043" s="25"/>
      <c r="E3043" s="25"/>
      <c r="F3043" s="17"/>
      <c r="G3043" s="18"/>
      <c r="H3043" s="18"/>
      <c r="I3043" s="18"/>
    </row>
    <row r="3044" ht="15">
      <c r="A3044" s="25"/>
      <c r="B3044" s="25"/>
      <c r="C3044" s="25"/>
      <c r="D3044" s="25"/>
      <c r="E3044" s="25"/>
      <c r="F3044" s="17"/>
      <c r="G3044" s="18"/>
      <c r="H3044" s="18"/>
      <c r="I3044" s="18"/>
    </row>
    <row r="3045" ht="15">
      <c r="A3045" s="25"/>
      <c r="B3045" s="25"/>
      <c r="C3045" s="25"/>
      <c r="D3045" s="25"/>
      <c r="E3045" s="25"/>
      <c r="F3045" s="17"/>
      <c r="G3045" s="18"/>
      <c r="H3045" s="18"/>
      <c r="I3045" s="18"/>
    </row>
    <row r="3046" ht="15">
      <c r="A3046" s="25"/>
      <c r="B3046" s="25"/>
      <c r="C3046" s="25"/>
      <c r="D3046" s="25"/>
      <c r="E3046" s="25"/>
      <c r="F3046" s="17"/>
      <c r="G3046" s="18"/>
      <c r="H3046" s="18"/>
      <c r="I3046" s="18"/>
    </row>
    <row r="3047" ht="15">
      <c r="A3047" s="25"/>
      <c r="B3047" s="25"/>
      <c r="C3047" s="25"/>
      <c r="D3047" s="25"/>
      <c r="E3047" s="25"/>
      <c r="F3047" s="17"/>
      <c r="G3047" s="18"/>
      <c r="H3047" s="18"/>
      <c r="I3047" s="18"/>
    </row>
    <row r="3048" ht="15">
      <c r="A3048" s="25"/>
      <c r="B3048" s="25"/>
      <c r="C3048" s="25"/>
      <c r="D3048" s="25"/>
      <c r="E3048" s="25"/>
      <c r="F3048" s="17"/>
      <c r="G3048" s="18"/>
      <c r="H3048" s="18"/>
      <c r="I3048" s="18"/>
    </row>
    <row r="3049" ht="15">
      <c r="A3049" s="25"/>
      <c r="B3049" s="25"/>
      <c r="C3049" s="25"/>
      <c r="D3049" s="25"/>
      <c r="E3049" s="25"/>
      <c r="F3049" s="17"/>
      <c r="G3049" s="18"/>
      <c r="H3049" s="18"/>
      <c r="I3049" s="18"/>
    </row>
    <row r="3050" ht="15">
      <c r="A3050" s="25"/>
      <c r="B3050" s="25"/>
      <c r="C3050" s="25"/>
      <c r="D3050" s="25"/>
      <c r="E3050" s="25"/>
      <c r="F3050" s="17"/>
      <c r="G3050" s="18"/>
      <c r="H3050" s="18"/>
      <c r="I3050" s="18"/>
    </row>
    <row r="3051" ht="15">
      <c r="A3051" s="25"/>
      <c r="B3051" s="25"/>
      <c r="C3051" s="25"/>
      <c r="D3051" s="25"/>
      <c r="E3051" s="25"/>
      <c r="F3051" s="17"/>
      <c r="G3051" s="18"/>
      <c r="H3051" s="18"/>
      <c r="I3051" s="18"/>
    </row>
    <row r="3052" ht="15">
      <c r="A3052" s="25"/>
      <c r="B3052" s="25"/>
      <c r="C3052" s="25"/>
      <c r="D3052" s="25"/>
      <c r="E3052" s="25"/>
      <c r="F3052" s="17"/>
      <c r="G3052" s="18"/>
      <c r="H3052" s="18"/>
      <c r="I3052" s="18"/>
    </row>
    <row r="3053" ht="15">
      <c r="A3053" s="25"/>
      <c r="B3053" s="25"/>
      <c r="C3053" s="25"/>
      <c r="D3053" s="25"/>
      <c r="E3053" s="25"/>
      <c r="F3053" s="17"/>
      <c r="G3053" s="18"/>
      <c r="H3053" s="18"/>
      <c r="I3053" s="18"/>
    </row>
    <row r="3054" ht="15">
      <c r="A3054" s="25"/>
      <c r="B3054" s="25"/>
      <c r="C3054" s="25"/>
      <c r="D3054" s="25"/>
      <c r="E3054" s="25"/>
      <c r="F3054" s="17"/>
      <c r="G3054" s="18"/>
      <c r="H3054" s="18"/>
      <c r="I3054" s="18"/>
    </row>
    <row r="3055" ht="15">
      <c r="A3055" s="25"/>
      <c r="B3055" s="25"/>
      <c r="C3055" s="25"/>
      <c r="D3055" s="25"/>
      <c r="E3055" s="25"/>
      <c r="F3055" s="17"/>
      <c r="G3055" s="18"/>
      <c r="H3055" s="18"/>
      <c r="I3055" s="18"/>
    </row>
    <row r="3056" ht="15">
      <c r="A3056" s="25"/>
      <c r="B3056" s="25"/>
      <c r="C3056" s="25"/>
      <c r="D3056" s="25"/>
      <c r="E3056" s="25"/>
      <c r="F3056" s="17"/>
      <c r="G3056" s="18"/>
      <c r="H3056" s="18"/>
      <c r="I3056" s="18"/>
    </row>
    <row r="3057" ht="15">
      <c r="A3057" s="25"/>
      <c r="B3057" s="25"/>
      <c r="C3057" s="25"/>
      <c r="D3057" s="25"/>
      <c r="E3057" s="25"/>
      <c r="F3057" s="17"/>
      <c r="G3057" s="18"/>
      <c r="H3057" s="18"/>
      <c r="I3057" s="18"/>
    </row>
    <row r="3058" ht="15">
      <c r="A3058" s="25"/>
      <c r="B3058" s="25"/>
      <c r="C3058" s="25"/>
      <c r="D3058" s="25"/>
      <c r="E3058" s="25"/>
      <c r="F3058" s="17"/>
      <c r="G3058" s="18"/>
      <c r="H3058" s="18"/>
      <c r="I3058" s="18"/>
    </row>
    <row r="3059" ht="15">
      <c r="A3059" s="25"/>
      <c r="B3059" s="25"/>
      <c r="C3059" s="25"/>
      <c r="D3059" s="25"/>
      <c r="E3059" s="25"/>
      <c r="F3059" s="17"/>
      <c r="G3059" s="18"/>
      <c r="H3059" s="18"/>
      <c r="I3059" s="18"/>
    </row>
    <row r="3060" ht="15">
      <c r="A3060" s="25"/>
      <c r="B3060" s="25"/>
      <c r="C3060" s="25"/>
      <c r="D3060" s="25"/>
      <c r="E3060" s="25"/>
      <c r="F3060" s="17"/>
      <c r="G3060" s="18"/>
      <c r="H3060" s="18"/>
      <c r="I3060" s="18"/>
    </row>
    <row r="3061" ht="15">
      <c r="A3061" s="25"/>
      <c r="B3061" s="25"/>
      <c r="C3061" s="25"/>
      <c r="D3061" s="25"/>
      <c r="E3061" s="25"/>
      <c r="F3061" s="17"/>
      <c r="G3061" s="18"/>
      <c r="H3061" s="18"/>
      <c r="I3061" s="18"/>
    </row>
    <row r="3062" ht="15">
      <c r="A3062" s="25"/>
      <c r="B3062" s="25"/>
      <c r="C3062" s="25"/>
      <c r="D3062" s="25"/>
      <c r="E3062" s="25"/>
      <c r="F3062" s="17"/>
      <c r="G3062" s="18"/>
      <c r="H3062" s="18"/>
      <c r="I3062" s="18"/>
    </row>
    <row r="3063" ht="15">
      <c r="A3063" s="25"/>
      <c r="B3063" s="25"/>
      <c r="C3063" s="25"/>
      <c r="D3063" s="25"/>
      <c r="E3063" s="25"/>
      <c r="F3063" s="17"/>
      <c r="G3063" s="18"/>
      <c r="H3063" s="18"/>
      <c r="I3063" s="18"/>
    </row>
    <row r="3064" ht="15">
      <c r="A3064" s="25"/>
      <c r="B3064" s="25"/>
      <c r="C3064" s="25"/>
      <c r="D3064" s="25"/>
      <c r="E3064" s="25"/>
      <c r="F3064" s="17"/>
      <c r="G3064" s="18"/>
      <c r="H3064" s="18"/>
      <c r="I3064" s="18"/>
    </row>
    <row r="3065" ht="15">
      <c r="A3065" s="25"/>
      <c r="B3065" s="25"/>
      <c r="C3065" s="25"/>
      <c r="D3065" s="25"/>
      <c r="E3065" s="25"/>
      <c r="F3065" s="17"/>
      <c r="G3065" s="18"/>
      <c r="H3065" s="18"/>
      <c r="I3065" s="18"/>
    </row>
    <row r="3066" ht="15">
      <c r="A3066" s="25"/>
      <c r="B3066" s="25"/>
      <c r="C3066" s="25"/>
      <c r="D3066" s="25"/>
      <c r="E3066" s="25"/>
      <c r="F3066" s="17"/>
      <c r="G3066" s="18"/>
      <c r="H3066" s="18"/>
      <c r="I3066" s="18"/>
    </row>
    <row r="3067" ht="15">
      <c r="A3067" s="25"/>
      <c r="B3067" s="25"/>
      <c r="C3067" s="25"/>
      <c r="D3067" s="25"/>
      <c r="E3067" s="25"/>
      <c r="F3067" s="17"/>
      <c r="G3067" s="18"/>
      <c r="H3067" s="18"/>
      <c r="I3067" s="18"/>
    </row>
    <row r="3068" ht="15">
      <c r="A3068" s="25"/>
      <c r="B3068" s="25"/>
      <c r="C3068" s="25"/>
      <c r="D3068" s="25"/>
      <c r="E3068" s="25"/>
      <c r="F3068" s="17"/>
      <c r="G3068" s="18"/>
      <c r="H3068" s="18"/>
      <c r="I3068" s="18"/>
    </row>
    <row r="3069" ht="15">
      <c r="A3069" s="25"/>
      <c r="B3069" s="25"/>
      <c r="C3069" s="25"/>
      <c r="D3069" s="25"/>
      <c r="E3069" s="25"/>
      <c r="F3069" s="17"/>
      <c r="G3069" s="18"/>
      <c r="H3069" s="18"/>
      <c r="I3069" s="18"/>
    </row>
    <row r="3070" ht="15">
      <c r="A3070" s="25"/>
      <c r="B3070" s="25"/>
      <c r="C3070" s="25"/>
      <c r="D3070" s="25"/>
      <c r="E3070" s="25"/>
      <c r="F3070" s="17"/>
      <c r="G3070" s="18"/>
      <c r="H3070" s="18"/>
      <c r="I3070" s="18"/>
    </row>
    <row r="3071" ht="15">
      <c r="A3071" s="25"/>
      <c r="B3071" s="25"/>
      <c r="C3071" s="25"/>
      <c r="D3071" s="25"/>
      <c r="E3071" s="25"/>
      <c r="F3071" s="17"/>
      <c r="G3071" s="18"/>
      <c r="H3071" s="18"/>
      <c r="I3071" s="18"/>
    </row>
    <row r="3072" ht="15">
      <c r="A3072" s="25"/>
      <c r="B3072" s="25"/>
      <c r="C3072" s="25"/>
      <c r="D3072" s="25"/>
      <c r="E3072" s="25"/>
      <c r="F3072" s="17"/>
      <c r="G3072" s="18"/>
      <c r="H3072" s="18"/>
      <c r="I3072" s="18"/>
    </row>
    <row r="3073" ht="15">
      <c r="A3073" s="25"/>
      <c r="B3073" s="25"/>
      <c r="C3073" s="25"/>
      <c r="D3073" s="25"/>
      <c r="E3073" s="25"/>
      <c r="F3073" s="17"/>
      <c r="G3073" s="18"/>
      <c r="H3073" s="18"/>
      <c r="I3073" s="18"/>
    </row>
    <row r="3074" ht="15">
      <c r="A3074" s="25"/>
      <c r="B3074" s="25"/>
      <c r="C3074" s="25"/>
      <c r="D3074" s="25"/>
      <c r="E3074" s="25"/>
      <c r="F3074" s="17"/>
      <c r="G3074" s="18"/>
      <c r="H3074" s="18"/>
      <c r="I3074" s="18"/>
    </row>
    <row r="3075" ht="15">
      <c r="A3075" s="25"/>
      <c r="B3075" s="25"/>
      <c r="C3075" s="25"/>
      <c r="D3075" s="25"/>
      <c r="E3075" s="25"/>
      <c r="F3075" s="17"/>
      <c r="G3075" s="18"/>
      <c r="H3075" s="18"/>
      <c r="I3075" s="18"/>
    </row>
    <row r="3076" ht="15">
      <c r="A3076" s="25"/>
      <c r="B3076" s="25"/>
      <c r="C3076" s="25"/>
      <c r="D3076" s="25"/>
      <c r="E3076" s="25"/>
      <c r="F3076" s="17"/>
      <c r="G3076" s="18"/>
      <c r="H3076" s="18"/>
      <c r="I3076" s="18"/>
    </row>
    <row r="3077" ht="15">
      <c r="A3077" s="25"/>
      <c r="B3077" s="25"/>
      <c r="C3077" s="25"/>
      <c r="D3077" s="25"/>
      <c r="E3077" s="25"/>
      <c r="F3077" s="17"/>
      <c r="G3077" s="18"/>
      <c r="H3077" s="18"/>
      <c r="I3077" s="18"/>
    </row>
    <row r="3078" ht="15">
      <c r="A3078" s="25"/>
      <c r="B3078" s="25"/>
      <c r="C3078" s="25"/>
      <c r="D3078" s="25"/>
      <c r="E3078" s="25"/>
      <c r="F3078" s="17"/>
      <c r="G3078" s="18"/>
      <c r="H3078" s="18"/>
      <c r="I3078" s="18"/>
    </row>
    <row r="3079" ht="15">
      <c r="A3079" s="25"/>
      <c r="B3079" s="25"/>
      <c r="C3079" s="25"/>
      <c r="D3079" s="25"/>
      <c r="E3079" s="25"/>
      <c r="F3079" s="17"/>
      <c r="G3079" s="18"/>
      <c r="H3079" s="18"/>
      <c r="I3079" s="18"/>
    </row>
    <row r="3080" ht="15">
      <c r="A3080" s="25"/>
      <c r="B3080" s="25"/>
      <c r="C3080" s="25"/>
      <c r="D3080" s="25"/>
      <c r="E3080" s="25"/>
      <c r="F3080" s="17"/>
      <c r="G3080" s="18"/>
      <c r="H3080" s="18"/>
      <c r="I3080" s="18"/>
    </row>
    <row r="3081" ht="15">
      <c r="A3081" s="25"/>
      <c r="B3081" s="25"/>
      <c r="C3081" s="25"/>
      <c r="D3081" s="25"/>
      <c r="E3081" s="25"/>
      <c r="F3081" s="17"/>
      <c r="G3081" s="18"/>
      <c r="H3081" s="18"/>
      <c r="I3081" s="18"/>
    </row>
    <row r="3082" ht="15">
      <c r="A3082" s="25"/>
      <c r="B3082" s="25"/>
      <c r="C3082" s="25"/>
      <c r="D3082" s="25"/>
      <c r="E3082" s="25"/>
      <c r="F3082" s="17"/>
      <c r="G3082" s="18"/>
      <c r="H3082" s="18"/>
      <c r="I3082" s="18"/>
    </row>
    <row r="3083" ht="15">
      <c r="A3083" s="25"/>
      <c r="B3083" s="25"/>
      <c r="C3083" s="25"/>
      <c r="D3083" s="25"/>
      <c r="E3083" s="25"/>
      <c r="F3083" s="17"/>
      <c r="G3083" s="18"/>
      <c r="H3083" s="18"/>
      <c r="I3083" s="18"/>
    </row>
    <row r="3084" ht="15">
      <c r="A3084" s="25"/>
      <c r="B3084" s="25"/>
      <c r="C3084" s="25"/>
      <c r="D3084" s="25"/>
      <c r="E3084" s="25"/>
      <c r="F3084" s="17"/>
      <c r="G3084" s="18"/>
      <c r="H3084" s="18"/>
      <c r="I3084" s="18"/>
    </row>
    <row r="3085" ht="15">
      <c r="A3085" s="25"/>
      <c r="B3085" s="25"/>
      <c r="C3085" s="25"/>
      <c r="D3085" s="25"/>
      <c r="E3085" s="25"/>
      <c r="F3085" s="17"/>
      <c r="G3085" s="18"/>
      <c r="H3085" s="18"/>
      <c r="I3085" s="18"/>
    </row>
    <row r="3086" ht="15">
      <c r="A3086" s="25"/>
      <c r="B3086" s="25"/>
      <c r="C3086" s="25"/>
      <c r="D3086" s="25"/>
      <c r="E3086" s="25"/>
      <c r="F3086" s="17"/>
      <c r="G3086" s="18"/>
      <c r="H3086" s="18"/>
      <c r="I3086" s="18"/>
    </row>
    <row r="3087" ht="15">
      <c r="A3087" s="25"/>
      <c r="B3087" s="25"/>
      <c r="C3087" s="25"/>
      <c r="D3087" s="25"/>
      <c r="E3087" s="25"/>
      <c r="F3087" s="17"/>
      <c r="G3087" s="18"/>
      <c r="H3087" s="18"/>
      <c r="I3087" s="18"/>
    </row>
    <row r="3088" ht="15">
      <c r="A3088" s="25"/>
      <c r="B3088" s="25"/>
      <c r="C3088" s="25"/>
      <c r="D3088" s="25"/>
      <c r="E3088" s="25"/>
      <c r="F3088" s="17"/>
      <c r="G3088" s="18"/>
      <c r="H3088" s="18"/>
      <c r="I3088" s="18"/>
    </row>
    <row r="3089" ht="15">
      <c r="A3089" s="25"/>
      <c r="B3089" s="25"/>
      <c r="C3089" s="25"/>
      <c r="D3089" s="25"/>
      <c r="E3089" s="25"/>
      <c r="F3089" s="17"/>
      <c r="G3089" s="18"/>
      <c r="H3089" s="18"/>
      <c r="I3089" s="18"/>
    </row>
    <row r="3090" ht="15">
      <c r="A3090" s="25"/>
      <c r="B3090" s="25"/>
      <c r="C3090" s="25"/>
      <c r="D3090" s="25"/>
      <c r="E3090" s="25"/>
      <c r="F3090" s="17"/>
      <c r="G3090" s="18"/>
      <c r="H3090" s="18"/>
      <c r="I3090" s="18"/>
    </row>
    <row r="3091" ht="15">
      <c r="A3091" s="25"/>
      <c r="B3091" s="25"/>
      <c r="C3091" s="25"/>
      <c r="D3091" s="25"/>
      <c r="E3091" s="25"/>
      <c r="F3091" s="17"/>
      <c r="G3091" s="18"/>
      <c r="H3091" s="18"/>
      <c r="I3091" s="18"/>
    </row>
    <row r="3092" ht="15">
      <c r="A3092" s="25"/>
      <c r="B3092" s="25"/>
      <c r="C3092" s="25"/>
      <c r="D3092" s="25"/>
      <c r="E3092" s="25"/>
      <c r="F3092" s="17"/>
      <c r="G3092" s="18"/>
      <c r="H3092" s="18"/>
      <c r="I3092" s="18"/>
    </row>
    <row r="3093" ht="15">
      <c r="A3093" s="25"/>
      <c r="B3093" s="25"/>
      <c r="C3093" s="25"/>
      <c r="D3093" s="25"/>
      <c r="E3093" s="25"/>
      <c r="F3093" s="17"/>
      <c r="G3093" s="18"/>
      <c r="H3093" s="18"/>
      <c r="I3093" s="18"/>
    </row>
    <row r="3094" ht="15">
      <c r="A3094" s="25"/>
      <c r="B3094" s="25"/>
      <c r="C3094" s="25"/>
      <c r="D3094" s="25"/>
      <c r="E3094" s="25"/>
      <c r="F3094" s="17"/>
      <c r="G3094" s="18"/>
      <c r="H3094" s="18"/>
      <c r="I3094" s="18"/>
    </row>
    <row r="3095" ht="15">
      <c r="A3095" s="25"/>
      <c r="B3095" s="25"/>
      <c r="C3095" s="25"/>
      <c r="D3095" s="25"/>
      <c r="E3095" s="25"/>
      <c r="F3095" s="17"/>
      <c r="G3095" s="18"/>
      <c r="H3095" s="18"/>
      <c r="I3095" s="18"/>
    </row>
    <row r="3096" ht="15">
      <c r="A3096" s="25"/>
      <c r="B3096" s="25"/>
      <c r="C3096" s="25"/>
      <c r="D3096" s="25"/>
      <c r="E3096" s="25"/>
      <c r="F3096" s="17"/>
      <c r="G3096" s="18"/>
      <c r="H3096" s="18"/>
      <c r="I3096" s="18"/>
    </row>
    <row r="3097" ht="15">
      <c r="A3097" s="25"/>
      <c r="B3097" s="25"/>
      <c r="C3097" s="25"/>
      <c r="D3097" s="25"/>
      <c r="E3097" s="25"/>
      <c r="F3097" s="17"/>
      <c r="G3097" s="18"/>
      <c r="H3097" s="18"/>
      <c r="I3097" s="18"/>
    </row>
    <row r="3098" ht="15">
      <c r="A3098" s="25"/>
      <c r="B3098" s="25"/>
      <c r="C3098" s="25"/>
      <c r="D3098" s="25"/>
      <c r="E3098" s="25"/>
      <c r="F3098" s="17"/>
      <c r="G3098" s="18"/>
      <c r="H3098" s="18"/>
      <c r="I3098" s="18"/>
    </row>
    <row r="3099" ht="15">
      <c r="A3099" s="25"/>
      <c r="B3099" s="25"/>
      <c r="C3099" s="25"/>
      <c r="D3099" s="25"/>
      <c r="E3099" s="25"/>
      <c r="F3099" s="17"/>
      <c r="G3099" s="18"/>
      <c r="H3099" s="18"/>
      <c r="I3099" s="18"/>
    </row>
    <row r="3100" ht="15">
      <c r="A3100" s="25"/>
      <c r="B3100" s="25"/>
      <c r="C3100" s="25"/>
      <c r="D3100" s="25"/>
      <c r="E3100" s="25"/>
      <c r="F3100" s="17"/>
      <c r="G3100" s="18"/>
      <c r="H3100" s="18"/>
      <c r="I3100" s="18"/>
    </row>
    <row r="3101" ht="15">
      <c r="A3101" s="25"/>
      <c r="B3101" s="25"/>
      <c r="C3101" s="25"/>
      <c r="D3101" s="25"/>
      <c r="E3101" s="25"/>
      <c r="F3101" s="17"/>
      <c r="G3101" s="18"/>
      <c r="H3101" s="18"/>
      <c r="I3101" s="18"/>
    </row>
    <row r="3102" ht="15">
      <c r="A3102" s="25"/>
      <c r="B3102" s="25"/>
      <c r="C3102" s="25"/>
      <c r="D3102" s="25"/>
      <c r="E3102" s="25"/>
      <c r="F3102" s="17"/>
      <c r="G3102" s="18"/>
      <c r="H3102" s="18"/>
      <c r="I3102" s="18"/>
    </row>
    <row r="3103" ht="15">
      <c r="A3103" s="25"/>
      <c r="B3103" s="25"/>
      <c r="C3103" s="25"/>
      <c r="D3103" s="25"/>
      <c r="E3103" s="25"/>
      <c r="F3103" s="17"/>
      <c r="G3103" s="18"/>
      <c r="H3103" s="18"/>
      <c r="I3103" s="18"/>
    </row>
    <row r="3104" ht="15">
      <c r="A3104" s="25"/>
      <c r="B3104" s="25"/>
      <c r="C3104" s="25"/>
      <c r="D3104" s="25"/>
      <c r="E3104" s="25"/>
      <c r="F3104" s="17"/>
      <c r="G3104" s="18"/>
      <c r="H3104" s="18"/>
      <c r="I3104" s="18"/>
    </row>
    <row r="3105" ht="15">
      <c r="A3105" s="25"/>
      <c r="B3105" s="25"/>
      <c r="C3105" s="25"/>
      <c r="D3105" s="25"/>
      <c r="E3105" s="25"/>
      <c r="F3105" s="17"/>
      <c r="G3105" s="18"/>
      <c r="H3105" s="18"/>
      <c r="I3105" s="18"/>
    </row>
    <row r="3106" ht="15">
      <c r="A3106" s="25"/>
      <c r="B3106" s="25"/>
      <c r="C3106" s="25"/>
      <c r="D3106" s="25"/>
      <c r="E3106" s="25"/>
      <c r="F3106" s="17"/>
      <c r="G3106" s="18"/>
      <c r="H3106" s="18"/>
      <c r="I3106" s="18"/>
    </row>
    <row r="3107" ht="15">
      <c r="A3107" s="25"/>
      <c r="B3107" s="25"/>
      <c r="C3107" s="25"/>
      <c r="D3107" s="25"/>
      <c r="E3107" s="25"/>
      <c r="F3107" s="17"/>
      <c r="G3107" s="18"/>
      <c r="H3107" s="18"/>
      <c r="I3107" s="18"/>
    </row>
    <row r="3108" ht="15">
      <c r="A3108" s="25"/>
      <c r="B3108" s="25"/>
      <c r="C3108" s="25"/>
      <c r="D3108" s="25"/>
      <c r="E3108" s="25"/>
      <c r="F3108" s="17"/>
      <c r="G3108" s="18"/>
      <c r="H3108" s="18"/>
      <c r="I3108" s="18"/>
    </row>
    <row r="3109" ht="15">
      <c r="A3109" s="25"/>
      <c r="B3109" s="25"/>
      <c r="C3109" s="25"/>
      <c r="D3109" s="25"/>
      <c r="E3109" s="25"/>
      <c r="F3109" s="17"/>
      <c r="G3109" s="18"/>
      <c r="H3109" s="18"/>
      <c r="I3109" s="18"/>
    </row>
    <row r="3110" ht="15">
      <c r="A3110" s="25"/>
      <c r="B3110" s="25"/>
      <c r="C3110" s="25"/>
      <c r="D3110" s="25"/>
      <c r="E3110" s="25"/>
      <c r="F3110" s="17"/>
      <c r="G3110" s="18"/>
      <c r="H3110" s="18"/>
      <c r="I3110" s="18"/>
    </row>
    <row r="3111" ht="15">
      <c r="A3111" s="25"/>
      <c r="B3111" s="25"/>
      <c r="C3111" s="25"/>
      <c r="D3111" s="25"/>
      <c r="E3111" s="25"/>
      <c r="F3111" s="17"/>
      <c r="G3111" s="18"/>
      <c r="H3111" s="18"/>
      <c r="I3111" s="18"/>
    </row>
    <row r="3112" ht="15">
      <c r="A3112" s="25"/>
      <c r="B3112" s="25"/>
      <c r="C3112" s="25"/>
      <c r="D3112" s="25"/>
      <c r="E3112" s="25"/>
      <c r="F3112" s="17"/>
      <c r="G3112" s="18"/>
      <c r="H3112" s="18"/>
      <c r="I3112" s="18"/>
    </row>
    <row r="3113" ht="15">
      <c r="A3113" s="25"/>
      <c r="B3113" s="25"/>
      <c r="C3113" s="25"/>
      <c r="D3113" s="25"/>
      <c r="E3113" s="25"/>
      <c r="F3113" s="17"/>
      <c r="G3113" s="18"/>
      <c r="H3113" s="18"/>
      <c r="I3113" s="18"/>
    </row>
    <row r="3114" ht="15">
      <c r="A3114" s="25"/>
      <c r="B3114" s="25"/>
      <c r="C3114" s="25"/>
      <c r="D3114" s="25"/>
      <c r="E3114" s="25"/>
      <c r="F3114" s="17"/>
      <c r="G3114" s="18"/>
      <c r="H3114" s="18"/>
      <c r="I3114" s="18"/>
    </row>
    <row r="3115" ht="15">
      <c r="A3115" s="25"/>
      <c r="B3115" s="25"/>
      <c r="C3115" s="25"/>
      <c r="D3115" s="25"/>
      <c r="E3115" s="25"/>
      <c r="F3115" s="17"/>
      <c r="G3115" s="18"/>
      <c r="H3115" s="18"/>
      <c r="I3115" s="18"/>
    </row>
    <row r="3116" ht="15">
      <c r="A3116" s="25"/>
      <c r="B3116" s="25"/>
      <c r="C3116" s="25"/>
      <c r="D3116" s="25"/>
      <c r="E3116" s="25"/>
      <c r="F3116" s="17"/>
      <c r="G3116" s="18"/>
      <c r="H3116" s="18"/>
      <c r="I3116" s="18"/>
    </row>
    <row r="3117" ht="15">
      <c r="A3117" s="25"/>
      <c r="B3117" s="25"/>
      <c r="C3117" s="25"/>
      <c r="D3117" s="25"/>
      <c r="E3117" s="25"/>
      <c r="F3117" s="17"/>
      <c r="G3117" s="18"/>
      <c r="H3117" s="18"/>
      <c r="I3117" s="18"/>
    </row>
    <row r="3118" ht="15">
      <c r="A3118" s="25"/>
      <c r="B3118" s="25"/>
      <c r="C3118" s="25"/>
      <c r="D3118" s="25"/>
      <c r="E3118" s="25"/>
      <c r="F3118" s="17"/>
      <c r="G3118" s="18"/>
      <c r="H3118" s="18"/>
      <c r="I3118" s="18"/>
    </row>
    <row r="3119" ht="15">
      <c r="A3119" s="25"/>
      <c r="B3119" s="25"/>
      <c r="C3119" s="25"/>
      <c r="D3119" s="25"/>
      <c r="E3119" s="25"/>
      <c r="F3119" s="17"/>
      <c r="G3119" s="18"/>
      <c r="H3119" s="18"/>
      <c r="I3119" s="18"/>
    </row>
    <row r="3120" ht="15">
      <c r="A3120" s="25"/>
      <c r="B3120" s="25"/>
      <c r="C3120" s="25"/>
      <c r="D3120" s="25"/>
      <c r="E3120" s="25"/>
      <c r="F3120" s="17"/>
      <c r="G3120" s="18"/>
      <c r="H3120" s="18"/>
      <c r="I3120" s="18"/>
    </row>
    <row r="3121" ht="15">
      <c r="A3121" s="25"/>
      <c r="B3121" s="25"/>
      <c r="C3121" s="25"/>
      <c r="D3121" s="25"/>
      <c r="E3121" s="25"/>
      <c r="F3121" s="17"/>
      <c r="G3121" s="18"/>
      <c r="H3121" s="18"/>
      <c r="I3121" s="18"/>
    </row>
    <row r="3122" ht="15">
      <c r="A3122" s="25"/>
      <c r="B3122" s="25"/>
      <c r="C3122" s="25"/>
      <c r="D3122" s="25"/>
      <c r="E3122" s="25"/>
      <c r="F3122" s="17"/>
      <c r="G3122" s="18"/>
      <c r="H3122" s="18"/>
      <c r="I3122" s="18"/>
    </row>
    <row r="3123" ht="15">
      <c r="A3123" s="25"/>
      <c r="B3123" s="25"/>
      <c r="C3123" s="25"/>
      <c r="D3123" s="25"/>
      <c r="E3123" s="25"/>
      <c r="F3123" s="17"/>
      <c r="G3123" s="18"/>
      <c r="H3123" s="18"/>
      <c r="I3123" s="18"/>
    </row>
    <row r="3124" ht="15">
      <c r="A3124" s="25"/>
      <c r="B3124" s="25"/>
      <c r="C3124" s="25"/>
      <c r="D3124" s="25"/>
      <c r="E3124" s="25"/>
      <c r="F3124" s="17"/>
      <c r="G3124" s="18"/>
      <c r="H3124" s="18"/>
      <c r="I3124" s="18"/>
    </row>
    <row r="3125" ht="15">
      <c r="A3125" s="25"/>
      <c r="B3125" s="25"/>
      <c r="C3125" s="25"/>
      <c r="D3125" s="25"/>
      <c r="E3125" s="25"/>
      <c r="F3125" s="17"/>
      <c r="G3125" s="18"/>
      <c r="H3125" s="18"/>
      <c r="I3125" s="18"/>
    </row>
    <row r="3126" ht="15">
      <c r="A3126" s="25"/>
      <c r="B3126" s="25"/>
      <c r="C3126" s="25"/>
      <c r="D3126" s="25"/>
      <c r="E3126" s="25"/>
      <c r="F3126" s="17"/>
      <c r="G3126" s="18"/>
      <c r="H3126" s="18"/>
      <c r="I3126" s="18"/>
    </row>
    <row r="3127" ht="15">
      <c r="A3127" s="25"/>
      <c r="B3127" s="25"/>
      <c r="C3127" s="25"/>
      <c r="D3127" s="25"/>
      <c r="E3127" s="25"/>
      <c r="F3127" s="17"/>
      <c r="G3127" s="18"/>
      <c r="H3127" s="18"/>
      <c r="I3127" s="18"/>
    </row>
    <row r="3128" ht="15">
      <c r="A3128" s="25"/>
      <c r="B3128" s="25"/>
      <c r="C3128" s="25"/>
      <c r="D3128" s="25"/>
      <c r="E3128" s="25"/>
      <c r="F3128" s="17"/>
      <c r="G3128" s="18"/>
      <c r="H3128" s="18"/>
      <c r="I3128" s="18"/>
    </row>
    <row r="3129" ht="15">
      <c r="A3129" s="25"/>
      <c r="B3129" s="25"/>
      <c r="C3129" s="25"/>
      <c r="D3129" s="25"/>
      <c r="E3129" s="25"/>
      <c r="F3129" s="17"/>
      <c r="G3129" s="18"/>
      <c r="H3129" s="18"/>
      <c r="I3129" s="18"/>
    </row>
    <row r="3130" ht="15">
      <c r="A3130" s="25"/>
      <c r="B3130" s="25"/>
      <c r="C3130" s="25"/>
      <c r="D3130" s="25"/>
      <c r="E3130" s="25"/>
      <c r="F3130" s="17"/>
      <c r="G3130" s="18"/>
      <c r="H3130" s="18"/>
      <c r="I3130" s="18"/>
    </row>
    <row r="3131" ht="15">
      <c r="A3131" s="25"/>
      <c r="B3131" s="25"/>
      <c r="C3131" s="25"/>
      <c r="D3131" s="25"/>
      <c r="E3131" s="25"/>
      <c r="F3131" s="17"/>
      <c r="G3131" s="18"/>
      <c r="H3131" s="18"/>
      <c r="I3131" s="18"/>
    </row>
    <row r="3132" ht="15">
      <c r="A3132" s="25"/>
      <c r="B3132" s="25"/>
      <c r="C3132" s="25"/>
      <c r="D3132" s="25"/>
      <c r="E3132" s="25"/>
      <c r="F3132" s="17"/>
      <c r="G3132" s="18"/>
      <c r="H3132" s="18"/>
      <c r="I3132" s="18"/>
    </row>
    <row r="3133" ht="15">
      <c r="A3133" s="25"/>
      <c r="B3133" s="25"/>
      <c r="C3133" s="25"/>
      <c r="D3133" s="25"/>
      <c r="E3133" s="25"/>
      <c r="F3133" s="17"/>
      <c r="G3133" s="18"/>
      <c r="H3133" s="18"/>
      <c r="I3133" s="18"/>
    </row>
    <row r="3134" ht="15">
      <c r="A3134" s="25"/>
      <c r="B3134" s="25"/>
      <c r="C3134" s="25"/>
      <c r="D3134" s="25"/>
      <c r="E3134" s="25"/>
      <c r="F3134" s="17"/>
      <c r="G3134" s="18"/>
      <c r="H3134" s="18"/>
      <c r="I3134" s="18"/>
    </row>
    <row r="3135" ht="15">
      <c r="A3135" s="25"/>
      <c r="B3135" s="25"/>
      <c r="C3135" s="25"/>
      <c r="D3135" s="25"/>
      <c r="E3135" s="25"/>
      <c r="F3135" s="17"/>
      <c r="G3135" s="18"/>
      <c r="H3135" s="18"/>
      <c r="I3135" s="18"/>
    </row>
    <row r="3136" ht="15">
      <c r="A3136" s="25"/>
      <c r="B3136" s="25"/>
      <c r="C3136" s="25"/>
      <c r="D3136" s="25"/>
      <c r="E3136" s="25"/>
      <c r="F3136" s="17"/>
      <c r="G3136" s="18"/>
      <c r="H3136" s="18"/>
      <c r="I3136" s="18"/>
    </row>
    <row r="3137" ht="15">
      <c r="A3137" s="25"/>
      <c r="B3137" s="25"/>
      <c r="C3137" s="25"/>
      <c r="D3137" s="25"/>
      <c r="E3137" s="25"/>
      <c r="F3137" s="17"/>
      <c r="G3137" s="18"/>
      <c r="H3137" s="18"/>
      <c r="I3137" s="18"/>
    </row>
    <row r="3138" ht="15">
      <c r="A3138" s="25"/>
      <c r="B3138" s="25"/>
      <c r="C3138" s="25"/>
      <c r="D3138" s="25"/>
      <c r="E3138" s="25"/>
      <c r="F3138" s="17"/>
      <c r="G3138" s="18"/>
      <c r="H3138" s="18"/>
      <c r="I3138" s="18"/>
    </row>
    <row r="3139" ht="15">
      <c r="A3139" s="25"/>
      <c r="B3139" s="25"/>
      <c r="C3139" s="25"/>
      <c r="D3139" s="25"/>
      <c r="E3139" s="25"/>
      <c r="F3139" s="17"/>
      <c r="G3139" s="18"/>
      <c r="H3139" s="18"/>
      <c r="I3139" s="18"/>
    </row>
    <row r="3140" ht="15">
      <c r="A3140" s="25"/>
      <c r="B3140" s="25"/>
      <c r="C3140" s="25"/>
      <c r="D3140" s="25"/>
      <c r="E3140" s="25"/>
      <c r="F3140" s="17"/>
      <c r="G3140" s="18"/>
      <c r="H3140" s="18"/>
      <c r="I3140" s="18"/>
    </row>
    <row r="3141" ht="15">
      <c r="A3141" s="25"/>
      <c r="B3141" s="25"/>
      <c r="C3141" s="25"/>
      <c r="D3141" s="25"/>
      <c r="E3141" s="25"/>
      <c r="F3141" s="17"/>
      <c r="G3141" s="18"/>
      <c r="H3141" s="18"/>
      <c r="I3141" s="18"/>
    </row>
    <row r="3142" ht="15">
      <c r="A3142" s="25"/>
      <c r="B3142" s="25"/>
      <c r="C3142" s="25"/>
      <c r="D3142" s="25"/>
      <c r="E3142" s="25"/>
      <c r="F3142" s="17"/>
      <c r="G3142" s="18"/>
      <c r="H3142" s="18"/>
      <c r="I3142" s="18"/>
    </row>
    <row r="3143" ht="15">
      <c r="A3143" s="25"/>
      <c r="B3143" s="25"/>
      <c r="C3143" s="25"/>
      <c r="D3143" s="25"/>
      <c r="E3143" s="25"/>
      <c r="F3143" s="17"/>
      <c r="G3143" s="18"/>
      <c r="H3143" s="18"/>
      <c r="I3143" s="18"/>
    </row>
    <row r="3144" ht="15">
      <c r="A3144" s="25"/>
      <c r="B3144" s="25"/>
      <c r="C3144" s="25"/>
      <c r="D3144" s="25"/>
      <c r="E3144" s="25"/>
      <c r="F3144" s="17"/>
      <c r="G3144" s="18"/>
      <c r="H3144" s="18"/>
      <c r="I3144" s="18"/>
    </row>
    <row r="3145" ht="15">
      <c r="A3145" s="25"/>
      <c r="B3145" s="25"/>
      <c r="C3145" s="25"/>
      <c r="D3145" s="25"/>
      <c r="E3145" s="25"/>
      <c r="F3145" s="17"/>
      <c r="G3145" s="18"/>
      <c r="H3145" s="18"/>
      <c r="I3145" s="18"/>
    </row>
    <row r="3146" ht="15">
      <c r="A3146" s="25"/>
      <c r="B3146" s="25"/>
      <c r="C3146" s="25"/>
      <c r="D3146" s="25"/>
      <c r="E3146" s="25"/>
      <c r="F3146" s="17"/>
      <c r="G3146" s="18"/>
      <c r="H3146" s="18"/>
      <c r="I3146" s="18"/>
    </row>
    <row r="3147" ht="15">
      <c r="A3147" s="25"/>
      <c r="B3147" s="25"/>
      <c r="C3147" s="25"/>
      <c r="D3147" s="25"/>
      <c r="E3147" s="25"/>
      <c r="F3147" s="17"/>
      <c r="G3147" s="18"/>
      <c r="H3147" s="18"/>
      <c r="I3147" s="18"/>
    </row>
    <row r="3148" ht="15">
      <c r="A3148" s="25"/>
      <c r="B3148" s="25"/>
      <c r="C3148" s="25"/>
      <c r="D3148" s="25"/>
      <c r="E3148" s="25"/>
      <c r="F3148" s="17"/>
      <c r="G3148" s="18"/>
      <c r="H3148" s="18"/>
      <c r="I3148" s="18"/>
    </row>
    <row r="3149" ht="15">
      <c r="A3149" s="25"/>
      <c r="B3149" s="25"/>
      <c r="C3149" s="25"/>
      <c r="D3149" s="25"/>
      <c r="E3149" s="25"/>
      <c r="F3149" s="17"/>
      <c r="G3149" s="18"/>
      <c r="H3149" s="18"/>
      <c r="I3149" s="18"/>
    </row>
    <row r="3150" ht="15">
      <c r="A3150" s="25"/>
      <c r="B3150" s="25"/>
      <c r="C3150" s="25"/>
      <c r="D3150" s="25"/>
      <c r="E3150" s="25"/>
      <c r="F3150" s="17"/>
      <c r="G3150" s="18"/>
      <c r="H3150" s="18"/>
      <c r="I3150" s="18"/>
    </row>
    <row r="3151" ht="15">
      <c r="A3151" s="25"/>
      <c r="B3151" s="25"/>
      <c r="C3151" s="25"/>
      <c r="D3151" s="25"/>
      <c r="E3151" s="25"/>
      <c r="F3151" s="17"/>
      <c r="G3151" s="18"/>
      <c r="H3151" s="18"/>
      <c r="I3151" s="18"/>
    </row>
    <row r="3152" ht="15">
      <c r="A3152" s="25"/>
      <c r="B3152" s="25"/>
      <c r="C3152" s="25"/>
      <c r="D3152" s="25"/>
      <c r="E3152" s="25"/>
      <c r="F3152" s="17"/>
      <c r="G3152" s="18"/>
      <c r="H3152" s="18"/>
      <c r="I3152" s="18"/>
    </row>
    <row r="3153" ht="15">
      <c r="A3153" s="25"/>
      <c r="B3153" s="25"/>
      <c r="C3153" s="25"/>
      <c r="D3153" s="25"/>
      <c r="E3153" s="25"/>
      <c r="F3153" s="17"/>
      <c r="G3153" s="18"/>
      <c r="H3153" s="18"/>
      <c r="I3153" s="18"/>
    </row>
    <row r="3154" ht="15">
      <c r="A3154" s="25"/>
      <c r="B3154" s="25"/>
      <c r="C3154" s="25"/>
      <c r="D3154" s="25"/>
      <c r="E3154" s="25"/>
      <c r="F3154" s="17"/>
      <c r="G3154" s="18"/>
      <c r="H3154" s="18"/>
      <c r="I3154" s="18"/>
    </row>
    <row r="3155" ht="15">
      <c r="A3155" s="25"/>
      <c r="B3155" s="25"/>
      <c r="C3155" s="25"/>
      <c r="D3155" s="25"/>
      <c r="E3155" s="25"/>
      <c r="F3155" s="17"/>
      <c r="G3155" s="18"/>
      <c r="H3155" s="18"/>
      <c r="I3155" s="18"/>
    </row>
    <row r="3156" ht="15">
      <c r="A3156" s="25"/>
      <c r="B3156" s="25"/>
      <c r="C3156" s="25"/>
      <c r="D3156" s="25"/>
      <c r="E3156" s="25"/>
      <c r="F3156" s="17"/>
      <c r="G3156" s="18"/>
      <c r="H3156" s="18"/>
      <c r="I3156" s="18"/>
    </row>
    <row r="3157" ht="15">
      <c r="A3157" s="25"/>
      <c r="B3157" s="25"/>
      <c r="C3157" s="25"/>
      <c r="D3157" s="25"/>
      <c r="E3157" s="25"/>
      <c r="F3157" s="17"/>
      <c r="G3157" s="18"/>
      <c r="H3157" s="18"/>
      <c r="I3157" s="18"/>
    </row>
    <row r="3158" ht="15">
      <c r="A3158" s="25"/>
      <c r="B3158" s="25"/>
      <c r="C3158" s="25"/>
      <c r="D3158" s="25"/>
      <c r="E3158" s="25"/>
      <c r="F3158" s="17"/>
      <c r="G3158" s="18"/>
      <c r="H3158" s="18"/>
      <c r="I3158" s="18"/>
    </row>
    <row r="3159" ht="15">
      <c r="A3159" s="25"/>
      <c r="B3159" s="25"/>
      <c r="C3159" s="25"/>
      <c r="D3159" s="25"/>
      <c r="E3159" s="25"/>
      <c r="F3159" s="17"/>
      <c r="G3159" s="18"/>
      <c r="H3159" s="18"/>
      <c r="I3159" s="18"/>
    </row>
    <row r="3160" ht="15">
      <c r="A3160" s="25"/>
      <c r="B3160" s="25"/>
      <c r="C3160" s="25"/>
      <c r="D3160" s="25"/>
      <c r="E3160" s="25"/>
      <c r="F3160" s="17"/>
      <c r="G3160" s="18"/>
      <c r="H3160" s="18"/>
      <c r="I3160" s="18"/>
    </row>
    <row r="3161" ht="15">
      <c r="A3161" s="25"/>
      <c r="B3161" s="25"/>
      <c r="C3161" s="25"/>
      <c r="D3161" s="25"/>
      <c r="E3161" s="25"/>
      <c r="F3161" s="17"/>
      <c r="G3161" s="18"/>
      <c r="H3161" s="18"/>
      <c r="I3161" s="18"/>
    </row>
    <row r="3162" ht="15">
      <c r="A3162" s="25"/>
      <c r="B3162" s="25"/>
      <c r="C3162" s="25"/>
      <c r="D3162" s="25"/>
      <c r="E3162" s="25"/>
      <c r="F3162" s="17"/>
      <c r="G3162" s="18"/>
      <c r="H3162" s="18"/>
      <c r="I3162" s="18"/>
    </row>
    <row r="3163" ht="15">
      <c r="A3163" s="25"/>
      <c r="B3163" s="25"/>
      <c r="C3163" s="25"/>
      <c r="D3163" s="25"/>
      <c r="E3163" s="25"/>
      <c r="F3163" s="17"/>
      <c r="G3163" s="18"/>
      <c r="H3163" s="18"/>
      <c r="I3163" s="18"/>
    </row>
    <row r="3164" ht="15">
      <c r="A3164" s="25"/>
      <c r="B3164" s="25"/>
      <c r="C3164" s="25"/>
      <c r="D3164" s="25"/>
      <c r="E3164" s="25"/>
      <c r="F3164" s="17"/>
      <c r="G3164" s="18"/>
      <c r="H3164" s="18"/>
      <c r="I3164" s="18"/>
    </row>
    <row r="3165" ht="15">
      <c r="A3165" s="25"/>
      <c r="B3165" s="25"/>
      <c r="C3165" s="25"/>
      <c r="D3165" s="25"/>
      <c r="E3165" s="25"/>
      <c r="F3165" s="17"/>
      <c r="G3165" s="18"/>
      <c r="H3165" s="18"/>
      <c r="I3165" s="18"/>
    </row>
    <row r="3166" ht="15">
      <c r="A3166" s="25"/>
      <c r="B3166" s="25"/>
      <c r="C3166" s="25"/>
      <c r="D3166" s="25"/>
      <c r="E3166" s="25"/>
      <c r="F3166" s="17"/>
      <c r="G3166" s="18"/>
      <c r="H3166" s="18"/>
      <c r="I3166" s="18"/>
    </row>
    <row r="3167" ht="15">
      <c r="A3167" s="25"/>
      <c r="B3167" s="25"/>
      <c r="C3167" s="25"/>
      <c r="D3167" s="25"/>
      <c r="E3167" s="25"/>
      <c r="F3167" s="17"/>
      <c r="G3167" s="18"/>
      <c r="H3167" s="18"/>
      <c r="I3167" s="18"/>
    </row>
    <row r="3168" ht="15">
      <c r="A3168" s="25"/>
      <c r="B3168" s="25"/>
      <c r="C3168" s="25"/>
      <c r="D3168" s="25"/>
      <c r="E3168" s="25"/>
      <c r="F3168" s="17"/>
      <c r="G3168" s="18"/>
      <c r="H3168" s="18"/>
      <c r="I3168" s="18"/>
    </row>
    <row r="3169" ht="15">
      <c r="A3169" s="25"/>
      <c r="B3169" s="25"/>
      <c r="C3169" s="25"/>
      <c r="D3169" s="25"/>
      <c r="E3169" s="25"/>
      <c r="F3169" s="17"/>
      <c r="G3169" s="18"/>
      <c r="H3169" s="18"/>
      <c r="I3169" s="18"/>
    </row>
    <row r="3170" ht="15">
      <c r="A3170" s="25"/>
      <c r="B3170" s="25"/>
      <c r="C3170" s="25"/>
      <c r="D3170" s="25"/>
      <c r="E3170" s="25"/>
      <c r="F3170" s="17"/>
      <c r="G3170" s="18"/>
      <c r="H3170" s="18"/>
      <c r="I3170" s="18"/>
    </row>
    <row r="3171" ht="15">
      <c r="A3171" s="25"/>
      <c r="B3171" s="25"/>
      <c r="C3171" s="25"/>
      <c r="D3171" s="25"/>
      <c r="E3171" s="25"/>
      <c r="F3171" s="17"/>
      <c r="G3171" s="18"/>
      <c r="H3171" s="18"/>
      <c r="I3171" s="18"/>
    </row>
    <row r="3172" ht="15">
      <c r="A3172" s="25"/>
      <c r="B3172" s="25"/>
      <c r="C3172" s="25"/>
      <c r="D3172" s="25"/>
      <c r="E3172" s="25"/>
      <c r="F3172" s="17"/>
      <c r="G3172" s="18"/>
      <c r="H3172" s="18"/>
      <c r="I3172" s="18"/>
    </row>
    <row r="3173" ht="15">
      <c r="A3173" s="25"/>
      <c r="B3173" s="25"/>
      <c r="C3173" s="25"/>
      <c r="D3173" s="25"/>
      <c r="E3173" s="25"/>
      <c r="F3173" s="17"/>
      <c r="G3173" s="18"/>
      <c r="H3173" s="18"/>
      <c r="I3173" s="18"/>
    </row>
    <row r="3174" ht="15">
      <c r="A3174" s="25"/>
      <c r="B3174" s="25"/>
      <c r="C3174" s="25"/>
      <c r="D3174" s="25"/>
      <c r="E3174" s="25"/>
      <c r="F3174" s="17"/>
      <c r="G3174" s="18"/>
      <c r="H3174" s="18"/>
      <c r="I3174" s="18"/>
    </row>
    <row r="3175" ht="15">
      <c r="A3175" s="25"/>
      <c r="B3175" s="25"/>
      <c r="C3175" s="25"/>
      <c r="D3175" s="25"/>
      <c r="E3175" s="25"/>
      <c r="F3175" s="17"/>
      <c r="G3175" s="18"/>
      <c r="H3175" s="18"/>
      <c r="I3175" s="18"/>
    </row>
    <row r="3176" ht="15">
      <c r="A3176" s="25"/>
      <c r="B3176" s="25"/>
      <c r="C3176" s="25"/>
      <c r="D3176" s="25"/>
      <c r="E3176" s="25"/>
      <c r="F3176" s="17"/>
      <c r="G3176" s="18"/>
      <c r="H3176" s="18"/>
      <c r="I3176" s="18"/>
    </row>
    <row r="3177" ht="15">
      <c r="A3177" s="25"/>
      <c r="B3177" s="25"/>
      <c r="C3177" s="25"/>
      <c r="D3177" s="25"/>
      <c r="E3177" s="25"/>
      <c r="F3177" s="17"/>
      <c r="G3177" s="18"/>
      <c r="H3177" s="18"/>
      <c r="I3177" s="18"/>
    </row>
    <row r="3178" ht="15">
      <c r="A3178" s="25"/>
      <c r="B3178" s="25"/>
      <c r="C3178" s="25"/>
      <c r="D3178" s="25"/>
      <c r="E3178" s="25"/>
      <c r="F3178" s="17"/>
      <c r="G3178" s="18"/>
      <c r="H3178" s="18"/>
      <c r="I3178" s="18"/>
    </row>
    <row r="3179" ht="15">
      <c r="A3179" s="25"/>
      <c r="B3179" s="25"/>
      <c r="C3179" s="25"/>
      <c r="D3179" s="25"/>
      <c r="E3179" s="25"/>
      <c r="F3179" s="17"/>
      <c r="G3179" s="18"/>
      <c r="H3179" s="18"/>
      <c r="I3179" s="18"/>
    </row>
    <row r="3180" ht="15">
      <c r="A3180" s="25"/>
      <c r="B3180" s="25"/>
      <c r="C3180" s="25"/>
      <c r="D3180" s="25"/>
      <c r="E3180" s="25"/>
      <c r="F3180" s="17"/>
      <c r="G3180" s="18"/>
      <c r="H3180" s="18"/>
      <c r="I3180" s="18"/>
    </row>
    <row r="3181" ht="15">
      <c r="A3181" s="25"/>
      <c r="B3181" s="25"/>
      <c r="C3181" s="25"/>
      <c r="D3181" s="25"/>
      <c r="E3181" s="25"/>
      <c r="F3181" s="17"/>
      <c r="G3181" s="18"/>
      <c r="H3181" s="18"/>
      <c r="I3181" s="18"/>
    </row>
    <row r="3182" ht="15">
      <c r="A3182" s="25"/>
      <c r="B3182" s="25"/>
      <c r="C3182" s="25"/>
      <c r="D3182" s="25"/>
      <c r="E3182" s="25"/>
      <c r="F3182" s="17"/>
      <c r="G3182" s="18"/>
      <c r="H3182" s="18"/>
      <c r="I3182" s="18"/>
    </row>
    <row r="3183" ht="15">
      <c r="A3183" s="25"/>
      <c r="B3183" s="25"/>
      <c r="C3183" s="25"/>
      <c r="D3183" s="25"/>
      <c r="E3183" s="25"/>
      <c r="F3183" s="17"/>
      <c r="G3183" s="18"/>
      <c r="H3183" s="18"/>
      <c r="I3183" s="18"/>
    </row>
    <row r="3184" ht="15">
      <c r="A3184" s="25"/>
      <c r="B3184" s="25"/>
      <c r="C3184" s="25"/>
      <c r="D3184" s="25"/>
      <c r="E3184" s="25"/>
      <c r="F3184" s="17"/>
      <c r="G3184" s="18"/>
      <c r="H3184" s="18"/>
      <c r="I3184" s="18"/>
    </row>
    <row r="3185" ht="15">
      <c r="A3185" s="25"/>
      <c r="B3185" s="25"/>
      <c r="C3185" s="25"/>
      <c r="D3185" s="25"/>
      <c r="E3185" s="25"/>
      <c r="F3185" s="17"/>
      <c r="G3185" s="18"/>
      <c r="H3185" s="18"/>
      <c r="I3185" s="18"/>
    </row>
    <row r="3186" ht="15">
      <c r="A3186" s="25"/>
      <c r="B3186" s="25"/>
      <c r="C3186" s="25"/>
      <c r="D3186" s="25"/>
      <c r="E3186" s="25"/>
      <c r="F3186" s="17"/>
      <c r="G3186" s="18"/>
      <c r="H3186" s="18"/>
      <c r="I3186" s="18"/>
    </row>
    <row r="3187" ht="15">
      <c r="A3187" s="25"/>
      <c r="B3187" s="25"/>
      <c r="C3187" s="25"/>
      <c r="D3187" s="25"/>
      <c r="E3187" s="25"/>
      <c r="F3187" s="17"/>
      <c r="G3187" s="18"/>
      <c r="H3187" s="18"/>
      <c r="I3187" s="18"/>
    </row>
    <row r="3188" ht="15">
      <c r="A3188" s="25"/>
      <c r="B3188" s="25"/>
      <c r="C3188" s="25"/>
      <c r="D3188" s="25"/>
      <c r="E3188" s="25"/>
      <c r="F3188" s="17"/>
      <c r="G3188" s="18"/>
      <c r="H3188" s="18"/>
      <c r="I3188" s="18"/>
    </row>
    <row r="3189" ht="15">
      <c r="A3189" s="25"/>
      <c r="B3189" s="25"/>
      <c r="C3189" s="25"/>
      <c r="D3189" s="25"/>
      <c r="E3189" s="25"/>
      <c r="F3189" s="17"/>
      <c r="G3189" s="18"/>
      <c r="H3189" s="18"/>
      <c r="I3189" s="18"/>
    </row>
    <row r="3190" ht="15">
      <c r="A3190" s="25"/>
      <c r="B3190" s="25"/>
      <c r="C3190" s="25"/>
      <c r="D3190" s="25"/>
      <c r="E3190" s="25"/>
      <c r="F3190" s="17"/>
      <c r="G3190" s="18"/>
      <c r="H3190" s="18"/>
      <c r="I3190" s="18"/>
    </row>
    <row r="3191" ht="15">
      <c r="A3191" s="25"/>
      <c r="B3191" s="25"/>
      <c r="C3191" s="25"/>
      <c r="D3191" s="25"/>
      <c r="E3191" s="25"/>
      <c r="F3191" s="17"/>
      <c r="G3191" s="18"/>
      <c r="H3191" s="18"/>
      <c r="I3191" s="18"/>
    </row>
    <row r="3192" ht="15">
      <c r="A3192" s="25"/>
      <c r="B3192" s="25"/>
      <c r="C3192" s="25"/>
      <c r="D3192" s="25"/>
      <c r="E3192" s="25"/>
      <c r="F3192" s="17"/>
      <c r="G3192" s="18"/>
      <c r="H3192" s="18"/>
      <c r="I3192" s="18"/>
    </row>
    <row r="3193" ht="15">
      <c r="A3193" s="25"/>
      <c r="B3193" s="25"/>
      <c r="C3193" s="25"/>
      <c r="D3193" s="25"/>
      <c r="E3193" s="25"/>
      <c r="F3193" s="17"/>
      <c r="G3193" s="18"/>
      <c r="H3193" s="18"/>
      <c r="I3193" s="18"/>
    </row>
    <row r="3194" ht="15">
      <c r="A3194" s="25"/>
      <c r="B3194" s="25"/>
      <c r="C3194" s="25"/>
      <c r="D3194" s="25"/>
      <c r="E3194" s="25"/>
      <c r="F3194" s="17"/>
      <c r="G3194" s="18"/>
      <c r="H3194" s="18"/>
      <c r="I3194" s="18"/>
    </row>
    <row r="3195" ht="15">
      <c r="A3195" s="25"/>
      <c r="B3195" s="25"/>
      <c r="C3195" s="25"/>
      <c r="D3195" s="25"/>
      <c r="E3195" s="25"/>
      <c r="F3195" s="17"/>
      <c r="G3195" s="18"/>
      <c r="H3195" s="18"/>
      <c r="I3195" s="18"/>
    </row>
    <row r="3196" ht="15">
      <c r="A3196" s="25"/>
      <c r="B3196" s="25"/>
      <c r="C3196" s="25"/>
      <c r="D3196" s="25"/>
      <c r="E3196" s="25"/>
      <c r="F3196" s="17"/>
      <c r="G3196" s="18"/>
      <c r="H3196" s="18"/>
      <c r="I3196" s="18"/>
    </row>
    <row r="3197" ht="15">
      <c r="A3197" s="25"/>
      <c r="B3197" s="25"/>
      <c r="C3197" s="25"/>
      <c r="D3197" s="25"/>
      <c r="E3197" s="25"/>
      <c r="F3197" s="17"/>
      <c r="G3197" s="18"/>
      <c r="H3197" s="18"/>
      <c r="I3197" s="18"/>
    </row>
    <row r="3198" ht="15">
      <c r="A3198" s="25"/>
      <c r="B3198" s="25"/>
      <c r="C3198" s="25"/>
      <c r="D3198" s="25"/>
      <c r="E3198" s="25"/>
      <c r="F3198" s="17"/>
      <c r="G3198" s="18"/>
      <c r="H3198" s="18"/>
      <c r="I3198" s="18"/>
    </row>
    <row r="3199" ht="15">
      <c r="A3199" s="25"/>
      <c r="B3199" s="25"/>
      <c r="C3199" s="25"/>
      <c r="D3199" s="25"/>
      <c r="E3199" s="25"/>
      <c r="F3199" s="17"/>
      <c r="G3199" s="18"/>
      <c r="H3199" s="18"/>
      <c r="I3199" s="18"/>
    </row>
    <row r="3200" ht="15">
      <c r="A3200" s="25"/>
      <c r="B3200" s="25"/>
      <c r="C3200" s="25"/>
      <c r="D3200" s="25"/>
      <c r="E3200" s="25"/>
      <c r="F3200" s="17"/>
      <c r="G3200" s="18"/>
      <c r="H3200" s="18"/>
      <c r="I3200" s="18"/>
    </row>
    <row r="3201" ht="15">
      <c r="A3201" s="25"/>
      <c r="B3201" s="25"/>
      <c r="C3201" s="25"/>
      <c r="D3201" s="25"/>
      <c r="E3201" s="25"/>
      <c r="F3201" s="17"/>
      <c r="G3201" s="18"/>
      <c r="H3201" s="18"/>
      <c r="I3201" s="18"/>
    </row>
    <row r="3202" ht="15">
      <c r="A3202" s="25"/>
      <c r="B3202" s="25"/>
      <c r="C3202" s="25"/>
      <c r="D3202" s="25"/>
      <c r="E3202" s="25"/>
      <c r="F3202" s="17"/>
      <c r="G3202" s="18"/>
      <c r="H3202" s="18"/>
      <c r="I3202" s="18"/>
    </row>
    <row r="3203" ht="15">
      <c r="A3203" s="25"/>
      <c r="B3203" s="25"/>
      <c r="C3203" s="25"/>
      <c r="D3203" s="25"/>
      <c r="E3203" s="25"/>
      <c r="F3203" s="17"/>
      <c r="G3203" s="18"/>
      <c r="H3203" s="18"/>
      <c r="I3203" s="18"/>
    </row>
    <row r="3204" ht="15">
      <c r="A3204" s="25"/>
      <c r="B3204" s="25"/>
      <c r="C3204" s="25"/>
      <c r="D3204" s="25"/>
      <c r="E3204" s="25"/>
      <c r="F3204" s="17"/>
      <c r="G3204" s="18"/>
      <c r="H3204" s="18"/>
      <c r="I3204" s="18"/>
    </row>
    <row r="3205" ht="15">
      <c r="A3205" s="25"/>
      <c r="B3205" s="25"/>
      <c r="C3205" s="25"/>
      <c r="D3205" s="25"/>
      <c r="E3205" s="25"/>
      <c r="F3205" s="17"/>
      <c r="G3205" s="18"/>
      <c r="H3205" s="18"/>
      <c r="I3205" s="18"/>
    </row>
    <row r="3206" ht="15">
      <c r="A3206" s="25"/>
      <c r="B3206" s="25"/>
      <c r="C3206" s="25"/>
      <c r="D3206" s="25"/>
      <c r="E3206" s="25"/>
      <c r="F3206" s="17"/>
      <c r="G3206" s="18"/>
      <c r="H3206" s="18"/>
      <c r="I3206" s="18"/>
    </row>
    <row r="3207" ht="15">
      <c r="A3207" s="25"/>
      <c r="B3207" s="25"/>
      <c r="C3207" s="25"/>
      <c r="D3207" s="25"/>
      <c r="E3207" s="25"/>
      <c r="F3207" s="17"/>
      <c r="G3207" s="18"/>
      <c r="H3207" s="18"/>
      <c r="I3207" s="18"/>
    </row>
    <row r="3208" ht="15">
      <c r="A3208" s="25"/>
      <c r="B3208" s="25"/>
      <c r="C3208" s="25"/>
      <c r="D3208" s="25"/>
      <c r="E3208" s="25"/>
      <c r="F3208" s="17"/>
      <c r="G3208" s="18"/>
      <c r="H3208" s="18"/>
      <c r="I3208" s="18"/>
    </row>
    <row r="3209" ht="15">
      <c r="A3209" s="25"/>
      <c r="B3209" s="25"/>
      <c r="C3209" s="25"/>
      <c r="D3209" s="25"/>
      <c r="E3209" s="25"/>
      <c r="F3209" s="17"/>
      <c r="G3209" s="18"/>
      <c r="H3209" s="18"/>
      <c r="I3209" s="18"/>
    </row>
    <row r="3210" ht="15">
      <c r="A3210" s="25"/>
      <c r="B3210" s="25"/>
      <c r="C3210" s="25"/>
      <c r="D3210" s="25"/>
      <c r="E3210" s="25"/>
      <c r="F3210" s="17"/>
      <c r="G3210" s="18"/>
      <c r="H3210" s="18"/>
      <c r="I3210" s="18"/>
    </row>
    <row r="3211" ht="15">
      <c r="A3211" s="25"/>
      <c r="B3211" s="25"/>
      <c r="C3211" s="25"/>
      <c r="D3211" s="25"/>
      <c r="E3211" s="25"/>
      <c r="F3211" s="17"/>
      <c r="G3211" s="18"/>
      <c r="H3211" s="18"/>
      <c r="I3211" s="18"/>
    </row>
    <row r="3212" ht="15">
      <c r="A3212" s="25"/>
      <c r="B3212" s="25"/>
      <c r="C3212" s="25"/>
      <c r="D3212" s="25"/>
      <c r="E3212" s="25"/>
      <c r="F3212" s="17"/>
      <c r="G3212" s="18"/>
      <c r="H3212" s="18"/>
      <c r="I3212" s="18"/>
    </row>
    <row r="3213" ht="15">
      <c r="A3213" s="25"/>
      <c r="B3213" s="25"/>
      <c r="C3213" s="25"/>
      <c r="D3213" s="25"/>
      <c r="E3213" s="25"/>
      <c r="F3213" s="17"/>
      <c r="G3213" s="18"/>
      <c r="H3213" s="18"/>
      <c r="I3213" s="18"/>
    </row>
    <row r="3214" ht="15">
      <c r="A3214" s="25"/>
      <c r="B3214" s="25"/>
      <c r="C3214" s="25"/>
      <c r="D3214" s="25"/>
      <c r="E3214" s="25"/>
      <c r="F3214" s="17"/>
      <c r="G3214" s="18"/>
      <c r="H3214" s="18"/>
      <c r="I3214" s="18"/>
    </row>
    <row r="3215" ht="15">
      <c r="A3215" s="25"/>
      <c r="B3215" s="25"/>
      <c r="C3215" s="25"/>
      <c r="D3215" s="25"/>
      <c r="E3215" s="25"/>
      <c r="F3215" s="17"/>
      <c r="G3215" s="18"/>
      <c r="H3215" s="18"/>
      <c r="I3215" s="18"/>
    </row>
    <row r="3216" ht="15">
      <c r="A3216" s="25"/>
      <c r="B3216" s="25"/>
      <c r="C3216" s="25"/>
      <c r="D3216" s="25"/>
      <c r="E3216" s="25"/>
      <c r="F3216" s="17"/>
      <c r="G3216" s="18"/>
      <c r="H3216" s="18"/>
      <c r="I3216" s="18"/>
    </row>
    <row r="3217" ht="15">
      <c r="A3217" s="25"/>
      <c r="B3217" s="25"/>
      <c r="C3217" s="25"/>
      <c r="D3217" s="25"/>
      <c r="E3217" s="25"/>
      <c r="F3217" s="17"/>
      <c r="G3217" s="18"/>
      <c r="H3217" s="18"/>
      <c r="I3217" s="18"/>
    </row>
    <row r="3218" ht="15">
      <c r="A3218" s="25"/>
      <c r="B3218" s="25"/>
      <c r="C3218" s="25"/>
      <c r="D3218" s="25"/>
      <c r="E3218" s="25"/>
      <c r="F3218" s="17"/>
      <c r="G3218" s="18"/>
      <c r="H3218" s="18"/>
      <c r="I3218" s="18"/>
    </row>
    <row r="3219" ht="15">
      <c r="A3219" s="25"/>
      <c r="B3219" s="25"/>
      <c r="C3219" s="25"/>
      <c r="D3219" s="25"/>
      <c r="E3219" s="25"/>
      <c r="F3219" s="17"/>
      <c r="G3219" s="18"/>
      <c r="H3219" s="18"/>
      <c r="I3219" s="18"/>
    </row>
    <row r="3220" ht="15">
      <c r="A3220" s="25"/>
      <c r="B3220" s="25"/>
      <c r="C3220" s="25"/>
      <c r="D3220" s="25"/>
      <c r="E3220" s="25"/>
      <c r="F3220" s="17"/>
      <c r="G3220" s="18"/>
      <c r="H3220" s="18"/>
      <c r="I3220" s="18"/>
    </row>
    <row r="3221" ht="15">
      <c r="A3221" s="25"/>
      <c r="B3221" s="25"/>
      <c r="C3221" s="25"/>
      <c r="D3221" s="25"/>
      <c r="E3221" s="25"/>
      <c r="F3221" s="17"/>
      <c r="G3221" s="18"/>
      <c r="H3221" s="18"/>
      <c r="I3221" s="18"/>
    </row>
    <row r="3222" ht="15">
      <c r="A3222" s="25"/>
      <c r="B3222" s="25"/>
      <c r="C3222" s="25"/>
      <c r="D3222" s="25"/>
      <c r="E3222" s="25"/>
      <c r="F3222" s="17"/>
      <c r="G3222" s="18"/>
      <c r="H3222" s="18"/>
      <c r="I3222" s="18"/>
    </row>
    <row r="3223" ht="15">
      <c r="A3223" s="25"/>
      <c r="B3223" s="25"/>
      <c r="C3223" s="25"/>
      <c r="D3223" s="25"/>
      <c r="E3223" s="25"/>
      <c r="F3223" s="17"/>
      <c r="G3223" s="18"/>
      <c r="H3223" s="18"/>
      <c r="I3223" s="18"/>
    </row>
    <row r="3224" ht="15">
      <c r="A3224" s="25"/>
      <c r="B3224" s="25"/>
      <c r="C3224" s="25"/>
      <c r="D3224" s="25"/>
      <c r="E3224" s="25"/>
      <c r="F3224" s="17"/>
      <c r="G3224" s="18"/>
      <c r="H3224" s="18"/>
      <c r="I3224" s="18"/>
    </row>
    <row r="3225" ht="15">
      <c r="A3225" s="25"/>
      <c r="B3225" s="25"/>
      <c r="C3225" s="25"/>
      <c r="D3225" s="25"/>
      <c r="E3225" s="25"/>
      <c r="F3225" s="17"/>
      <c r="G3225" s="18"/>
      <c r="H3225" s="18"/>
      <c r="I3225" s="18"/>
    </row>
    <row r="3226" ht="15">
      <c r="A3226" s="25"/>
      <c r="B3226" s="25"/>
      <c r="C3226" s="25"/>
      <c r="D3226" s="25"/>
      <c r="E3226" s="25"/>
      <c r="F3226" s="17"/>
      <c r="G3226" s="18"/>
      <c r="H3226" s="18"/>
      <c r="I3226" s="18"/>
    </row>
    <row r="3227" ht="15">
      <c r="A3227" s="25"/>
      <c r="B3227" s="25"/>
      <c r="C3227" s="25"/>
      <c r="D3227" s="25"/>
      <c r="E3227" s="25"/>
      <c r="F3227" s="17"/>
      <c r="G3227" s="18"/>
      <c r="H3227" s="18"/>
      <c r="I3227" s="18"/>
    </row>
    <row r="3228" ht="15">
      <c r="A3228" s="25"/>
      <c r="B3228" s="25"/>
      <c r="C3228" s="25"/>
      <c r="D3228" s="25"/>
      <c r="E3228" s="25"/>
      <c r="F3228" s="17"/>
      <c r="G3228" s="18"/>
      <c r="H3228" s="18"/>
      <c r="I3228" s="18"/>
    </row>
    <row r="3229" ht="15">
      <c r="A3229" s="25"/>
      <c r="B3229" s="25"/>
      <c r="C3229" s="25"/>
      <c r="D3229" s="25"/>
      <c r="E3229" s="25"/>
      <c r="F3229" s="17"/>
      <c r="G3229" s="18"/>
      <c r="H3229" s="18"/>
      <c r="I3229" s="18"/>
    </row>
    <row r="3230" ht="15">
      <c r="A3230" s="25"/>
      <c r="B3230" s="25"/>
      <c r="C3230" s="25"/>
      <c r="D3230" s="25"/>
      <c r="E3230" s="25"/>
      <c r="F3230" s="17"/>
      <c r="G3230" s="18"/>
      <c r="H3230" s="18"/>
      <c r="I3230" s="18"/>
    </row>
    <row r="3231" ht="15">
      <c r="A3231" s="25"/>
      <c r="B3231" s="25"/>
      <c r="C3231" s="25"/>
      <c r="D3231" s="25"/>
      <c r="E3231" s="25"/>
      <c r="F3231" s="17"/>
      <c r="G3231" s="18"/>
      <c r="H3231" s="18"/>
      <c r="I3231" s="18"/>
    </row>
    <row r="3232" ht="15">
      <c r="A3232" s="25"/>
      <c r="B3232" s="25"/>
      <c r="C3232" s="25"/>
      <c r="D3232" s="25"/>
      <c r="E3232" s="25"/>
      <c r="F3232" s="17"/>
      <c r="G3232" s="18"/>
      <c r="H3232" s="18"/>
      <c r="I3232" s="18"/>
    </row>
    <row r="3233" ht="15">
      <c r="A3233" s="25"/>
      <c r="B3233" s="25"/>
      <c r="C3233" s="25"/>
      <c r="D3233" s="25"/>
      <c r="E3233" s="25"/>
      <c r="F3233" s="17"/>
      <c r="G3233" s="18"/>
      <c r="H3233" s="18"/>
      <c r="I3233" s="18"/>
    </row>
    <row r="3234" ht="15">
      <c r="A3234" s="25"/>
      <c r="B3234" s="25"/>
      <c r="C3234" s="25"/>
      <c r="D3234" s="25"/>
      <c r="E3234" s="25"/>
      <c r="F3234" s="17"/>
      <c r="G3234" s="18"/>
      <c r="H3234" s="18"/>
      <c r="I3234" s="18"/>
    </row>
    <row r="3235" ht="15">
      <c r="A3235" s="25"/>
      <c r="B3235" s="25"/>
      <c r="C3235" s="25"/>
      <c r="D3235" s="25"/>
      <c r="E3235" s="25"/>
      <c r="F3235" s="17"/>
      <c r="G3235" s="18"/>
      <c r="H3235" s="18"/>
      <c r="I3235" s="18"/>
    </row>
    <row r="3236" ht="15">
      <c r="A3236" s="25"/>
      <c r="B3236" s="25"/>
      <c r="C3236" s="25"/>
      <c r="D3236" s="25"/>
      <c r="E3236" s="25"/>
      <c r="F3236" s="17"/>
      <c r="G3236" s="18"/>
      <c r="H3236" s="18"/>
      <c r="I3236" s="18"/>
    </row>
    <row r="3237" ht="15">
      <c r="A3237" s="25"/>
      <c r="B3237" s="25"/>
      <c r="C3237" s="25"/>
      <c r="D3237" s="25"/>
      <c r="E3237" s="25"/>
      <c r="F3237" s="17"/>
      <c r="G3237" s="18"/>
      <c r="H3237" s="18"/>
      <c r="I3237" s="18"/>
    </row>
    <row r="3238" ht="15">
      <c r="A3238" s="25"/>
      <c r="B3238" s="25"/>
      <c r="C3238" s="25"/>
      <c r="D3238" s="25"/>
      <c r="E3238" s="25"/>
      <c r="F3238" s="17"/>
      <c r="G3238" s="18"/>
      <c r="H3238" s="18"/>
      <c r="I3238" s="18"/>
    </row>
    <row r="3239" ht="15">
      <c r="A3239" s="25"/>
      <c r="B3239" s="25"/>
      <c r="C3239" s="25"/>
      <c r="D3239" s="25"/>
      <c r="E3239" s="25"/>
      <c r="F3239" s="17"/>
      <c r="G3239" s="18"/>
      <c r="H3239" s="18"/>
      <c r="I3239" s="18"/>
    </row>
    <row r="3240" ht="15">
      <c r="A3240" s="25"/>
      <c r="B3240" s="25"/>
      <c r="C3240" s="25"/>
      <c r="D3240" s="25"/>
      <c r="E3240" s="25"/>
      <c r="F3240" s="17"/>
      <c r="G3240" s="18"/>
      <c r="H3240" s="18"/>
      <c r="I3240" s="18"/>
    </row>
    <row r="3241" ht="15">
      <c r="A3241" s="25"/>
      <c r="B3241" s="25"/>
      <c r="C3241" s="25"/>
      <c r="D3241" s="25"/>
      <c r="E3241" s="25"/>
      <c r="F3241" s="17"/>
      <c r="G3241" s="18"/>
      <c r="H3241" s="18"/>
      <c r="I3241" s="18"/>
    </row>
    <row r="3242" ht="15">
      <c r="A3242" s="25"/>
      <c r="B3242" s="25"/>
      <c r="C3242" s="25"/>
      <c r="D3242" s="25"/>
      <c r="E3242" s="25"/>
      <c r="F3242" s="17"/>
      <c r="G3242" s="18"/>
      <c r="H3242" s="18"/>
      <c r="I3242" s="18"/>
    </row>
    <row r="3243" ht="15">
      <c r="A3243" s="25"/>
      <c r="B3243" s="25"/>
      <c r="C3243" s="25"/>
      <c r="D3243" s="25"/>
      <c r="E3243" s="25"/>
      <c r="F3243" s="17"/>
      <c r="G3243" s="18"/>
      <c r="H3243" s="18"/>
      <c r="I3243" s="18"/>
    </row>
    <row r="3244" ht="15">
      <c r="A3244" s="25"/>
      <c r="B3244" s="25"/>
      <c r="C3244" s="25"/>
      <c r="D3244" s="25"/>
      <c r="E3244" s="25"/>
      <c r="F3244" s="17"/>
      <c r="G3244" s="18"/>
      <c r="H3244" s="18"/>
      <c r="I3244" s="18"/>
    </row>
    <row r="3245" ht="15">
      <c r="A3245" s="25"/>
      <c r="B3245" s="25"/>
      <c r="C3245" s="25"/>
      <c r="D3245" s="25"/>
      <c r="E3245" s="25"/>
      <c r="F3245" s="17"/>
      <c r="G3245" s="18"/>
      <c r="H3245" s="18"/>
      <c r="I3245" s="18"/>
    </row>
    <row r="3246" ht="15">
      <c r="A3246" s="25"/>
      <c r="B3246" s="25"/>
      <c r="C3246" s="25"/>
      <c r="D3246" s="25"/>
      <c r="E3246" s="25"/>
      <c r="F3246" s="17"/>
      <c r="G3246" s="18"/>
      <c r="H3246" s="18"/>
      <c r="I3246" s="18"/>
    </row>
    <row r="3247" ht="15">
      <c r="A3247" s="18"/>
      <c r="B3247" s="18"/>
      <c r="C3247" s="18"/>
      <c r="D3247" s="25"/>
      <c r="E3247" s="19"/>
      <c r="F3247" s="17"/>
      <c r="G3247" s="18"/>
      <c r="H3247" s="18"/>
      <c r="I3247" s="18"/>
    </row>
    <row r="3248" ht="15">
      <c r="A3248" s="18"/>
      <c r="B3248" s="18"/>
      <c r="C3248" s="18"/>
      <c r="D3248" s="19"/>
      <c r="E3248" s="19"/>
      <c r="F3248" s="17"/>
      <c r="G3248" s="18"/>
      <c r="H3248" s="18"/>
      <c r="I3248" s="18"/>
    </row>
    <row r="3249" ht="15">
      <c r="A3249" s="18"/>
      <c r="B3249" s="18"/>
      <c r="C3249" s="18"/>
      <c r="D3249" s="19"/>
      <c r="E3249" s="19"/>
      <c r="F3249" s="17"/>
      <c r="G3249" s="18"/>
      <c r="H3249" s="18"/>
      <c r="I3249" s="18"/>
    </row>
    <row r="3250" ht="15">
      <c r="A3250" s="18"/>
      <c r="B3250" s="18"/>
      <c r="C3250" s="18"/>
      <c r="D3250" s="19"/>
      <c r="E3250" s="19"/>
      <c r="F3250" s="17"/>
      <c r="G3250" s="18"/>
      <c r="H3250" s="18"/>
      <c r="I3250" s="18"/>
    </row>
    <row r="3251" ht="15">
      <c r="A3251" s="18"/>
      <c r="B3251" s="18"/>
      <c r="C3251" s="18"/>
      <c r="D3251" s="19"/>
      <c r="E3251" s="19"/>
      <c r="F3251" s="17"/>
      <c r="G3251" s="18"/>
      <c r="H3251" s="18"/>
      <c r="I3251" s="18"/>
    </row>
    <row r="3252" ht="15">
      <c r="A3252" s="18"/>
      <c r="B3252" s="18"/>
      <c r="C3252" s="18"/>
      <c r="D3252" s="19"/>
      <c r="E3252" s="19"/>
      <c r="F3252" s="17"/>
      <c r="G3252" s="18"/>
      <c r="H3252" s="18"/>
      <c r="I3252" s="18"/>
    </row>
    <row r="3253" ht="15">
      <c r="A3253" s="18"/>
      <c r="B3253" s="18"/>
      <c r="C3253" s="18"/>
      <c r="D3253" s="19"/>
      <c r="E3253" s="19"/>
      <c r="F3253" s="17"/>
      <c r="G3253" s="18"/>
      <c r="H3253" s="18"/>
      <c r="I3253" s="18"/>
    </row>
    <row r="3254" ht="15">
      <c r="A3254" s="18"/>
      <c r="B3254" s="18"/>
      <c r="C3254" s="18"/>
      <c r="D3254" s="19"/>
      <c r="E3254" s="19"/>
      <c r="F3254" s="17"/>
      <c r="G3254" s="18"/>
      <c r="H3254" s="18"/>
      <c r="I3254" s="18"/>
    </row>
    <row r="3255" ht="15">
      <c r="A3255" s="18"/>
      <c r="B3255" s="18"/>
      <c r="C3255" s="18"/>
      <c r="D3255" s="19"/>
      <c r="E3255" s="19"/>
      <c r="F3255" s="17"/>
      <c r="G3255" s="18"/>
      <c r="H3255" s="18"/>
      <c r="I3255" s="18"/>
    </row>
    <row r="3256" ht="15">
      <c r="A3256" s="18"/>
      <c r="B3256" s="18"/>
      <c r="C3256" s="18"/>
      <c r="D3256" s="19"/>
      <c r="E3256" s="19"/>
      <c r="F3256" s="17"/>
      <c r="G3256" s="18"/>
      <c r="H3256" s="18"/>
      <c r="I3256" s="18"/>
    </row>
    <row r="3257" ht="15">
      <c r="A3257" s="18"/>
      <c r="B3257" s="18"/>
      <c r="C3257" s="18"/>
      <c r="D3257" s="19"/>
      <c r="E3257" s="19"/>
      <c r="F3257" s="17"/>
      <c r="G3257" s="18"/>
      <c r="H3257" s="18"/>
      <c r="I3257" s="18"/>
    </row>
    <row r="3258" ht="15">
      <c r="A3258" s="18"/>
      <c r="B3258" s="18"/>
      <c r="C3258" s="18"/>
      <c r="D3258" s="19"/>
      <c r="E3258" s="19"/>
      <c r="F3258" s="17"/>
      <c r="G3258" s="18"/>
      <c r="H3258" s="18"/>
      <c r="I3258" s="18"/>
    </row>
    <row r="3259" ht="15">
      <c r="A3259" s="18"/>
      <c r="B3259" s="18"/>
      <c r="C3259" s="18"/>
      <c r="D3259" s="19"/>
      <c r="E3259" s="19"/>
      <c r="F3259" s="17"/>
      <c r="G3259" s="18"/>
      <c r="H3259" s="18"/>
      <c r="I3259" s="18"/>
    </row>
    <row r="3260" ht="15">
      <c r="A3260" s="18"/>
      <c r="B3260" s="18"/>
      <c r="C3260" s="18"/>
      <c r="D3260" s="19"/>
      <c r="E3260" s="19"/>
      <c r="F3260" s="17"/>
      <c r="G3260" s="18"/>
      <c r="H3260" s="18"/>
      <c r="I3260" s="18"/>
    </row>
    <row r="3261" ht="15">
      <c r="A3261" s="18"/>
      <c r="B3261" s="18"/>
      <c r="C3261" s="18"/>
      <c r="D3261" s="19"/>
      <c r="E3261" s="19"/>
      <c r="F3261" s="17"/>
      <c r="G3261" s="18"/>
      <c r="H3261" s="18"/>
      <c r="I3261" s="18"/>
    </row>
    <row r="3262" ht="15">
      <c r="A3262" s="18"/>
      <c r="B3262" s="18"/>
      <c r="C3262" s="18"/>
      <c r="D3262" s="19"/>
      <c r="E3262" s="19"/>
      <c r="F3262" s="17"/>
      <c r="G3262" s="18"/>
      <c r="H3262" s="18"/>
      <c r="I3262" s="18"/>
    </row>
    <row r="3263" ht="15">
      <c r="A3263" s="18"/>
      <c r="B3263" s="18"/>
      <c r="C3263" s="18"/>
      <c r="D3263" s="19"/>
      <c r="E3263" s="19"/>
      <c r="F3263" s="17"/>
      <c r="G3263" s="18"/>
      <c r="H3263" s="18"/>
      <c r="I3263" s="18"/>
    </row>
    <row r="3264" ht="15">
      <c r="A3264" s="18"/>
      <c r="B3264" s="18"/>
      <c r="C3264" s="18"/>
      <c r="D3264" s="19"/>
      <c r="E3264" s="19"/>
      <c r="F3264" s="17"/>
      <c r="G3264" s="18"/>
      <c r="H3264" s="18"/>
      <c r="I3264" s="18"/>
    </row>
    <row r="3265" ht="15">
      <c r="A3265" s="18"/>
      <c r="B3265" s="18"/>
      <c r="C3265" s="18"/>
      <c r="D3265" s="19"/>
      <c r="E3265" s="19"/>
      <c r="F3265" s="17"/>
      <c r="G3265" s="18"/>
      <c r="H3265" s="18"/>
      <c r="I3265" s="18"/>
    </row>
    <row r="3266" ht="15">
      <c r="A3266" s="18"/>
      <c r="B3266" s="18"/>
      <c r="C3266" s="18"/>
      <c r="D3266" s="19"/>
      <c r="E3266" s="19"/>
      <c r="F3266" s="17"/>
      <c r="G3266" s="18"/>
      <c r="H3266" s="18"/>
      <c r="I3266" s="18"/>
    </row>
    <row r="3267" ht="15">
      <c r="A3267" s="18"/>
      <c r="B3267" s="18"/>
      <c r="C3267" s="18"/>
      <c r="D3267" s="19"/>
      <c r="E3267" s="19"/>
      <c r="F3267" s="17"/>
      <c r="G3267" s="18"/>
      <c r="H3267" s="18"/>
      <c r="I3267" s="18"/>
    </row>
    <row r="3268" ht="15">
      <c r="A3268" s="18"/>
      <c r="B3268" s="18"/>
      <c r="C3268" s="18"/>
      <c r="D3268" s="19"/>
      <c r="E3268" s="19"/>
      <c r="F3268" s="17"/>
      <c r="G3268" s="18"/>
      <c r="H3268" s="18"/>
      <c r="I3268" s="18"/>
    </row>
    <row r="3269" ht="15">
      <c r="A3269" s="18"/>
      <c r="B3269" s="18"/>
      <c r="C3269" s="18"/>
      <c r="D3269" s="19"/>
      <c r="E3269" s="19"/>
      <c r="F3269" s="17"/>
      <c r="G3269" s="18"/>
      <c r="H3269" s="18"/>
      <c r="I3269" s="18"/>
    </row>
    <row r="3270" ht="15">
      <c r="A3270" s="18"/>
      <c r="B3270" s="18"/>
      <c r="C3270" s="18"/>
      <c r="D3270" s="19"/>
      <c r="E3270" s="19"/>
      <c r="F3270" s="17"/>
      <c r="G3270" s="18"/>
      <c r="H3270" s="18"/>
      <c r="I3270" s="18"/>
    </row>
    <row r="3271" ht="15">
      <c r="A3271" s="18"/>
      <c r="B3271" s="18"/>
      <c r="C3271" s="18"/>
      <c r="D3271" s="19"/>
      <c r="E3271" s="19"/>
      <c r="F3271" s="17"/>
      <c r="G3271" s="18"/>
      <c r="H3271" s="18"/>
      <c r="I3271" s="18"/>
    </row>
    <row r="3272" ht="15">
      <c r="A3272" s="18"/>
      <c r="B3272" s="18"/>
      <c r="C3272" s="18"/>
      <c r="D3272" s="19"/>
      <c r="E3272" s="19"/>
      <c r="F3272" s="17"/>
      <c r="G3272" s="18"/>
      <c r="H3272" s="18"/>
      <c r="I3272" s="18"/>
    </row>
    <row r="3273" ht="15">
      <c r="A3273" s="18"/>
      <c r="B3273" s="18"/>
      <c r="C3273" s="18"/>
      <c r="D3273" s="19"/>
      <c r="E3273" s="19"/>
      <c r="F3273" s="17"/>
      <c r="G3273" s="18"/>
      <c r="H3273" s="18"/>
      <c r="I3273" s="18"/>
    </row>
    <row r="3274" ht="15">
      <c r="A3274" s="18"/>
      <c r="B3274" s="18"/>
      <c r="C3274" s="18"/>
      <c r="D3274" s="19"/>
      <c r="E3274" s="19"/>
      <c r="F3274" s="17"/>
      <c r="G3274" s="18"/>
      <c r="H3274" s="18"/>
      <c r="I3274" s="18"/>
    </row>
    <row r="3275" ht="15">
      <c r="A3275" s="18"/>
      <c r="B3275" s="18"/>
      <c r="C3275" s="18"/>
      <c r="D3275" s="19"/>
      <c r="E3275" s="19"/>
      <c r="F3275" s="17"/>
      <c r="G3275" s="18"/>
      <c r="H3275" s="18"/>
      <c r="I3275" s="18"/>
    </row>
    <row r="3276" ht="15">
      <c r="A3276" s="18"/>
      <c r="B3276" s="18"/>
      <c r="C3276" s="18"/>
      <c r="D3276" s="19"/>
      <c r="E3276" s="19"/>
      <c r="F3276" s="17"/>
      <c r="G3276" s="18"/>
      <c r="H3276" s="18"/>
      <c r="I3276" s="18"/>
    </row>
    <row r="3277" ht="15">
      <c r="A3277" s="18"/>
      <c r="B3277" s="18"/>
      <c r="C3277" s="18"/>
      <c r="D3277" s="19"/>
      <c r="E3277" s="19"/>
      <c r="F3277" s="17"/>
      <c r="G3277" s="18"/>
      <c r="H3277" s="18"/>
      <c r="I3277" s="18"/>
    </row>
    <row r="3278" ht="15">
      <c r="A3278" s="18"/>
      <c r="B3278" s="18"/>
      <c r="C3278" s="18"/>
      <c r="D3278" s="19"/>
      <c r="E3278" s="19"/>
      <c r="F3278" s="17"/>
      <c r="G3278" s="18"/>
      <c r="H3278" s="18"/>
      <c r="I3278" s="18"/>
    </row>
    <row r="3279" ht="15">
      <c r="A3279" s="18"/>
      <c r="B3279" s="18"/>
      <c r="C3279" s="18"/>
      <c r="D3279" s="19"/>
      <c r="E3279" s="19"/>
      <c r="F3279" s="17"/>
      <c r="G3279" s="18"/>
      <c r="H3279" s="18"/>
      <c r="I3279" s="18"/>
    </row>
    <row r="3280" ht="15">
      <c r="A3280" s="18"/>
      <c r="B3280" s="18"/>
      <c r="C3280" s="18"/>
      <c r="D3280" s="19"/>
      <c r="E3280" s="19"/>
      <c r="F3280" s="17"/>
      <c r="G3280" s="18"/>
      <c r="H3280" s="18"/>
      <c r="I3280" s="18"/>
    </row>
    <row r="3281" ht="15">
      <c r="A3281" s="18"/>
      <c r="B3281" s="18"/>
      <c r="C3281" s="18"/>
      <c r="D3281" s="19"/>
      <c r="E3281" s="19"/>
      <c r="F3281" s="17"/>
      <c r="G3281" s="18"/>
      <c r="H3281" s="18"/>
      <c r="I3281" s="18"/>
    </row>
    <row r="3282" ht="15">
      <c r="A3282" s="18"/>
      <c r="B3282" s="18"/>
      <c r="C3282" s="18"/>
      <c r="D3282" s="19"/>
      <c r="E3282" s="19"/>
      <c r="F3282" s="17"/>
      <c r="G3282" s="18"/>
      <c r="H3282" s="18"/>
      <c r="I3282" s="18"/>
    </row>
    <row r="3283" ht="15">
      <c r="A3283" s="18"/>
      <c r="B3283" s="18"/>
      <c r="C3283" s="18"/>
      <c r="D3283" s="19"/>
      <c r="E3283" s="19"/>
      <c r="F3283" s="17"/>
      <c r="G3283" s="18"/>
      <c r="H3283" s="18"/>
      <c r="I3283" s="18"/>
    </row>
    <row r="3284" ht="15">
      <c r="A3284" s="18"/>
      <c r="B3284" s="18"/>
      <c r="C3284" s="18"/>
      <c r="D3284" s="19"/>
      <c r="E3284" s="19"/>
      <c r="F3284" s="17"/>
      <c r="G3284" s="18"/>
      <c r="H3284" s="18"/>
      <c r="I3284" s="18"/>
    </row>
    <row r="3285" ht="15">
      <c r="A3285" s="18"/>
      <c r="B3285" s="18"/>
      <c r="C3285" s="18"/>
      <c r="D3285" s="19"/>
      <c r="E3285" s="19"/>
      <c r="F3285" s="17"/>
      <c r="G3285" s="18"/>
      <c r="H3285" s="18"/>
      <c r="I3285" s="18"/>
    </row>
    <row r="3286" ht="15">
      <c r="A3286" s="18"/>
      <c r="B3286" s="18"/>
      <c r="C3286" s="18"/>
      <c r="D3286" s="19"/>
      <c r="E3286" s="19"/>
      <c r="F3286" s="17"/>
      <c r="G3286" s="18"/>
      <c r="H3286" s="18"/>
      <c r="I3286" s="18"/>
    </row>
    <row r="3287" ht="15">
      <c r="A3287" s="18"/>
      <c r="B3287" s="18"/>
      <c r="C3287" s="18"/>
      <c r="D3287" s="19"/>
      <c r="E3287" s="19"/>
      <c r="F3287" s="17"/>
      <c r="G3287" s="18"/>
      <c r="H3287" s="18"/>
      <c r="I3287" s="18"/>
    </row>
    <row r="3288" ht="15">
      <c r="A3288" s="18"/>
      <c r="B3288" s="18"/>
      <c r="C3288" s="18"/>
      <c r="D3288" s="19"/>
      <c r="E3288" s="19"/>
      <c r="F3288" s="17"/>
      <c r="G3288" s="18"/>
      <c r="H3288" s="18"/>
      <c r="I3288" s="18"/>
    </row>
    <row r="3289" ht="15">
      <c r="A3289" s="18"/>
      <c r="B3289" s="18"/>
      <c r="C3289" s="18"/>
      <c r="D3289" s="19"/>
      <c r="E3289" s="19"/>
      <c r="F3289" s="17"/>
      <c r="G3289" s="18"/>
      <c r="H3289" s="18"/>
      <c r="I3289" s="18"/>
    </row>
    <row r="3290" ht="15">
      <c r="A3290" s="18"/>
      <c r="B3290" s="18"/>
      <c r="C3290" s="18"/>
      <c r="D3290" s="19"/>
      <c r="E3290" s="19"/>
      <c r="F3290" s="17"/>
      <c r="G3290" s="18"/>
      <c r="H3290" s="18"/>
      <c r="I3290" s="18"/>
    </row>
    <row r="3291" ht="15">
      <c r="A3291" s="18"/>
      <c r="B3291" s="18"/>
      <c r="C3291" s="18"/>
      <c r="D3291" s="19"/>
      <c r="E3291" s="19"/>
      <c r="F3291" s="17"/>
      <c r="G3291" s="18"/>
      <c r="H3291" s="18"/>
      <c r="I3291" s="18"/>
    </row>
    <row r="3292" ht="15">
      <c r="A3292" s="18"/>
      <c r="B3292" s="18"/>
      <c r="C3292" s="18"/>
      <c r="D3292" s="19"/>
      <c r="E3292" s="19"/>
      <c r="F3292" s="17"/>
      <c r="G3292" s="18"/>
      <c r="H3292" s="18"/>
      <c r="I3292" s="18"/>
    </row>
    <row r="3293" ht="15">
      <c r="A3293" s="18"/>
      <c r="B3293" s="18"/>
      <c r="C3293" s="18"/>
      <c r="D3293" s="19"/>
      <c r="E3293" s="19"/>
      <c r="F3293" s="17"/>
      <c r="G3293" s="18"/>
      <c r="H3293" s="18"/>
      <c r="I3293" s="18"/>
    </row>
    <row r="3294" ht="15">
      <c r="A3294" s="18"/>
      <c r="B3294" s="18"/>
      <c r="C3294" s="18"/>
      <c r="D3294" s="19"/>
      <c r="E3294" s="19"/>
      <c r="F3294" s="17"/>
      <c r="G3294" s="18"/>
      <c r="H3294" s="18"/>
      <c r="I3294" s="18"/>
    </row>
    <row r="3295" ht="15">
      <c r="A3295" s="18"/>
      <c r="B3295" s="18"/>
      <c r="C3295" s="18"/>
      <c r="D3295" s="19"/>
      <c r="E3295" s="19"/>
      <c r="F3295" s="17"/>
      <c r="G3295" s="18"/>
      <c r="H3295" s="18"/>
      <c r="I3295" s="18"/>
    </row>
    <row r="3296" ht="15">
      <c r="A3296" s="18"/>
      <c r="B3296" s="18"/>
      <c r="C3296" s="18"/>
      <c r="D3296" s="19"/>
      <c r="E3296" s="19"/>
      <c r="F3296" s="17"/>
      <c r="G3296" s="18"/>
      <c r="H3296" s="18"/>
      <c r="I3296" s="18"/>
    </row>
    <row r="3297" ht="15">
      <c r="A3297" s="18"/>
      <c r="B3297" s="18"/>
      <c r="C3297" s="18"/>
      <c r="D3297" s="19"/>
      <c r="E3297" s="19"/>
      <c r="F3297" s="17"/>
      <c r="G3297" s="18"/>
      <c r="H3297" s="18"/>
      <c r="I3297" s="18"/>
    </row>
    <row r="3298" ht="15">
      <c r="A3298" s="18"/>
      <c r="B3298" s="18"/>
      <c r="C3298" s="18"/>
      <c r="D3298" s="19"/>
      <c r="E3298" s="19"/>
      <c r="F3298" s="17"/>
      <c r="G3298" s="18"/>
      <c r="H3298" s="18"/>
      <c r="I3298" s="18"/>
    </row>
    <row r="3299" ht="15">
      <c r="A3299" s="18"/>
      <c r="B3299" s="18"/>
      <c r="C3299" s="18"/>
      <c r="D3299" s="19"/>
      <c r="E3299" s="19"/>
      <c r="F3299" s="17"/>
      <c r="G3299" s="18"/>
      <c r="H3299" s="18"/>
      <c r="I3299" s="18"/>
    </row>
    <row r="3300" ht="15">
      <c r="A3300" s="18"/>
      <c r="B3300" s="18"/>
      <c r="C3300" s="18"/>
      <c r="D3300" s="19"/>
      <c r="E3300" s="19"/>
      <c r="F3300" s="17"/>
      <c r="G3300" s="18"/>
      <c r="H3300" s="18"/>
      <c r="I3300" s="18"/>
    </row>
    <row r="3301" ht="15">
      <c r="A3301" s="18"/>
      <c r="B3301" s="18"/>
      <c r="C3301" s="18"/>
      <c r="D3301" s="19"/>
      <c r="E3301" s="19"/>
      <c r="F3301" s="17"/>
      <c r="G3301" s="18"/>
      <c r="H3301" s="18"/>
      <c r="I3301" s="18"/>
    </row>
    <row r="3302" ht="15">
      <c r="A3302" s="18"/>
      <c r="B3302" s="18"/>
      <c r="C3302" s="18"/>
      <c r="D3302" s="19"/>
      <c r="E3302" s="19"/>
      <c r="F3302" s="17"/>
      <c r="G3302" s="18"/>
      <c r="H3302" s="18"/>
      <c r="I3302" s="18"/>
    </row>
    <row r="3303" ht="15">
      <c r="A3303" s="18"/>
      <c r="B3303" s="18"/>
      <c r="C3303" s="18"/>
      <c r="D3303" s="19"/>
      <c r="E3303" s="19"/>
      <c r="F3303" s="17"/>
      <c r="G3303" s="18"/>
      <c r="H3303" s="18"/>
      <c r="I3303" s="18"/>
    </row>
    <row r="3304" ht="15">
      <c r="A3304" s="18"/>
      <c r="B3304" s="18"/>
      <c r="C3304" s="18"/>
      <c r="D3304" s="19"/>
      <c r="E3304" s="19"/>
      <c r="F3304" s="17"/>
      <c r="G3304" s="18"/>
      <c r="H3304" s="18"/>
      <c r="I3304" s="18"/>
    </row>
    <row r="3305" ht="15">
      <c r="A3305" s="18"/>
      <c r="B3305" s="18"/>
      <c r="C3305" s="18"/>
      <c r="D3305" s="19"/>
      <c r="E3305" s="19"/>
      <c r="F3305" s="17"/>
      <c r="G3305" s="18"/>
      <c r="H3305" s="18"/>
      <c r="I3305" s="18"/>
    </row>
    <row r="3306" ht="15">
      <c r="A3306" s="18"/>
      <c r="B3306" s="18"/>
      <c r="C3306" s="18"/>
      <c r="D3306" s="19"/>
      <c r="E3306" s="19"/>
      <c r="F3306" s="17"/>
      <c r="G3306" s="18"/>
      <c r="H3306" s="18"/>
      <c r="I3306" s="18"/>
    </row>
    <row r="3307" ht="15">
      <c r="A3307" s="18"/>
      <c r="B3307" s="18"/>
      <c r="C3307" s="18"/>
      <c r="D3307" s="19"/>
      <c r="E3307" s="19"/>
      <c r="F3307" s="17"/>
      <c r="G3307" s="18"/>
      <c r="H3307" s="18"/>
      <c r="I3307" s="18"/>
    </row>
    <row r="3308" ht="15">
      <c r="A3308" s="18"/>
      <c r="B3308" s="18"/>
      <c r="C3308" s="18"/>
      <c r="D3308" s="19"/>
      <c r="E3308" s="19"/>
      <c r="F3308" s="17"/>
      <c r="G3308" s="18"/>
      <c r="H3308" s="18"/>
      <c r="I3308" s="18"/>
    </row>
    <row r="3309" ht="15">
      <c r="A3309" s="18"/>
      <c r="B3309" s="18"/>
      <c r="C3309" s="18"/>
      <c r="D3309" s="19"/>
      <c r="E3309" s="19"/>
      <c r="F3309" s="17"/>
      <c r="G3309" s="18"/>
      <c r="H3309" s="18"/>
      <c r="I3309" s="18"/>
    </row>
    <row r="3310" ht="15">
      <c r="A3310" s="18"/>
      <c r="B3310" s="18"/>
      <c r="C3310" s="18"/>
      <c r="D3310" s="19"/>
      <c r="E3310" s="19"/>
      <c r="F3310" s="17"/>
      <c r="G3310" s="18"/>
      <c r="H3310" s="18"/>
      <c r="I3310" s="18"/>
    </row>
    <row r="3311" ht="15">
      <c r="A3311" s="18"/>
      <c r="B3311" s="18"/>
      <c r="C3311" s="18"/>
      <c r="D3311" s="19"/>
      <c r="E3311" s="19"/>
      <c r="F3311" s="17"/>
      <c r="G3311" s="18"/>
      <c r="H3311" s="18"/>
      <c r="I3311" s="18"/>
    </row>
    <row r="3312" ht="15">
      <c r="A3312" s="18"/>
      <c r="B3312" s="18"/>
      <c r="C3312" s="18"/>
      <c r="D3312" s="19"/>
      <c r="E3312" s="19"/>
      <c r="F3312" s="17"/>
      <c r="G3312" s="18"/>
      <c r="H3312" s="18"/>
      <c r="I3312" s="18"/>
    </row>
    <row r="3313" ht="15">
      <c r="A3313" s="18"/>
      <c r="B3313" s="18"/>
      <c r="C3313" s="18"/>
      <c r="D3313" s="19"/>
      <c r="E3313" s="19"/>
      <c r="F3313" s="17"/>
      <c r="G3313" s="18"/>
      <c r="H3313" s="18"/>
      <c r="I3313" s="18"/>
    </row>
    <row r="3314" ht="15">
      <c r="A3314" s="18"/>
      <c r="B3314" s="18"/>
      <c r="C3314" s="18"/>
      <c r="D3314" s="19"/>
      <c r="E3314" s="19"/>
      <c r="F3314" s="17"/>
      <c r="G3314" s="18"/>
      <c r="H3314" s="18"/>
      <c r="I3314" s="18"/>
    </row>
    <row r="3315" ht="15">
      <c r="A3315" s="18"/>
      <c r="B3315" s="18"/>
      <c r="C3315" s="18"/>
      <c r="D3315" s="19"/>
      <c r="E3315" s="19"/>
      <c r="F3315" s="17"/>
      <c r="G3315" s="18"/>
      <c r="H3315" s="18"/>
      <c r="I3315" s="18"/>
    </row>
    <row r="3316" ht="15">
      <c r="A3316" s="18"/>
      <c r="B3316" s="18"/>
      <c r="C3316" s="18"/>
      <c r="D3316" s="19"/>
      <c r="E3316" s="19"/>
      <c r="F3316" s="17"/>
      <c r="G3316" s="18"/>
      <c r="H3316" s="18"/>
      <c r="I3316" s="18"/>
    </row>
    <row r="3317" ht="15">
      <c r="A3317" s="18"/>
      <c r="B3317" s="18"/>
      <c r="C3317" s="18"/>
      <c r="D3317" s="19"/>
      <c r="E3317" s="19"/>
      <c r="F3317" s="17"/>
      <c r="G3317" s="18"/>
      <c r="H3317" s="18"/>
      <c r="I3317" s="18"/>
    </row>
    <row r="3318" ht="15">
      <c r="A3318" s="18"/>
      <c r="B3318" s="18"/>
      <c r="C3318" s="18"/>
      <c r="D3318" s="19"/>
      <c r="E3318" s="19"/>
      <c r="F3318" s="17"/>
      <c r="G3318" s="18"/>
      <c r="H3318" s="18"/>
      <c r="I3318" s="18"/>
    </row>
    <row r="3319" ht="15">
      <c r="A3319" s="18"/>
      <c r="B3319" s="18"/>
      <c r="C3319" s="18"/>
      <c r="D3319" s="19"/>
      <c r="E3319" s="19"/>
      <c r="F3319" s="17"/>
      <c r="G3319" s="18"/>
      <c r="H3319" s="18"/>
      <c r="I3319" s="18"/>
    </row>
    <row r="3320" ht="15">
      <c r="A3320" s="18"/>
      <c r="B3320" s="18"/>
      <c r="C3320" s="18"/>
      <c r="D3320" s="19"/>
      <c r="E3320" s="19"/>
      <c r="F3320" s="17"/>
      <c r="G3320" s="18"/>
      <c r="H3320" s="18"/>
      <c r="I3320" s="18"/>
    </row>
    <row r="3321" ht="15">
      <c r="A3321" s="18"/>
      <c r="B3321" s="18"/>
      <c r="C3321" s="18"/>
      <c r="D3321" s="19"/>
      <c r="E3321" s="19"/>
      <c r="F3321" s="17"/>
      <c r="G3321" s="18"/>
      <c r="H3321" s="18"/>
      <c r="I3321" s="18"/>
    </row>
    <row r="3322" ht="15">
      <c r="A3322" s="18"/>
      <c r="B3322" s="18"/>
      <c r="C3322" s="18"/>
      <c r="D3322" s="19"/>
      <c r="E3322" s="19"/>
      <c r="F3322" s="17"/>
      <c r="G3322" s="18"/>
      <c r="H3322" s="18"/>
      <c r="I3322" s="18"/>
    </row>
    <row r="3323" ht="15">
      <c r="A3323" s="18"/>
      <c r="B3323" s="18"/>
      <c r="C3323" s="18"/>
      <c r="D3323" s="19"/>
      <c r="E3323" s="19"/>
      <c r="F3323" s="17"/>
      <c r="G3323" s="18"/>
      <c r="H3323" s="18"/>
      <c r="I3323" s="18"/>
    </row>
    <row r="3324" ht="15">
      <c r="A3324" s="18"/>
      <c r="B3324" s="18"/>
      <c r="C3324" s="18"/>
      <c r="D3324" s="19"/>
      <c r="E3324" s="19"/>
      <c r="F3324" s="17"/>
      <c r="G3324" s="18"/>
      <c r="H3324" s="18"/>
      <c r="I3324" s="18"/>
    </row>
    <row r="3325" ht="15">
      <c r="A3325" s="18"/>
      <c r="B3325" s="18"/>
      <c r="C3325" s="18"/>
      <c r="D3325" s="19"/>
      <c r="E3325" s="19"/>
      <c r="F3325" s="17"/>
      <c r="G3325" s="18"/>
      <c r="H3325" s="18"/>
      <c r="I3325" s="18"/>
    </row>
    <row r="3326" ht="15">
      <c r="A3326" s="18"/>
      <c r="B3326" s="18"/>
      <c r="C3326" s="18"/>
      <c r="D3326" s="19"/>
      <c r="E3326" s="19"/>
      <c r="F3326" s="17"/>
      <c r="G3326" s="18"/>
      <c r="H3326" s="18"/>
      <c r="I3326" s="18"/>
    </row>
    <row r="3327" ht="15">
      <c r="A3327" s="18"/>
      <c r="B3327" s="18"/>
      <c r="C3327" s="18"/>
      <c r="D3327" s="19"/>
      <c r="E3327" s="19"/>
      <c r="F3327" s="17"/>
      <c r="G3327" s="18"/>
      <c r="H3327" s="18"/>
      <c r="I3327" s="18"/>
    </row>
    <row r="3328" ht="15">
      <c r="A3328" s="18"/>
      <c r="B3328" s="18"/>
      <c r="C3328" s="18"/>
      <c r="D3328" s="19"/>
      <c r="E3328" s="19"/>
      <c r="F3328" s="17"/>
      <c r="G3328" s="18"/>
      <c r="H3328" s="18"/>
      <c r="I3328" s="18"/>
    </row>
    <row r="3329" ht="15">
      <c r="A3329" s="18"/>
      <c r="B3329" s="18"/>
      <c r="C3329" s="18"/>
      <c r="D3329" s="19"/>
      <c r="E3329" s="19"/>
      <c r="F3329" s="17"/>
      <c r="G3329" s="18"/>
      <c r="H3329" s="18"/>
      <c r="I3329" s="18"/>
    </row>
    <row r="3330" ht="15">
      <c r="A3330" s="18"/>
      <c r="B3330" s="18"/>
      <c r="C3330" s="18"/>
      <c r="D3330" s="19"/>
      <c r="E3330" s="19"/>
      <c r="F3330" s="17"/>
      <c r="G3330" s="18"/>
      <c r="H3330" s="18"/>
      <c r="I3330" s="18"/>
    </row>
    <row r="3331" ht="15">
      <c r="A3331" s="18"/>
      <c r="B3331" s="18"/>
      <c r="C3331" s="18"/>
      <c r="D3331" s="19"/>
      <c r="E3331" s="19"/>
      <c r="F3331" s="17"/>
      <c r="G3331" s="18"/>
      <c r="H3331" s="18"/>
      <c r="I3331" s="18"/>
    </row>
    <row r="3332" ht="15">
      <c r="A3332" s="18"/>
      <c r="B3332" s="18"/>
      <c r="C3332" s="18"/>
      <c r="D3332" s="19"/>
      <c r="E3332" s="19"/>
      <c r="F3332" s="17"/>
      <c r="G3332" s="18"/>
      <c r="H3332" s="18"/>
      <c r="I3332" s="18"/>
    </row>
    <row r="3333" ht="15">
      <c r="A3333" s="18"/>
      <c r="B3333" s="18"/>
      <c r="C3333" s="18"/>
      <c r="D3333" s="19"/>
      <c r="E3333" s="19"/>
      <c r="F3333" s="17"/>
      <c r="G3333" s="18"/>
      <c r="H3333" s="18"/>
      <c r="I3333" s="18"/>
    </row>
    <row r="3334" ht="15">
      <c r="A3334" s="18"/>
      <c r="B3334" s="18"/>
      <c r="C3334" s="18"/>
      <c r="D3334" s="19"/>
      <c r="E3334" s="19"/>
      <c r="F3334" s="17"/>
      <c r="G3334" s="18"/>
      <c r="H3334" s="18"/>
      <c r="I3334" s="18"/>
    </row>
    <row r="3335" ht="15">
      <c r="A3335" s="18"/>
      <c r="B3335" s="18"/>
      <c r="C3335" s="18"/>
      <c r="D3335" s="19"/>
      <c r="E3335" s="19"/>
      <c r="F3335" s="17"/>
      <c r="G3335" s="18"/>
      <c r="H3335" s="18"/>
      <c r="I3335" s="18"/>
    </row>
    <row r="3336" ht="15">
      <c r="A3336" s="18"/>
      <c r="B3336" s="18"/>
      <c r="C3336" s="18"/>
      <c r="D3336" s="19"/>
      <c r="E3336" s="19"/>
      <c r="F3336" s="17"/>
      <c r="G3336" s="18"/>
      <c r="H3336" s="18"/>
      <c r="I3336" s="18"/>
    </row>
    <row r="3337" ht="15">
      <c r="A3337" s="18"/>
      <c r="B3337" s="18"/>
      <c r="C3337" s="18"/>
      <c r="D3337" s="19"/>
      <c r="E3337" s="19"/>
      <c r="F3337" s="17"/>
      <c r="G3337" s="18"/>
      <c r="H3337" s="18"/>
      <c r="I3337" s="18"/>
    </row>
    <row r="3338" ht="15">
      <c r="A3338" s="18"/>
      <c r="B3338" s="18"/>
      <c r="C3338" s="18"/>
      <c r="D3338" s="19"/>
      <c r="E3338" s="19"/>
      <c r="F3338" s="17"/>
      <c r="G3338" s="18"/>
      <c r="H3338" s="18"/>
      <c r="I3338" s="18"/>
    </row>
    <row r="3339" ht="15">
      <c r="A3339" s="18"/>
      <c r="B3339" s="18"/>
      <c r="C3339" s="18"/>
      <c r="D3339" s="19"/>
      <c r="E3339" s="19"/>
      <c r="F3339" s="17"/>
      <c r="G3339" s="18"/>
      <c r="H3339" s="18"/>
      <c r="I3339" s="18"/>
    </row>
    <row r="3340" ht="15">
      <c r="A3340" s="18"/>
      <c r="B3340" s="18"/>
      <c r="C3340" s="18"/>
      <c r="D3340" s="19"/>
      <c r="E3340" s="19"/>
      <c r="F3340" s="17"/>
      <c r="G3340" s="18"/>
      <c r="H3340" s="18"/>
      <c r="I3340" s="18"/>
    </row>
    <row r="3341" ht="15">
      <c r="A3341" s="18"/>
      <c r="B3341" s="18"/>
      <c r="C3341" s="18"/>
      <c r="D3341" s="19"/>
      <c r="E3341" s="19"/>
      <c r="F3341" s="17"/>
      <c r="G3341" s="18"/>
      <c r="H3341" s="18"/>
      <c r="I3341" s="18"/>
    </row>
    <row r="3342" ht="15">
      <c r="A3342" s="18"/>
      <c r="B3342" s="18"/>
      <c r="C3342" s="18"/>
      <c r="D3342" s="19"/>
      <c r="E3342" s="19"/>
      <c r="F3342" s="17"/>
      <c r="G3342" s="18"/>
      <c r="H3342" s="18"/>
      <c r="I3342" s="18"/>
    </row>
    <row r="3343" ht="15">
      <c r="A3343" s="18"/>
      <c r="B3343" s="18"/>
      <c r="C3343" s="18"/>
      <c r="D3343" s="19"/>
      <c r="E3343" s="19"/>
      <c r="F3343" s="17"/>
      <c r="G3343" s="18"/>
      <c r="H3343" s="18"/>
      <c r="I3343" s="18"/>
    </row>
    <row r="3344" ht="15">
      <c r="A3344" s="18"/>
      <c r="B3344" s="18"/>
      <c r="C3344" s="18"/>
      <c r="D3344" s="19"/>
      <c r="E3344" s="19"/>
      <c r="F3344" s="17"/>
      <c r="G3344" s="18"/>
      <c r="H3344" s="18"/>
      <c r="I3344" s="18"/>
    </row>
    <row r="3345" ht="15">
      <c r="A3345" s="18"/>
      <c r="B3345" s="18"/>
      <c r="C3345" s="18"/>
      <c r="D3345" s="19"/>
      <c r="E3345" s="19"/>
      <c r="F3345" s="17"/>
      <c r="G3345" s="18"/>
      <c r="H3345" s="18"/>
      <c r="I3345" s="18"/>
    </row>
    <row r="3346" ht="15">
      <c r="A3346" s="18"/>
      <c r="B3346" s="18"/>
      <c r="C3346" s="18"/>
      <c r="D3346" s="19"/>
      <c r="E3346" s="19"/>
      <c r="F3346" s="17"/>
      <c r="G3346" s="18"/>
      <c r="H3346" s="18"/>
      <c r="I3346" s="18"/>
    </row>
    <row r="3347" ht="15">
      <c r="A3347" s="18"/>
      <c r="B3347" s="18"/>
      <c r="C3347" s="18"/>
      <c r="D3347" s="19"/>
      <c r="E3347" s="19"/>
      <c r="F3347" s="17"/>
      <c r="G3347" s="18"/>
      <c r="H3347" s="18"/>
      <c r="I3347" s="18"/>
    </row>
    <row r="3348" ht="15">
      <c r="A3348" s="18"/>
      <c r="B3348" s="18"/>
      <c r="C3348" s="18"/>
      <c r="D3348" s="19"/>
      <c r="E3348" s="19"/>
      <c r="F3348" s="17"/>
      <c r="G3348" s="18"/>
      <c r="H3348" s="18"/>
      <c r="I3348" s="18"/>
    </row>
    <row r="3349" ht="15">
      <c r="A3349" s="18"/>
      <c r="B3349" s="18"/>
      <c r="C3349" s="18"/>
      <c r="D3349" s="19"/>
      <c r="E3349" s="19"/>
      <c r="F3349" s="17"/>
      <c r="G3349" s="18"/>
      <c r="H3349" s="18"/>
      <c r="I3349" s="18"/>
    </row>
    <row r="3350" ht="15">
      <c r="A3350" s="18"/>
      <c r="B3350" s="18"/>
      <c r="C3350" s="18"/>
      <c r="D3350" s="19"/>
      <c r="E3350" s="19"/>
      <c r="F3350" s="17"/>
      <c r="G3350" s="18"/>
      <c r="H3350" s="18"/>
      <c r="I3350" s="18"/>
    </row>
    <row r="3351" ht="15">
      <c r="A3351" s="18"/>
      <c r="B3351" s="18"/>
      <c r="C3351" s="18"/>
      <c r="D3351" s="19"/>
      <c r="E3351" s="19"/>
      <c r="F3351" s="17"/>
      <c r="G3351" s="18"/>
      <c r="H3351" s="18"/>
      <c r="I3351" s="18"/>
    </row>
    <row r="3352" ht="15">
      <c r="A3352" s="18"/>
      <c r="B3352" s="18"/>
      <c r="C3352" s="18"/>
      <c r="D3352" s="19"/>
      <c r="E3352" s="19"/>
      <c r="F3352" s="17"/>
      <c r="G3352" s="18"/>
      <c r="H3352" s="18"/>
      <c r="I3352" s="18"/>
    </row>
    <row r="3353" ht="15">
      <c r="A3353" s="18"/>
      <c r="B3353" s="18"/>
      <c r="C3353" s="18"/>
      <c r="D3353" s="19"/>
      <c r="E3353" s="19"/>
      <c r="F3353" s="17"/>
      <c r="G3353" s="18"/>
      <c r="H3353" s="18"/>
      <c r="I3353" s="18"/>
    </row>
    <row r="3354" ht="15">
      <c r="A3354" s="18"/>
      <c r="B3354" s="18"/>
      <c r="C3354" s="18"/>
      <c r="D3354" s="19"/>
      <c r="E3354" s="19"/>
      <c r="F3354" s="17"/>
      <c r="G3354" s="18"/>
      <c r="H3354" s="18"/>
      <c r="I3354" s="18"/>
    </row>
    <row r="3355" ht="15">
      <c r="A3355" s="18"/>
      <c r="B3355" s="18"/>
      <c r="C3355" s="18"/>
      <c r="D3355" s="19"/>
      <c r="E3355" s="19"/>
      <c r="F3355" s="17"/>
      <c r="G3355" s="18"/>
      <c r="H3355" s="18"/>
      <c r="I3355" s="18"/>
    </row>
    <row r="3356" ht="15">
      <c r="A3356" s="18"/>
      <c r="B3356" s="18"/>
      <c r="C3356" s="18"/>
      <c r="D3356" s="19"/>
      <c r="E3356" s="19"/>
      <c r="F3356" s="17"/>
      <c r="G3356" s="18"/>
      <c r="H3356" s="18"/>
      <c r="I3356" s="18"/>
    </row>
    <row r="3357" ht="15">
      <c r="A3357" s="18"/>
      <c r="B3357" s="18"/>
      <c r="C3357" s="18"/>
      <c r="D3357" s="19"/>
      <c r="E3357" s="19"/>
      <c r="F3357" s="17"/>
      <c r="G3357" s="18"/>
      <c r="H3357" s="18"/>
      <c r="I3357" s="18"/>
    </row>
    <row r="3358" ht="15">
      <c r="A3358" s="18"/>
      <c r="B3358" s="18"/>
      <c r="C3358" s="18"/>
      <c r="D3358" s="19"/>
      <c r="E3358" s="19"/>
      <c r="F3358" s="17"/>
      <c r="G3358" s="18"/>
      <c r="H3358" s="18"/>
      <c r="I3358" s="18"/>
    </row>
    <row r="3359" ht="15">
      <c r="A3359" s="18"/>
      <c r="B3359" s="18"/>
      <c r="C3359" s="18"/>
      <c r="D3359" s="19"/>
      <c r="E3359" s="19"/>
      <c r="F3359" s="17"/>
      <c r="G3359" s="18"/>
      <c r="H3359" s="18"/>
      <c r="I3359" s="18"/>
    </row>
    <row r="3360" ht="15">
      <c r="A3360" s="18"/>
      <c r="B3360" s="18"/>
      <c r="C3360" s="18"/>
      <c r="D3360" s="19"/>
      <c r="E3360" s="19"/>
      <c r="F3360" s="17"/>
      <c r="G3360" s="18"/>
      <c r="H3360" s="18"/>
      <c r="I3360" s="18"/>
    </row>
    <row r="3361" ht="15">
      <c r="A3361" s="18"/>
      <c r="B3361" s="18"/>
      <c r="C3361" s="18"/>
      <c r="D3361" s="19"/>
      <c r="E3361" s="19"/>
      <c r="F3361" s="17"/>
      <c r="G3361" s="18"/>
      <c r="H3361" s="18"/>
      <c r="I3361" s="18"/>
    </row>
    <row r="3362" ht="15">
      <c r="A3362" s="18"/>
      <c r="B3362" s="18"/>
      <c r="C3362" s="18"/>
      <c r="D3362" s="19"/>
      <c r="E3362" s="19"/>
      <c r="F3362" s="17"/>
      <c r="G3362" s="18"/>
      <c r="H3362" s="18"/>
      <c r="I3362" s="18"/>
    </row>
    <row r="3363" ht="15">
      <c r="A3363" s="18"/>
      <c r="B3363" s="18"/>
      <c r="C3363" s="18"/>
      <c r="D3363" s="19"/>
      <c r="E3363" s="19"/>
      <c r="F3363" s="17"/>
      <c r="G3363" s="18"/>
      <c r="H3363" s="18"/>
      <c r="I3363" s="18"/>
    </row>
    <row r="3364" ht="15">
      <c r="A3364" s="18"/>
      <c r="B3364" s="18"/>
      <c r="C3364" s="18"/>
      <c r="D3364" s="19"/>
      <c r="E3364" s="19"/>
      <c r="F3364" s="17"/>
      <c r="G3364" s="18"/>
      <c r="H3364" s="18"/>
      <c r="I3364" s="18"/>
    </row>
    <row r="3365" ht="15">
      <c r="A3365" s="18"/>
      <c r="B3365" s="18"/>
      <c r="C3365" s="18"/>
      <c r="D3365" s="19"/>
      <c r="E3365" s="19"/>
      <c r="F3365" s="17"/>
      <c r="G3365" s="18"/>
      <c r="H3365" s="18"/>
      <c r="I3365" s="18"/>
    </row>
    <row r="3366" ht="15">
      <c r="A3366" s="18"/>
      <c r="B3366" s="18"/>
      <c r="C3366" s="18"/>
      <c r="D3366" s="19"/>
      <c r="E3366" s="19"/>
      <c r="F3366" s="17"/>
      <c r="G3366" s="18"/>
      <c r="H3366" s="18"/>
      <c r="I3366" s="18"/>
    </row>
    <row r="3367" ht="15">
      <c r="A3367" s="18"/>
      <c r="B3367" s="18"/>
      <c r="C3367" s="18"/>
      <c r="D3367" s="19"/>
      <c r="E3367" s="19"/>
      <c r="F3367" s="17"/>
      <c r="G3367" s="18"/>
      <c r="H3367" s="18"/>
      <c r="I3367" s="18"/>
    </row>
    <row r="3368" ht="15">
      <c r="A3368" s="18"/>
      <c r="B3368" s="18"/>
      <c r="C3368" s="18"/>
      <c r="D3368" s="19"/>
      <c r="E3368" s="19"/>
      <c r="F3368" s="17"/>
      <c r="G3368" s="18"/>
      <c r="H3368" s="18"/>
      <c r="I3368" s="18"/>
    </row>
    <row r="3369" ht="15">
      <c r="A3369" s="18"/>
      <c r="B3369" s="18"/>
      <c r="C3369" s="18"/>
      <c r="D3369" s="19"/>
      <c r="E3369" s="19"/>
      <c r="F3369" s="17"/>
      <c r="G3369" s="18"/>
      <c r="H3369" s="18"/>
      <c r="I3369" s="18"/>
    </row>
    <row r="3370" ht="15">
      <c r="A3370" s="18"/>
      <c r="B3370" s="18"/>
      <c r="C3370" s="18"/>
      <c r="D3370" s="19"/>
      <c r="E3370" s="19"/>
      <c r="F3370" s="17"/>
      <c r="G3370" s="18"/>
      <c r="H3370" s="18"/>
      <c r="I3370" s="18"/>
    </row>
    <row r="3371" ht="15">
      <c r="A3371" s="18"/>
      <c r="B3371" s="18"/>
      <c r="C3371" s="18"/>
      <c r="D3371" s="19"/>
      <c r="E3371" s="19"/>
      <c r="F3371" s="17"/>
      <c r="G3371" s="18"/>
      <c r="H3371" s="18"/>
      <c r="I3371" s="18"/>
    </row>
    <row r="3372" ht="15">
      <c r="A3372" s="18"/>
      <c r="B3372" s="18"/>
      <c r="C3372" s="18"/>
      <c r="D3372" s="19"/>
      <c r="E3372" s="19"/>
      <c r="F3372" s="17"/>
      <c r="G3372" s="18"/>
      <c r="H3372" s="18"/>
      <c r="I3372" s="18"/>
    </row>
    <row r="3373" ht="15">
      <c r="A3373" s="18"/>
      <c r="B3373" s="18"/>
      <c r="C3373" s="18"/>
      <c r="D3373" s="19"/>
      <c r="E3373" s="19"/>
      <c r="F3373" s="17"/>
      <c r="G3373" s="18"/>
      <c r="H3373" s="18"/>
      <c r="I3373" s="18"/>
    </row>
    <row r="3374" ht="15">
      <c r="A3374" s="18"/>
      <c r="B3374" s="18"/>
      <c r="C3374" s="18"/>
      <c r="D3374" s="19"/>
      <c r="E3374" s="19"/>
      <c r="F3374" s="17"/>
      <c r="G3374" s="18"/>
      <c r="H3374" s="18"/>
      <c r="I3374" s="18"/>
    </row>
    <row r="3375" ht="15">
      <c r="A3375" s="18"/>
      <c r="B3375" s="18"/>
      <c r="C3375" s="18"/>
      <c r="D3375" s="19"/>
      <c r="E3375" s="19"/>
      <c r="F3375" s="17"/>
      <c r="G3375" s="18"/>
      <c r="H3375" s="18"/>
      <c r="I3375" s="18"/>
    </row>
    <row r="3376" ht="15">
      <c r="A3376" s="18"/>
      <c r="B3376" s="18"/>
      <c r="C3376" s="18"/>
      <c r="D3376" s="19"/>
      <c r="E3376" s="19"/>
      <c r="F3376" s="17"/>
      <c r="G3376" s="18"/>
      <c r="H3376" s="18"/>
      <c r="I3376" s="18"/>
    </row>
    <row r="3377" ht="15">
      <c r="A3377" s="18"/>
      <c r="B3377" s="18"/>
      <c r="C3377" s="18"/>
      <c r="D3377" s="19"/>
      <c r="E3377" s="19"/>
      <c r="F3377" s="17"/>
      <c r="G3377" s="18"/>
      <c r="H3377" s="18"/>
      <c r="I3377" s="18"/>
    </row>
    <row r="3378" ht="15">
      <c r="A3378" s="18"/>
      <c r="B3378" s="18"/>
      <c r="C3378" s="18"/>
      <c r="D3378" s="19"/>
      <c r="E3378" s="19"/>
      <c r="F3378" s="17"/>
      <c r="G3378" s="18"/>
      <c r="H3378" s="18"/>
      <c r="I3378" s="18"/>
    </row>
    <row r="3379" ht="15">
      <c r="A3379" s="18"/>
      <c r="B3379" s="18"/>
      <c r="C3379" s="18"/>
      <c r="D3379" s="19"/>
      <c r="E3379" s="19"/>
      <c r="F3379" s="17"/>
      <c r="G3379" s="18"/>
      <c r="H3379" s="18"/>
      <c r="I3379" s="18"/>
    </row>
    <row r="3380" ht="15">
      <c r="A3380" s="18"/>
      <c r="B3380" s="18"/>
      <c r="C3380" s="18"/>
      <c r="D3380" s="19"/>
      <c r="E3380" s="19"/>
      <c r="F3380" s="17"/>
      <c r="G3380" s="18"/>
      <c r="H3380" s="18"/>
      <c r="I3380" s="18"/>
    </row>
    <row r="3381" ht="15">
      <c r="A3381" s="18"/>
      <c r="B3381" s="18"/>
      <c r="C3381" s="18"/>
      <c r="D3381" s="19"/>
      <c r="E3381" s="19"/>
      <c r="F3381" s="17"/>
      <c r="G3381" s="18"/>
      <c r="H3381" s="18"/>
      <c r="I3381" s="18"/>
    </row>
    <row r="3382" ht="15">
      <c r="A3382" s="18"/>
      <c r="B3382" s="18"/>
      <c r="C3382" s="18"/>
      <c r="D3382" s="19"/>
      <c r="E3382" s="19"/>
      <c r="F3382" s="17"/>
      <c r="G3382" s="18"/>
      <c r="H3382" s="18"/>
      <c r="I3382" s="18"/>
    </row>
    <row r="3383" ht="15">
      <c r="A3383" s="18"/>
      <c r="B3383" s="18"/>
      <c r="C3383" s="18"/>
      <c r="D3383" s="19"/>
      <c r="E3383" s="19"/>
      <c r="F3383" s="17"/>
      <c r="G3383" s="18"/>
      <c r="H3383" s="18"/>
      <c r="I3383" s="18"/>
    </row>
    <row r="3384" ht="15">
      <c r="A3384" s="18"/>
      <c r="B3384" s="18"/>
      <c r="C3384" s="18"/>
      <c r="D3384" s="19"/>
      <c r="E3384" s="19"/>
      <c r="F3384" s="17"/>
      <c r="G3384" s="18"/>
      <c r="H3384" s="18"/>
      <c r="I3384" s="18"/>
    </row>
    <row r="3385" ht="15">
      <c r="A3385" s="18"/>
      <c r="B3385" s="18"/>
      <c r="C3385" s="18"/>
      <c r="D3385" s="19"/>
      <c r="E3385" s="19"/>
      <c r="F3385" s="17"/>
      <c r="G3385" s="18"/>
      <c r="H3385" s="18"/>
      <c r="I3385" s="18"/>
    </row>
    <row r="3386" ht="15">
      <c r="A3386" s="18"/>
      <c r="B3386" s="18"/>
      <c r="C3386" s="18"/>
      <c r="D3386" s="19"/>
      <c r="E3386" s="19"/>
      <c r="F3386" s="17"/>
      <c r="G3386" s="18"/>
      <c r="H3386" s="18"/>
      <c r="I3386" s="18"/>
    </row>
    <row r="3387" ht="15">
      <c r="A3387" s="18"/>
      <c r="B3387" s="18"/>
      <c r="C3387" s="18"/>
      <c r="D3387" s="19"/>
      <c r="E3387" s="19"/>
      <c r="F3387" s="17"/>
      <c r="G3387" s="18"/>
      <c r="H3387" s="18"/>
      <c r="I3387" s="18"/>
    </row>
    <row r="3388" ht="15">
      <c r="A3388" s="18"/>
      <c r="B3388" s="18"/>
      <c r="C3388" s="18"/>
      <c r="D3388" s="19"/>
      <c r="E3388" s="19"/>
      <c r="F3388" s="17"/>
      <c r="G3388" s="18"/>
      <c r="H3388" s="18"/>
      <c r="I3388" s="18"/>
    </row>
    <row r="3389" ht="15">
      <c r="A3389" s="18"/>
      <c r="B3389" s="18"/>
      <c r="C3389" s="18"/>
      <c r="D3389" s="19"/>
      <c r="E3389" s="19"/>
      <c r="F3389" s="17"/>
      <c r="G3389" s="18"/>
      <c r="H3389" s="18"/>
      <c r="I3389" s="18"/>
    </row>
    <row r="3390" ht="15">
      <c r="A3390" s="18"/>
      <c r="B3390" s="18"/>
      <c r="C3390" s="18"/>
      <c r="D3390" s="19"/>
      <c r="E3390" s="19"/>
      <c r="F3390" s="17"/>
      <c r="G3390" s="18"/>
      <c r="H3390" s="18"/>
      <c r="I3390" s="18"/>
    </row>
    <row r="3391" ht="15">
      <c r="A3391" s="18"/>
      <c r="B3391" s="18"/>
      <c r="C3391" s="18"/>
      <c r="D3391" s="19"/>
      <c r="E3391" s="19"/>
      <c r="F3391" s="17"/>
      <c r="G3391" s="18"/>
      <c r="H3391" s="18"/>
      <c r="I3391" s="18"/>
    </row>
    <row r="3392" ht="15">
      <c r="A3392" s="18"/>
      <c r="B3392" s="18"/>
      <c r="C3392" s="18"/>
      <c r="D3392" s="19"/>
      <c r="E3392" s="19"/>
      <c r="F3392" s="17"/>
      <c r="G3392" s="18"/>
      <c r="H3392" s="18"/>
      <c r="I3392" s="18"/>
    </row>
    <row r="3393" ht="15">
      <c r="A3393" s="18"/>
      <c r="B3393" s="18"/>
      <c r="C3393" s="18"/>
      <c r="D3393" s="19"/>
      <c r="E3393" s="19"/>
      <c r="F3393" s="17"/>
      <c r="G3393" s="18"/>
      <c r="H3393" s="18"/>
      <c r="I3393" s="18"/>
    </row>
    <row r="3394" ht="15">
      <c r="A3394" s="18"/>
      <c r="B3394" s="18"/>
      <c r="C3394" s="18"/>
      <c r="D3394" s="19"/>
      <c r="E3394" s="19"/>
      <c r="F3394" s="17"/>
      <c r="G3394" s="18"/>
      <c r="H3394" s="18"/>
      <c r="I3394" s="18"/>
    </row>
    <row r="3395" ht="15">
      <c r="A3395" s="18"/>
      <c r="B3395" s="18"/>
      <c r="C3395" s="18"/>
      <c r="D3395" s="19"/>
      <c r="E3395" s="19"/>
      <c r="F3395" s="17"/>
      <c r="G3395" s="18"/>
      <c r="H3395" s="18"/>
      <c r="I3395" s="18"/>
    </row>
    <row r="3396" ht="15">
      <c r="A3396" s="18"/>
      <c r="B3396" s="18"/>
      <c r="C3396" s="18"/>
      <c r="D3396" s="19"/>
      <c r="E3396" s="19"/>
      <c r="F3396" s="17"/>
      <c r="G3396" s="18"/>
      <c r="H3396" s="18"/>
      <c r="I3396" s="18"/>
    </row>
    <row r="3397" ht="15">
      <c r="A3397" s="18"/>
      <c r="B3397" s="18"/>
      <c r="C3397" s="18"/>
      <c r="D3397" s="19"/>
      <c r="E3397" s="19"/>
      <c r="F3397" s="17"/>
      <c r="G3397" s="18"/>
      <c r="H3397" s="18"/>
      <c r="I3397" s="18"/>
    </row>
    <row r="3398" ht="15">
      <c r="A3398" s="18"/>
      <c r="B3398" s="18"/>
      <c r="C3398" s="18"/>
      <c r="D3398" s="19"/>
      <c r="E3398" s="19"/>
      <c r="F3398" s="17"/>
      <c r="G3398" s="18"/>
      <c r="H3398" s="18"/>
      <c r="I3398" s="18"/>
    </row>
    <row r="3399" ht="15">
      <c r="A3399" s="18"/>
      <c r="B3399" s="18"/>
      <c r="C3399" s="18"/>
      <c r="D3399" s="19"/>
      <c r="E3399" s="19"/>
      <c r="F3399" s="17"/>
      <c r="G3399" s="18"/>
      <c r="H3399" s="18"/>
      <c r="I3399" s="18"/>
    </row>
    <row r="3400" ht="15">
      <c r="A3400" s="18"/>
      <c r="B3400" s="18"/>
      <c r="C3400" s="18"/>
      <c r="D3400" s="19"/>
      <c r="E3400" s="19"/>
      <c r="F3400" s="17"/>
      <c r="G3400" s="18"/>
      <c r="H3400" s="18"/>
      <c r="I3400" s="18"/>
    </row>
    <row r="3401" ht="15">
      <c r="A3401" s="18"/>
      <c r="B3401" s="18"/>
      <c r="C3401" s="18"/>
      <c r="D3401" s="19"/>
      <c r="E3401" s="19"/>
      <c r="F3401" s="17"/>
      <c r="G3401" s="18"/>
      <c r="H3401" s="18"/>
      <c r="I3401" s="18"/>
    </row>
    <row r="3402" ht="15">
      <c r="A3402" s="18"/>
      <c r="B3402" s="18"/>
      <c r="C3402" s="18"/>
      <c r="D3402" s="19"/>
      <c r="E3402" s="19"/>
      <c r="F3402" s="17"/>
      <c r="G3402" s="18"/>
      <c r="H3402" s="18"/>
      <c r="I3402" s="18"/>
    </row>
    <row r="3403" ht="15">
      <c r="A3403" s="18"/>
      <c r="B3403" s="18"/>
      <c r="C3403" s="18"/>
      <c r="D3403" s="19"/>
      <c r="E3403" s="19"/>
      <c r="F3403" s="17"/>
      <c r="G3403" s="18"/>
      <c r="H3403" s="18"/>
      <c r="I3403" s="18"/>
    </row>
    <row r="3404" ht="15">
      <c r="A3404" s="18"/>
      <c r="B3404" s="18"/>
      <c r="C3404" s="18"/>
      <c r="D3404" s="19"/>
      <c r="E3404" s="19"/>
      <c r="F3404" s="17"/>
      <c r="G3404" s="18"/>
      <c r="H3404" s="18"/>
      <c r="I3404" s="18"/>
    </row>
    <row r="3405" ht="15">
      <c r="A3405" s="18"/>
      <c r="B3405" s="18"/>
      <c r="C3405" s="18"/>
      <c r="D3405" s="19"/>
      <c r="E3405" s="19"/>
      <c r="F3405" s="17"/>
      <c r="G3405" s="18"/>
      <c r="H3405" s="18"/>
      <c r="I3405" s="18"/>
    </row>
    <row r="3406" ht="15">
      <c r="A3406" s="18"/>
      <c r="B3406" s="18"/>
      <c r="C3406" s="18"/>
      <c r="D3406" s="19"/>
      <c r="E3406" s="19"/>
      <c r="F3406" s="17"/>
      <c r="G3406" s="18"/>
      <c r="H3406" s="18"/>
      <c r="I3406" s="18"/>
    </row>
    <row r="3407" ht="15">
      <c r="A3407" s="18"/>
      <c r="B3407" s="18"/>
      <c r="C3407" s="18"/>
      <c r="D3407" s="19"/>
      <c r="E3407" s="19"/>
      <c r="F3407" s="17"/>
      <c r="G3407" s="18"/>
      <c r="H3407" s="18"/>
      <c r="I3407" s="18"/>
    </row>
    <row r="3408" ht="15">
      <c r="A3408" s="18"/>
      <c r="B3408" s="18"/>
      <c r="C3408" s="18"/>
      <c r="D3408" s="19"/>
      <c r="E3408" s="19"/>
      <c r="F3408" s="17"/>
      <c r="G3408" s="18"/>
      <c r="H3408" s="18"/>
      <c r="I3408" s="18"/>
    </row>
    <row r="3409" ht="15">
      <c r="A3409" s="18"/>
      <c r="B3409" s="18"/>
      <c r="C3409" s="18"/>
      <c r="D3409" s="19"/>
      <c r="E3409" s="19"/>
      <c r="F3409" s="17"/>
      <c r="G3409" s="18"/>
      <c r="H3409" s="18"/>
      <c r="I3409" s="18"/>
    </row>
    <row r="3410" ht="15">
      <c r="A3410" s="18"/>
      <c r="B3410" s="18"/>
      <c r="C3410" s="18"/>
      <c r="D3410" s="19"/>
      <c r="E3410" s="19"/>
      <c r="F3410" s="17"/>
      <c r="G3410" s="18"/>
      <c r="H3410" s="18"/>
      <c r="I3410" s="18"/>
    </row>
    <row r="3411" ht="15">
      <c r="A3411" s="18"/>
      <c r="B3411" s="18"/>
      <c r="C3411" s="18"/>
      <c r="D3411" s="19"/>
      <c r="E3411" s="19"/>
      <c r="F3411" s="17"/>
      <c r="G3411" s="18"/>
      <c r="H3411" s="18"/>
      <c r="I3411" s="18"/>
    </row>
    <row r="3412" ht="15">
      <c r="A3412" s="18"/>
      <c r="B3412" s="18"/>
      <c r="C3412" s="18"/>
      <c r="D3412" s="19"/>
      <c r="E3412" s="19"/>
      <c r="F3412" s="17"/>
      <c r="G3412" s="18"/>
      <c r="H3412" s="18"/>
      <c r="I3412" s="18"/>
    </row>
    <row r="3413" ht="15">
      <c r="A3413" s="18"/>
      <c r="B3413" s="18"/>
      <c r="C3413" s="18"/>
      <c r="D3413" s="19"/>
      <c r="E3413" s="19"/>
      <c r="F3413" s="17"/>
      <c r="G3413" s="18"/>
      <c r="H3413" s="18"/>
      <c r="I3413" s="18"/>
    </row>
    <row r="3414" ht="15">
      <c r="A3414" s="18"/>
      <c r="B3414" s="18"/>
      <c r="C3414" s="18"/>
      <c r="D3414" s="19"/>
      <c r="E3414" s="19"/>
      <c r="F3414" s="17"/>
      <c r="G3414" s="18"/>
      <c r="H3414" s="18"/>
      <c r="I3414" s="18"/>
    </row>
    <row r="3415" ht="15">
      <c r="A3415" s="18"/>
      <c r="B3415" s="18"/>
      <c r="C3415" s="18"/>
      <c r="D3415" s="19"/>
      <c r="E3415" s="19"/>
      <c r="F3415" s="17"/>
      <c r="G3415" s="18"/>
      <c r="H3415" s="18"/>
      <c r="I3415" s="18"/>
    </row>
    <row r="3416" ht="15">
      <c r="A3416" s="18"/>
      <c r="B3416" s="18"/>
      <c r="C3416" s="18"/>
      <c r="D3416" s="19"/>
      <c r="E3416" s="19"/>
      <c r="F3416" s="17"/>
      <c r="G3416" s="18"/>
      <c r="H3416" s="18"/>
      <c r="I3416" s="18"/>
    </row>
    <row r="3417" ht="15">
      <c r="A3417" s="18"/>
      <c r="B3417" s="18"/>
      <c r="C3417" s="18"/>
      <c r="D3417" s="19"/>
      <c r="E3417" s="19"/>
      <c r="F3417" s="17"/>
      <c r="G3417" s="18"/>
      <c r="H3417" s="18"/>
      <c r="I3417" s="18"/>
    </row>
    <row r="3418" ht="15">
      <c r="A3418" s="18"/>
      <c r="B3418" s="18"/>
      <c r="C3418" s="18"/>
      <c r="D3418" s="19"/>
      <c r="E3418" s="19"/>
      <c r="F3418" s="17"/>
      <c r="G3418" s="18"/>
      <c r="H3418" s="18"/>
      <c r="I3418" s="18"/>
    </row>
    <row r="3419" ht="15">
      <c r="A3419" s="18"/>
      <c r="B3419" s="18"/>
      <c r="C3419" s="18"/>
      <c r="D3419" s="19"/>
      <c r="E3419" s="19"/>
      <c r="F3419" s="17"/>
      <c r="G3419" s="18"/>
      <c r="H3419" s="18"/>
      <c r="I3419" s="18"/>
    </row>
    <row r="3420" ht="15">
      <c r="A3420" s="18"/>
      <c r="B3420" s="18"/>
      <c r="C3420" s="18"/>
      <c r="D3420" s="19"/>
      <c r="E3420" s="19"/>
      <c r="F3420" s="17"/>
      <c r="G3420" s="18"/>
      <c r="H3420" s="18"/>
      <c r="I3420" s="18"/>
    </row>
    <row r="3421" ht="15">
      <c r="A3421" s="18"/>
      <c r="B3421" s="18"/>
      <c r="C3421" s="18"/>
      <c r="D3421" s="19"/>
      <c r="E3421" s="19"/>
      <c r="F3421" s="17"/>
      <c r="G3421" s="18"/>
      <c r="H3421" s="18"/>
      <c r="I3421" s="18"/>
    </row>
    <row r="3422" ht="15">
      <c r="A3422" s="18"/>
      <c r="B3422" s="18"/>
      <c r="C3422" s="18"/>
      <c r="D3422" s="19"/>
      <c r="E3422" s="19"/>
      <c r="F3422" s="17"/>
      <c r="G3422" s="18"/>
      <c r="H3422" s="18"/>
      <c r="I3422" s="18"/>
    </row>
    <row r="3423" ht="15">
      <c r="A3423" s="18"/>
      <c r="B3423" s="18"/>
      <c r="C3423" s="18"/>
      <c r="D3423" s="19"/>
      <c r="E3423" s="19"/>
      <c r="F3423" s="17"/>
      <c r="G3423" s="18"/>
      <c r="H3423" s="18"/>
      <c r="I3423" s="18"/>
    </row>
    <row r="3424" ht="15">
      <c r="A3424" s="18"/>
      <c r="B3424" s="18"/>
      <c r="C3424" s="18"/>
      <c r="D3424" s="19"/>
      <c r="E3424" s="19"/>
      <c r="F3424" s="17"/>
      <c r="G3424" s="18"/>
      <c r="H3424" s="18"/>
      <c r="I3424" s="18"/>
    </row>
    <row r="3425" ht="15">
      <c r="A3425" s="18"/>
      <c r="B3425" s="18"/>
      <c r="C3425" s="18"/>
      <c r="D3425" s="19"/>
      <c r="E3425" s="19"/>
      <c r="F3425" s="17"/>
      <c r="G3425" s="18"/>
      <c r="H3425" s="18"/>
      <c r="I3425" s="18"/>
    </row>
    <row r="3426" ht="15">
      <c r="A3426" s="18"/>
      <c r="B3426" s="18"/>
      <c r="C3426" s="18"/>
      <c r="D3426" s="19"/>
      <c r="E3426" s="19"/>
      <c r="F3426" s="17"/>
      <c r="G3426" s="18"/>
      <c r="H3426" s="18"/>
      <c r="I3426" s="18"/>
    </row>
    <row r="3427" ht="15">
      <c r="A3427" s="18"/>
      <c r="B3427" s="18"/>
      <c r="C3427" s="18"/>
      <c r="D3427" s="19"/>
      <c r="E3427" s="19"/>
      <c r="F3427" s="17"/>
      <c r="G3427" s="18"/>
      <c r="H3427" s="18"/>
      <c r="I3427" s="18"/>
    </row>
    <row r="3428" ht="15">
      <c r="A3428" s="18"/>
      <c r="B3428" s="18"/>
      <c r="C3428" s="18"/>
      <c r="D3428" s="19"/>
      <c r="E3428" s="19"/>
      <c r="F3428" s="17"/>
      <c r="G3428" s="18"/>
      <c r="H3428" s="18"/>
      <c r="I3428" s="18"/>
    </row>
    <row r="3429" ht="15">
      <c r="A3429" s="18"/>
      <c r="B3429" s="18"/>
      <c r="C3429" s="18"/>
      <c r="D3429" s="19"/>
      <c r="E3429" s="19"/>
      <c r="F3429" s="17"/>
      <c r="G3429" s="18"/>
      <c r="H3429" s="18"/>
      <c r="I3429" s="18"/>
    </row>
    <row r="3430" ht="15">
      <c r="A3430" s="18"/>
      <c r="B3430" s="18"/>
      <c r="C3430" s="18"/>
      <c r="D3430" s="19"/>
      <c r="E3430" s="19"/>
      <c r="F3430" s="17"/>
      <c r="G3430" s="18"/>
      <c r="H3430" s="18"/>
      <c r="I3430" s="18"/>
    </row>
    <row r="3431" ht="15">
      <c r="A3431" s="18"/>
      <c r="B3431" s="18"/>
      <c r="C3431" s="18"/>
      <c r="D3431" s="19"/>
      <c r="E3431" s="19"/>
      <c r="F3431" s="17"/>
      <c r="G3431" s="18"/>
      <c r="H3431" s="18"/>
      <c r="I3431" s="18"/>
    </row>
    <row r="3432" ht="15">
      <c r="A3432" s="18"/>
      <c r="B3432" s="18"/>
      <c r="C3432" s="18"/>
      <c r="D3432" s="19"/>
      <c r="E3432" s="19"/>
      <c r="F3432" s="17"/>
      <c r="G3432" s="18"/>
      <c r="H3432" s="18"/>
      <c r="I3432" s="18"/>
    </row>
    <row r="3433" ht="15">
      <c r="A3433" s="18"/>
      <c r="B3433" s="18"/>
      <c r="C3433" s="18"/>
      <c r="D3433" s="19"/>
      <c r="E3433" s="19"/>
      <c r="F3433" s="17"/>
      <c r="G3433" s="18"/>
      <c r="H3433" s="18"/>
      <c r="I3433" s="18"/>
    </row>
    <row r="3434" ht="15">
      <c r="A3434" s="18"/>
      <c r="B3434" s="18"/>
      <c r="C3434" s="18"/>
      <c r="D3434" s="19"/>
      <c r="E3434" s="19"/>
      <c r="F3434" s="17"/>
      <c r="G3434" s="18"/>
      <c r="H3434" s="18"/>
      <c r="I3434" s="18"/>
    </row>
    <row r="3435" ht="15">
      <c r="A3435" s="18"/>
      <c r="B3435" s="18"/>
      <c r="C3435" s="18"/>
      <c r="D3435" s="19"/>
      <c r="E3435" s="19"/>
      <c r="F3435" s="17"/>
      <c r="G3435" s="18"/>
      <c r="H3435" s="18"/>
      <c r="I3435" s="18"/>
    </row>
    <row r="3436" ht="15">
      <c r="A3436" s="18"/>
      <c r="B3436" s="18"/>
      <c r="C3436" s="18"/>
      <c r="D3436" s="19"/>
      <c r="E3436" s="19"/>
      <c r="F3436" s="17"/>
      <c r="G3436" s="18"/>
      <c r="H3436" s="18"/>
      <c r="I3436" s="18"/>
    </row>
    <row r="3437" ht="15">
      <c r="A3437" s="18"/>
      <c r="B3437" s="18"/>
      <c r="C3437" s="18"/>
      <c r="D3437" s="19"/>
      <c r="E3437" s="19"/>
      <c r="F3437" s="17"/>
      <c r="G3437" s="18"/>
      <c r="H3437" s="18"/>
      <c r="I3437" s="18"/>
    </row>
    <row r="3438" ht="15">
      <c r="A3438" s="18"/>
      <c r="B3438" s="18"/>
      <c r="C3438" s="18"/>
      <c r="D3438" s="19"/>
      <c r="E3438" s="19"/>
      <c r="F3438" s="17"/>
      <c r="G3438" s="18"/>
      <c r="H3438" s="18"/>
      <c r="I3438" s="18"/>
    </row>
    <row r="3439" ht="15">
      <c r="A3439" s="18"/>
      <c r="B3439" s="18"/>
      <c r="C3439" s="18"/>
      <c r="D3439" s="19"/>
      <c r="E3439" s="19"/>
      <c r="F3439" s="17"/>
      <c r="G3439" s="18"/>
      <c r="H3439" s="18"/>
      <c r="I3439" s="18"/>
    </row>
    <row r="3440" ht="15">
      <c r="A3440" s="18"/>
      <c r="B3440" s="18"/>
      <c r="C3440" s="18"/>
      <c r="D3440" s="19"/>
      <c r="E3440" s="19"/>
      <c r="F3440" s="17"/>
      <c r="G3440" s="18"/>
      <c r="H3440" s="18"/>
      <c r="I3440" s="18"/>
    </row>
    <row r="3441" ht="15">
      <c r="A3441" s="18"/>
      <c r="B3441" s="18"/>
      <c r="C3441" s="18"/>
      <c r="D3441" s="19"/>
      <c r="E3441" s="19"/>
      <c r="F3441" s="17"/>
      <c r="G3441" s="18"/>
      <c r="H3441" s="18"/>
      <c r="I3441" s="18"/>
    </row>
    <row r="3442" ht="15">
      <c r="A3442" s="18"/>
      <c r="B3442" s="18"/>
      <c r="C3442" s="18"/>
      <c r="D3442" s="19"/>
      <c r="E3442" s="19"/>
      <c r="F3442" s="17"/>
      <c r="G3442" s="18"/>
      <c r="H3442" s="18"/>
      <c r="I3442" s="18"/>
    </row>
    <row r="3443" ht="15">
      <c r="A3443" s="18"/>
      <c r="B3443" s="18"/>
      <c r="C3443" s="18"/>
      <c r="D3443" s="19"/>
      <c r="E3443" s="19"/>
      <c r="F3443" s="17"/>
      <c r="G3443" s="18"/>
      <c r="H3443" s="18"/>
      <c r="I3443" s="18"/>
    </row>
    <row r="3444" ht="15">
      <c r="A3444" s="18"/>
      <c r="B3444" s="18"/>
      <c r="C3444" s="18"/>
      <c r="D3444" s="19"/>
      <c r="E3444" s="19"/>
      <c r="F3444" s="17"/>
      <c r="G3444" s="18"/>
      <c r="H3444" s="18"/>
      <c r="I3444" s="18"/>
    </row>
    <row r="3445" ht="15">
      <c r="A3445" s="18"/>
      <c r="B3445" s="18"/>
      <c r="C3445" s="18"/>
      <c r="D3445" s="19"/>
      <c r="E3445" s="19"/>
      <c r="F3445" s="17"/>
      <c r="G3445" s="18"/>
      <c r="H3445" s="18"/>
      <c r="I3445" s="18"/>
    </row>
    <row r="3446" ht="15">
      <c r="A3446" s="18"/>
      <c r="B3446" s="18"/>
      <c r="C3446" s="18"/>
      <c r="D3446" s="19"/>
      <c r="E3446" s="19"/>
      <c r="F3446" s="17"/>
      <c r="G3446" s="18"/>
      <c r="H3446" s="18"/>
      <c r="I3446" s="18"/>
    </row>
    <row r="3447" ht="15">
      <c r="A3447" s="18"/>
      <c r="B3447" s="18"/>
      <c r="C3447" s="18"/>
      <c r="D3447" s="19"/>
      <c r="E3447" s="19"/>
      <c r="F3447" s="17"/>
      <c r="G3447" s="18"/>
      <c r="H3447" s="18"/>
      <c r="I3447" s="18"/>
    </row>
    <row r="3448" ht="15">
      <c r="A3448" s="18"/>
      <c r="B3448" s="18"/>
      <c r="C3448" s="18"/>
      <c r="D3448" s="19"/>
      <c r="E3448" s="19"/>
      <c r="F3448" s="17"/>
      <c r="G3448" s="18"/>
      <c r="H3448" s="18"/>
      <c r="I3448" s="18"/>
    </row>
    <row r="3449" ht="15">
      <c r="A3449" s="18"/>
      <c r="B3449" s="18"/>
      <c r="C3449" s="18"/>
      <c r="D3449" s="19"/>
      <c r="E3449" s="19"/>
      <c r="F3449" s="17"/>
      <c r="G3449" s="18"/>
      <c r="H3449" s="18"/>
      <c r="I3449" s="18"/>
    </row>
    <row r="3450" ht="15">
      <c r="A3450" s="18"/>
      <c r="B3450" s="18"/>
      <c r="C3450" s="18"/>
      <c r="D3450" s="19"/>
      <c r="E3450" s="19"/>
      <c r="F3450" s="17"/>
      <c r="G3450" s="18"/>
      <c r="H3450" s="18"/>
      <c r="I3450" s="18"/>
    </row>
    <row r="3451" ht="15">
      <c r="A3451" s="18"/>
      <c r="B3451" s="18"/>
      <c r="C3451" s="18"/>
      <c r="D3451" s="19"/>
      <c r="E3451" s="19"/>
      <c r="F3451" s="17"/>
      <c r="G3451" s="18"/>
      <c r="H3451" s="18"/>
      <c r="I3451" s="18"/>
    </row>
    <row r="3452" ht="15">
      <c r="A3452" s="18"/>
      <c r="B3452" s="18"/>
      <c r="C3452" s="18"/>
      <c r="D3452" s="19"/>
      <c r="E3452" s="19"/>
      <c r="F3452" s="17"/>
      <c r="G3452" s="18"/>
      <c r="H3452" s="18"/>
      <c r="I3452" s="18"/>
    </row>
    <row r="3453" ht="15">
      <c r="A3453" s="18"/>
      <c r="B3453" s="18"/>
      <c r="C3453" s="18"/>
      <c r="D3453" s="19"/>
      <c r="E3453" s="19"/>
      <c r="F3453" s="17"/>
      <c r="G3453" s="18"/>
      <c r="H3453" s="18"/>
      <c r="I3453" s="18"/>
    </row>
    <row r="3454" ht="15">
      <c r="A3454" s="18"/>
      <c r="B3454" s="18"/>
      <c r="C3454" s="18"/>
      <c r="D3454" s="19"/>
      <c r="E3454" s="19"/>
      <c r="F3454" s="17"/>
      <c r="G3454" s="18"/>
      <c r="H3454" s="18"/>
      <c r="I3454" s="18"/>
    </row>
    <row r="3455" ht="15">
      <c r="A3455" s="18"/>
      <c r="B3455" s="18"/>
      <c r="C3455" s="18"/>
      <c r="D3455" s="19"/>
      <c r="E3455" s="19"/>
      <c r="F3455" s="17"/>
      <c r="G3455" s="18"/>
      <c r="H3455" s="18"/>
      <c r="I3455" s="18"/>
    </row>
    <row r="3456" ht="15">
      <c r="A3456" s="18"/>
      <c r="B3456" s="18"/>
      <c r="C3456" s="18"/>
      <c r="D3456" s="19"/>
      <c r="E3456" s="19"/>
      <c r="F3456" s="17"/>
      <c r="G3456" s="18"/>
      <c r="H3456" s="18"/>
      <c r="I3456" s="18"/>
    </row>
    <row r="3457" ht="15">
      <c r="A3457" s="18"/>
      <c r="B3457" s="18"/>
      <c r="C3457" s="18"/>
      <c r="D3457" s="19"/>
      <c r="E3457" s="19"/>
      <c r="F3457" s="17"/>
      <c r="G3457" s="18"/>
      <c r="H3457" s="18"/>
      <c r="I3457" s="18"/>
    </row>
    <row r="3458" ht="15">
      <c r="A3458" s="18"/>
      <c r="B3458" s="18"/>
      <c r="C3458" s="18"/>
      <c r="D3458" s="19"/>
      <c r="E3458" s="19"/>
      <c r="F3458" s="17"/>
      <c r="G3458" s="18"/>
      <c r="H3458" s="18"/>
      <c r="I3458" s="18"/>
    </row>
    <row r="3459" ht="15">
      <c r="A3459" s="18"/>
      <c r="B3459" s="18"/>
      <c r="C3459" s="18"/>
      <c r="D3459" s="19"/>
      <c r="E3459" s="19"/>
      <c r="F3459" s="17"/>
      <c r="G3459" s="18"/>
      <c r="H3459" s="18"/>
      <c r="I3459" s="18"/>
    </row>
    <row r="3460" ht="15">
      <c r="A3460" s="18"/>
      <c r="B3460" s="18"/>
      <c r="C3460" s="18"/>
      <c r="D3460" s="19"/>
      <c r="E3460" s="19"/>
      <c r="F3460" s="17"/>
      <c r="G3460" s="18"/>
      <c r="H3460" s="18"/>
      <c r="I3460" s="18"/>
    </row>
    <row r="3461" ht="15">
      <c r="A3461" s="18"/>
      <c r="B3461" s="18"/>
      <c r="C3461" s="18"/>
      <c r="D3461" s="19"/>
      <c r="E3461" s="19"/>
      <c r="F3461" s="17"/>
      <c r="G3461" s="18"/>
      <c r="H3461" s="18"/>
      <c r="I3461" s="18"/>
    </row>
    <row r="3462" ht="15">
      <c r="A3462" s="18"/>
      <c r="B3462" s="18"/>
      <c r="C3462" s="18"/>
      <c r="D3462" s="19"/>
      <c r="E3462" s="19"/>
      <c r="F3462" s="17"/>
      <c r="G3462" s="18"/>
      <c r="H3462" s="18"/>
      <c r="I3462" s="18"/>
    </row>
    <row r="3463" ht="15">
      <c r="A3463" s="18"/>
      <c r="B3463" s="18"/>
      <c r="C3463" s="18"/>
      <c r="D3463" s="19"/>
      <c r="E3463" s="19"/>
      <c r="F3463" s="17"/>
      <c r="G3463" s="18"/>
      <c r="H3463" s="18"/>
      <c r="I3463" s="18"/>
    </row>
    <row r="3464" ht="15">
      <c r="A3464" s="18"/>
      <c r="B3464" s="18"/>
      <c r="C3464" s="18"/>
      <c r="D3464" s="19"/>
      <c r="E3464" s="19"/>
      <c r="F3464" s="17"/>
      <c r="G3464" s="18"/>
      <c r="H3464" s="18"/>
      <c r="I3464" s="18"/>
    </row>
    <row r="3465" ht="15">
      <c r="A3465" s="18"/>
      <c r="B3465" s="18"/>
      <c r="C3465" s="18"/>
      <c r="D3465" s="19"/>
      <c r="E3465" s="19"/>
      <c r="F3465" s="17"/>
      <c r="G3465" s="18"/>
      <c r="H3465" s="18"/>
      <c r="I3465" s="18"/>
    </row>
    <row r="3466" ht="15">
      <c r="A3466" s="18"/>
      <c r="B3466" s="18"/>
      <c r="C3466" s="18"/>
      <c r="D3466" s="19"/>
      <c r="E3466" s="19"/>
      <c r="F3466" s="17"/>
      <c r="G3466" s="18"/>
      <c r="H3466" s="18"/>
      <c r="I3466" s="18"/>
    </row>
    <row r="3467" ht="15">
      <c r="A3467" s="18"/>
      <c r="B3467" s="18"/>
      <c r="C3467" s="18"/>
      <c r="D3467" s="19"/>
      <c r="E3467" s="19"/>
      <c r="F3467" s="17"/>
      <c r="G3467" s="18"/>
      <c r="H3467" s="18"/>
      <c r="I3467" s="18"/>
    </row>
    <row r="3468" ht="15">
      <c r="A3468" s="18"/>
      <c r="B3468" s="18"/>
      <c r="C3468" s="18"/>
      <c r="D3468" s="19"/>
      <c r="E3468" s="19"/>
      <c r="F3468" s="17"/>
      <c r="G3468" s="18"/>
      <c r="H3468" s="18"/>
      <c r="I3468" s="18"/>
    </row>
    <row r="3469" ht="15">
      <c r="A3469" s="18"/>
      <c r="B3469" s="18"/>
      <c r="C3469" s="18"/>
      <c r="D3469" s="19"/>
      <c r="E3469" s="19"/>
      <c r="F3469" s="17"/>
      <c r="G3469" s="18"/>
      <c r="H3469" s="18"/>
      <c r="I3469" s="18"/>
    </row>
    <row r="3470" ht="15">
      <c r="A3470" s="18"/>
      <c r="B3470" s="18"/>
      <c r="C3470" s="18"/>
      <c r="D3470" s="19"/>
      <c r="E3470" s="19"/>
      <c r="F3470" s="17"/>
      <c r="G3470" s="18"/>
      <c r="H3470" s="18"/>
      <c r="I3470" s="18"/>
    </row>
    <row r="3471" ht="15">
      <c r="A3471" s="18"/>
      <c r="B3471" s="18"/>
      <c r="C3471" s="18"/>
      <c r="D3471" s="19"/>
      <c r="E3471" s="19"/>
      <c r="F3471" s="17"/>
      <c r="G3471" s="18"/>
      <c r="H3471" s="18"/>
      <c r="I3471" s="18"/>
    </row>
    <row r="3472" ht="15">
      <c r="A3472" s="18"/>
      <c r="B3472" s="18"/>
      <c r="C3472" s="18"/>
      <c r="D3472" s="19"/>
      <c r="E3472" s="19"/>
      <c r="F3472" s="17"/>
      <c r="G3472" s="18"/>
      <c r="H3472" s="18"/>
      <c r="I3472" s="18"/>
    </row>
    <row r="3473" ht="15">
      <c r="A3473" s="18"/>
      <c r="B3473" s="18"/>
      <c r="C3473" s="18"/>
      <c r="D3473" s="19"/>
      <c r="E3473" s="19"/>
      <c r="F3473" s="17"/>
      <c r="G3473" s="18"/>
      <c r="H3473" s="18"/>
      <c r="I3473" s="18"/>
    </row>
    <row r="3474" ht="15">
      <c r="A3474" s="18"/>
      <c r="B3474" s="18"/>
      <c r="C3474" s="18"/>
      <c r="D3474" s="19"/>
      <c r="E3474" s="19"/>
      <c r="F3474" s="17"/>
      <c r="G3474" s="18"/>
      <c r="H3474" s="18"/>
      <c r="I3474" s="18"/>
    </row>
    <row r="3475" ht="15">
      <c r="A3475" s="18"/>
      <c r="B3475" s="18"/>
      <c r="C3475" s="18"/>
      <c r="D3475" s="19"/>
      <c r="E3475" s="19"/>
      <c r="F3475" s="17"/>
      <c r="G3475" s="18"/>
      <c r="H3475" s="18"/>
      <c r="I3475" s="18"/>
    </row>
    <row r="3476" ht="15">
      <c r="A3476" s="18"/>
      <c r="B3476" s="18"/>
      <c r="C3476" s="18"/>
      <c r="D3476" s="19"/>
      <c r="E3476" s="19"/>
      <c r="F3476" s="17"/>
      <c r="G3476" s="18"/>
      <c r="H3476" s="18"/>
      <c r="I3476" s="18"/>
    </row>
    <row r="3477" ht="15">
      <c r="A3477" s="18"/>
      <c r="B3477" s="18"/>
      <c r="C3477" s="18"/>
      <c r="D3477" s="19"/>
      <c r="E3477" s="19"/>
      <c r="F3477" s="17"/>
      <c r="G3477" s="18"/>
      <c r="H3477" s="18"/>
      <c r="I3477" s="18"/>
    </row>
    <row r="3478" ht="15">
      <c r="A3478" s="18"/>
      <c r="B3478" s="18"/>
      <c r="C3478" s="18"/>
      <c r="D3478" s="19"/>
      <c r="E3478" s="19"/>
      <c r="F3478" s="17"/>
      <c r="G3478" s="18"/>
      <c r="H3478" s="18"/>
      <c r="I3478" s="18"/>
    </row>
    <row r="3479" ht="15">
      <c r="A3479" s="18"/>
      <c r="B3479" s="18"/>
      <c r="C3479" s="18"/>
      <c r="D3479" s="19"/>
      <c r="E3479" s="19"/>
      <c r="F3479" s="17"/>
      <c r="G3479" s="18"/>
      <c r="H3479" s="18"/>
      <c r="I3479" s="18"/>
    </row>
    <row r="3480" ht="15">
      <c r="A3480" s="18"/>
      <c r="B3480" s="18"/>
      <c r="C3480" s="18"/>
      <c r="D3480" s="19"/>
      <c r="E3480" s="19"/>
      <c r="F3480" s="17"/>
      <c r="G3480" s="18"/>
      <c r="H3480" s="18"/>
      <c r="I3480" s="18"/>
    </row>
    <row r="3481" ht="15">
      <c r="A3481" s="18"/>
      <c r="B3481" s="18"/>
      <c r="C3481" s="18"/>
      <c r="D3481" s="19"/>
      <c r="E3481" s="19"/>
      <c r="F3481" s="17"/>
      <c r="G3481" s="18"/>
      <c r="H3481" s="18"/>
      <c r="I3481" s="18"/>
    </row>
    <row r="3482" ht="15">
      <c r="A3482" s="18"/>
      <c r="B3482" s="18"/>
      <c r="C3482" s="18"/>
      <c r="D3482" s="19"/>
      <c r="E3482" s="19"/>
      <c r="F3482" s="17"/>
      <c r="G3482" s="18"/>
      <c r="H3482" s="18"/>
      <c r="I3482" s="18"/>
    </row>
    <row r="3483" ht="15">
      <c r="A3483" s="18"/>
      <c r="B3483" s="18"/>
      <c r="C3483" s="18"/>
      <c r="D3483" s="19"/>
      <c r="E3483" s="19"/>
      <c r="F3483" s="17"/>
      <c r="G3483" s="18"/>
      <c r="H3483" s="18"/>
      <c r="I3483" s="18"/>
    </row>
    <row r="3484" ht="15">
      <c r="A3484" s="18"/>
      <c r="B3484" s="18"/>
      <c r="C3484" s="18"/>
      <c r="D3484" s="19"/>
      <c r="E3484" s="19"/>
      <c r="F3484" s="17"/>
      <c r="G3484" s="18"/>
      <c r="H3484" s="18"/>
      <c r="I3484" s="18"/>
    </row>
    <row r="3485" ht="15">
      <c r="A3485" s="18"/>
      <c r="B3485" s="18"/>
      <c r="C3485" s="18"/>
      <c r="D3485" s="19"/>
      <c r="E3485" s="19"/>
      <c r="F3485" s="17"/>
      <c r="G3485" s="18"/>
      <c r="H3485" s="18"/>
      <c r="I3485" s="18"/>
    </row>
    <row r="3486" ht="15">
      <c r="A3486" s="18"/>
      <c r="B3486" s="18"/>
      <c r="C3486" s="18"/>
      <c r="D3486" s="19"/>
      <c r="E3486" s="19"/>
      <c r="F3486" s="17"/>
      <c r="G3486" s="18"/>
      <c r="H3486" s="18"/>
      <c r="I3486" s="18"/>
    </row>
    <row r="3487" ht="15">
      <c r="A3487" s="18"/>
      <c r="B3487" s="18"/>
      <c r="C3487" s="18"/>
      <c r="D3487" s="19"/>
      <c r="E3487" s="19"/>
      <c r="F3487" s="17"/>
      <c r="G3487" s="18"/>
      <c r="H3487" s="18"/>
      <c r="I3487" s="18"/>
    </row>
    <row r="3488" ht="15">
      <c r="A3488" s="18"/>
      <c r="B3488" s="18"/>
      <c r="C3488" s="18"/>
      <c r="D3488" s="19"/>
      <c r="E3488" s="19"/>
      <c r="F3488" s="17"/>
      <c r="G3488" s="18"/>
      <c r="H3488" s="18"/>
      <c r="I3488" s="18"/>
    </row>
    <row r="3489" ht="15">
      <c r="A3489" s="18"/>
      <c r="B3489" s="18"/>
      <c r="C3489" s="18"/>
      <c r="D3489" s="19"/>
      <c r="E3489" s="19"/>
      <c r="F3489" s="17"/>
      <c r="G3489" s="18"/>
      <c r="H3489" s="18"/>
      <c r="I3489" s="18"/>
    </row>
    <row r="3490" ht="15">
      <c r="A3490" s="18"/>
      <c r="B3490" s="18"/>
      <c r="C3490" s="18"/>
      <c r="D3490" s="19"/>
      <c r="E3490" s="19"/>
      <c r="F3490" s="17"/>
      <c r="G3490" s="18"/>
      <c r="H3490" s="18"/>
      <c r="I3490" s="18"/>
    </row>
    <row r="3491" ht="15">
      <c r="A3491" s="18"/>
      <c r="B3491" s="18"/>
      <c r="C3491" s="18"/>
      <c r="D3491" s="19"/>
      <c r="E3491" s="19"/>
      <c r="F3491" s="17"/>
      <c r="G3491" s="18"/>
      <c r="H3491" s="18"/>
      <c r="I3491" s="18"/>
    </row>
    <row r="3492" ht="15">
      <c r="A3492" s="18"/>
      <c r="B3492" s="18"/>
      <c r="C3492" s="18"/>
      <c r="D3492" s="19"/>
      <c r="E3492" s="19"/>
      <c r="F3492" s="17"/>
      <c r="G3492" s="18"/>
      <c r="H3492" s="18"/>
      <c r="I3492" s="18"/>
    </row>
    <row r="3493" ht="15">
      <c r="A3493" s="18"/>
      <c r="B3493" s="18"/>
      <c r="C3493" s="18"/>
      <c r="D3493" s="19"/>
      <c r="E3493" s="19"/>
      <c r="F3493" s="17"/>
      <c r="G3493" s="18"/>
      <c r="H3493" s="18"/>
      <c r="I3493" s="18"/>
    </row>
    <row r="3494" ht="15">
      <c r="A3494" s="18"/>
      <c r="B3494" s="18"/>
      <c r="C3494" s="18"/>
      <c r="D3494" s="19"/>
      <c r="E3494" s="19"/>
      <c r="F3494" s="17"/>
      <c r="G3494" s="18"/>
      <c r="H3494" s="18"/>
      <c r="I3494" s="18"/>
    </row>
    <row r="3495" ht="15">
      <c r="A3495" s="18"/>
      <c r="B3495" s="18"/>
      <c r="C3495" s="18"/>
      <c r="D3495" s="19"/>
      <c r="E3495" s="19"/>
      <c r="F3495" s="17"/>
      <c r="G3495" s="18"/>
      <c r="H3495" s="18"/>
      <c r="I3495" s="18"/>
    </row>
    <row r="3496" ht="15">
      <c r="A3496" s="18"/>
      <c r="B3496" s="18"/>
      <c r="C3496" s="18"/>
      <c r="D3496" s="19"/>
      <c r="E3496" s="19"/>
      <c r="F3496" s="17"/>
      <c r="G3496" s="18"/>
      <c r="H3496" s="18"/>
      <c r="I3496" s="18"/>
    </row>
    <row r="3497" ht="15">
      <c r="A3497" s="18"/>
      <c r="B3497" s="18"/>
      <c r="C3497" s="18"/>
      <c r="D3497" s="19"/>
      <c r="E3497" s="19"/>
      <c r="F3497" s="17"/>
      <c r="G3497" s="18"/>
      <c r="H3497" s="18"/>
      <c r="I3497" s="18"/>
    </row>
    <row r="3498" ht="15">
      <c r="A3498" s="18"/>
      <c r="B3498" s="18"/>
      <c r="C3498" s="18"/>
      <c r="D3498" s="19"/>
      <c r="E3498" s="19"/>
      <c r="F3498" s="17"/>
      <c r="G3498" s="18"/>
      <c r="H3498" s="18"/>
      <c r="I3498" s="18"/>
    </row>
    <row r="3499" ht="15">
      <c r="A3499" s="18"/>
      <c r="B3499" s="18"/>
      <c r="C3499" s="18"/>
      <c r="D3499" s="19"/>
      <c r="E3499" s="19"/>
      <c r="F3499" s="17"/>
      <c r="G3499" s="18"/>
      <c r="H3499" s="18"/>
      <c r="I3499" s="18"/>
    </row>
    <row r="3500" ht="15">
      <c r="A3500" s="18"/>
      <c r="B3500" s="18"/>
      <c r="C3500" s="18"/>
      <c r="D3500" s="19"/>
      <c r="E3500" s="19"/>
      <c r="F3500" s="17"/>
      <c r="G3500" s="18"/>
      <c r="H3500" s="18"/>
      <c r="I3500" s="18"/>
    </row>
    <row r="3501" ht="15">
      <c r="A3501" s="18"/>
      <c r="B3501" s="18"/>
      <c r="C3501" s="18"/>
      <c r="D3501" s="19"/>
      <c r="E3501" s="19"/>
      <c r="F3501" s="17"/>
      <c r="G3501" s="18"/>
      <c r="H3501" s="18"/>
      <c r="I3501" s="18"/>
    </row>
    <row r="3502" ht="15">
      <c r="A3502" s="18"/>
      <c r="B3502" s="18"/>
      <c r="C3502" s="18"/>
      <c r="D3502" s="19"/>
      <c r="E3502" s="19"/>
      <c r="F3502" s="17"/>
      <c r="G3502" s="18"/>
      <c r="H3502" s="18"/>
      <c r="I3502" s="18"/>
    </row>
    <row r="3503" ht="15">
      <c r="A3503" s="18"/>
      <c r="B3503" s="18"/>
      <c r="C3503" s="18"/>
      <c r="D3503" s="19"/>
      <c r="E3503" s="19"/>
      <c r="F3503" s="17"/>
      <c r="G3503" s="18"/>
      <c r="H3503" s="18"/>
      <c r="I3503" s="18"/>
    </row>
    <row r="3504" ht="15">
      <c r="A3504" s="18"/>
      <c r="B3504" s="18"/>
      <c r="C3504" s="18"/>
      <c r="D3504" s="19"/>
      <c r="E3504" s="19"/>
      <c r="F3504" s="17"/>
      <c r="G3504" s="18"/>
      <c r="H3504" s="18"/>
      <c r="I3504" s="18"/>
    </row>
    <row r="3505" ht="15">
      <c r="A3505" s="18"/>
      <c r="B3505" s="18"/>
      <c r="C3505" s="18"/>
      <c r="D3505" s="19"/>
      <c r="E3505" s="19"/>
      <c r="F3505" s="17"/>
      <c r="G3505" s="18"/>
      <c r="H3505" s="18"/>
      <c r="I3505" s="18"/>
    </row>
    <row r="3506" ht="15">
      <c r="A3506" s="18"/>
      <c r="B3506" s="18"/>
      <c r="C3506" s="18"/>
      <c r="D3506" s="19"/>
      <c r="E3506" s="19"/>
      <c r="F3506" s="17"/>
      <c r="G3506" s="18"/>
      <c r="H3506" s="18"/>
      <c r="I3506" s="18"/>
    </row>
    <row r="3507" ht="15">
      <c r="A3507" s="18"/>
      <c r="B3507" s="18"/>
      <c r="C3507" s="18"/>
      <c r="D3507" s="19"/>
      <c r="E3507" s="19"/>
      <c r="F3507" s="17"/>
      <c r="G3507" s="18"/>
      <c r="H3507" s="18"/>
      <c r="I3507" s="18"/>
    </row>
    <row r="3508" ht="15">
      <c r="A3508" s="18"/>
      <c r="B3508" s="18"/>
      <c r="C3508" s="18"/>
      <c r="D3508" s="19"/>
      <c r="E3508" s="19"/>
      <c r="F3508" s="17"/>
      <c r="G3508" s="18"/>
      <c r="H3508" s="18"/>
      <c r="I3508" s="18"/>
    </row>
    <row r="3509" ht="15">
      <c r="A3509" s="18"/>
      <c r="B3509" s="18"/>
      <c r="C3509" s="18"/>
      <c r="D3509" s="19"/>
      <c r="E3509" s="19"/>
      <c r="F3509" s="17"/>
      <c r="G3509" s="18"/>
      <c r="H3509" s="18"/>
      <c r="I3509" s="18"/>
    </row>
    <row r="3510" ht="15">
      <c r="A3510" s="18"/>
      <c r="B3510" s="18"/>
      <c r="C3510" s="18"/>
      <c r="D3510" s="19"/>
      <c r="E3510" s="19"/>
      <c r="F3510" s="17"/>
      <c r="G3510" s="18"/>
      <c r="H3510" s="18"/>
      <c r="I3510" s="18"/>
    </row>
    <row r="3511" ht="15">
      <c r="A3511" s="18"/>
      <c r="B3511" s="18"/>
      <c r="C3511" s="18"/>
      <c r="D3511" s="19"/>
      <c r="E3511" s="19"/>
      <c r="F3511" s="17"/>
      <c r="G3511" s="18"/>
      <c r="H3511" s="18"/>
      <c r="I3511" s="18"/>
    </row>
    <row r="3512" ht="15">
      <c r="A3512" s="18"/>
      <c r="B3512" s="18"/>
      <c r="C3512" s="18"/>
      <c r="D3512" s="19"/>
      <c r="E3512" s="19"/>
      <c r="F3512" s="17"/>
      <c r="G3512" s="18"/>
      <c r="H3512" s="18"/>
      <c r="I3512" s="18"/>
    </row>
    <row r="3513" ht="15">
      <c r="A3513" s="18"/>
      <c r="B3513" s="18"/>
      <c r="C3513" s="18"/>
      <c r="D3513" s="19"/>
      <c r="E3513" s="19"/>
      <c r="F3513" s="17"/>
      <c r="G3513" s="18"/>
      <c r="H3513" s="18"/>
      <c r="I3513" s="18"/>
    </row>
    <row r="3514" ht="15">
      <c r="A3514" s="18"/>
      <c r="B3514" s="18"/>
      <c r="C3514" s="18"/>
      <c r="D3514" s="19"/>
      <c r="E3514" s="19"/>
      <c r="F3514" s="17"/>
      <c r="G3514" s="18"/>
      <c r="H3514" s="18"/>
      <c r="I3514" s="18"/>
    </row>
    <row r="3515" ht="15">
      <c r="A3515" s="18"/>
      <c r="B3515" s="18"/>
      <c r="C3515" s="18"/>
      <c r="D3515" s="19"/>
      <c r="E3515" s="19"/>
      <c r="F3515" s="17"/>
      <c r="G3515" s="18"/>
      <c r="H3515" s="18"/>
      <c r="I3515" s="18"/>
    </row>
    <row r="3516" ht="15">
      <c r="A3516" s="18"/>
      <c r="B3516" s="18"/>
      <c r="C3516" s="18"/>
      <c r="D3516" s="19"/>
      <c r="E3516" s="19"/>
      <c r="F3516" s="17"/>
      <c r="G3516" s="18"/>
      <c r="H3516" s="18"/>
      <c r="I3516" s="18"/>
    </row>
    <row r="3517" ht="15">
      <c r="A3517" s="18"/>
      <c r="B3517" s="18"/>
      <c r="C3517" s="18"/>
      <c r="D3517" s="19"/>
      <c r="E3517" s="19"/>
      <c r="F3517" s="17"/>
      <c r="G3517" s="18"/>
      <c r="H3517" s="18"/>
      <c r="I3517" s="18"/>
    </row>
    <row r="3518" ht="15">
      <c r="A3518" s="18"/>
      <c r="B3518" s="18"/>
      <c r="C3518" s="18"/>
      <c r="D3518" s="19"/>
      <c r="E3518" s="19"/>
      <c r="F3518" s="17"/>
      <c r="G3518" s="18"/>
      <c r="H3518" s="18"/>
      <c r="I3518" s="18"/>
    </row>
    <row r="3519" ht="15">
      <c r="A3519" s="18"/>
      <c r="B3519" s="18"/>
      <c r="C3519" s="18"/>
      <c r="D3519" s="19"/>
      <c r="E3519" s="19"/>
      <c r="F3519" s="17"/>
      <c r="G3519" s="18"/>
      <c r="H3519" s="18"/>
      <c r="I3519" s="18"/>
    </row>
    <row r="3520" ht="15">
      <c r="A3520" s="18"/>
      <c r="B3520" s="18"/>
      <c r="C3520" s="18"/>
      <c r="D3520" s="19"/>
      <c r="E3520" s="19"/>
      <c r="F3520" s="17"/>
      <c r="G3520" s="18"/>
      <c r="H3520" s="18"/>
      <c r="I3520" s="18"/>
    </row>
    <row r="3521" ht="15">
      <c r="A3521" s="18"/>
      <c r="B3521" s="18"/>
      <c r="C3521" s="18"/>
      <c r="D3521" s="19"/>
      <c r="E3521" s="19"/>
      <c r="F3521" s="17"/>
      <c r="G3521" s="18"/>
      <c r="H3521" s="18"/>
      <c r="I3521" s="18"/>
    </row>
    <row r="3522" ht="15">
      <c r="A3522" s="18"/>
      <c r="B3522" s="18"/>
      <c r="C3522" s="18"/>
      <c r="D3522" s="19"/>
      <c r="E3522" s="19"/>
      <c r="F3522" s="17"/>
      <c r="G3522" s="18"/>
      <c r="H3522" s="18"/>
      <c r="I3522" s="18"/>
    </row>
    <row r="3523" ht="15">
      <c r="A3523" s="18"/>
      <c r="B3523" s="18"/>
      <c r="C3523" s="18"/>
      <c r="D3523" s="19"/>
      <c r="E3523" s="19"/>
      <c r="F3523" s="17"/>
      <c r="G3523" s="18"/>
      <c r="H3523" s="18"/>
      <c r="I3523" s="18"/>
    </row>
    <row r="3524" ht="15">
      <c r="A3524" s="18"/>
      <c r="B3524" s="18"/>
      <c r="C3524" s="18"/>
      <c r="D3524" s="19"/>
      <c r="E3524" s="19"/>
      <c r="F3524" s="17"/>
      <c r="G3524" s="18"/>
      <c r="H3524" s="18"/>
      <c r="I3524" s="18"/>
    </row>
    <row r="3525" ht="15">
      <c r="A3525" s="18"/>
      <c r="B3525" s="18"/>
      <c r="C3525" s="18"/>
      <c r="D3525" s="19"/>
      <c r="E3525" s="19"/>
      <c r="F3525" s="17"/>
      <c r="G3525" s="18"/>
      <c r="H3525" s="18"/>
      <c r="I3525" s="18"/>
    </row>
    <row r="3526" ht="15">
      <c r="A3526" s="18"/>
      <c r="B3526" s="18"/>
      <c r="C3526" s="18"/>
      <c r="D3526" s="19"/>
      <c r="E3526" s="19"/>
      <c r="F3526" s="17"/>
      <c r="G3526" s="18"/>
      <c r="H3526" s="18"/>
      <c r="I3526" s="18"/>
    </row>
    <row r="3527" ht="15">
      <c r="A3527" s="18"/>
      <c r="B3527" s="18"/>
      <c r="C3527" s="18"/>
      <c r="D3527" s="19"/>
      <c r="E3527" s="19"/>
      <c r="F3527" s="17"/>
      <c r="G3527" s="18"/>
      <c r="H3527" s="18"/>
      <c r="I3527" s="18"/>
    </row>
    <row r="3528" ht="15">
      <c r="A3528" s="18"/>
      <c r="B3528" s="18"/>
      <c r="C3528" s="18"/>
      <c r="D3528" s="19"/>
      <c r="E3528" s="19"/>
      <c r="F3528" s="17"/>
      <c r="G3528" s="18"/>
      <c r="H3528" s="18"/>
      <c r="I3528" s="18"/>
    </row>
    <row r="3529" ht="15">
      <c r="A3529" s="18"/>
      <c r="B3529" s="18"/>
      <c r="C3529" s="18"/>
      <c r="D3529" s="19"/>
      <c r="E3529" s="19"/>
      <c r="F3529" s="17"/>
      <c r="G3529" s="18"/>
      <c r="H3529" s="18"/>
      <c r="I3529" s="18"/>
    </row>
    <row r="3530" ht="15">
      <c r="A3530" s="18"/>
      <c r="B3530" s="18"/>
      <c r="C3530" s="18"/>
      <c r="D3530" s="19"/>
      <c r="E3530" s="19"/>
      <c r="F3530" s="17"/>
      <c r="G3530" s="18"/>
      <c r="H3530" s="18"/>
      <c r="I3530" s="18"/>
    </row>
    <row r="3531" ht="15">
      <c r="A3531" s="18"/>
      <c r="B3531" s="18"/>
      <c r="C3531" s="18"/>
      <c r="D3531" s="19"/>
      <c r="E3531" s="19"/>
      <c r="F3531" s="17"/>
      <c r="G3531" s="18"/>
      <c r="H3531" s="18"/>
      <c r="I3531" s="18"/>
    </row>
    <row r="3532" ht="15">
      <c r="A3532" s="18"/>
      <c r="B3532" s="18"/>
      <c r="C3532" s="18"/>
      <c r="D3532" s="19"/>
      <c r="E3532" s="19"/>
      <c r="F3532" s="17"/>
      <c r="G3532" s="18"/>
      <c r="H3532" s="18"/>
      <c r="I3532" s="18"/>
    </row>
    <row r="3533" ht="15">
      <c r="A3533" s="18"/>
      <c r="B3533" s="18"/>
      <c r="C3533" s="18"/>
      <c r="D3533" s="19"/>
      <c r="E3533" s="19"/>
      <c r="F3533" s="17"/>
      <c r="G3533" s="18"/>
      <c r="H3533" s="18"/>
      <c r="I3533" s="18"/>
    </row>
    <row r="3534" ht="15">
      <c r="A3534" s="18"/>
      <c r="B3534" s="18"/>
      <c r="C3534" s="18"/>
      <c r="D3534" s="19"/>
      <c r="E3534" s="19"/>
      <c r="F3534" s="17"/>
      <c r="G3534" s="18"/>
      <c r="H3534" s="18"/>
      <c r="I3534" s="18"/>
    </row>
    <row r="3535" ht="15">
      <c r="A3535" s="18"/>
      <c r="B3535" s="18"/>
      <c r="C3535" s="18"/>
      <c r="D3535" s="19"/>
      <c r="E3535" s="19"/>
      <c r="F3535" s="17"/>
      <c r="G3535" s="18"/>
      <c r="H3535" s="18"/>
      <c r="I3535" s="18"/>
    </row>
    <row r="3536" ht="15">
      <c r="A3536" s="18"/>
      <c r="B3536" s="18"/>
      <c r="C3536" s="18"/>
      <c r="D3536" s="19"/>
      <c r="E3536" s="19"/>
      <c r="F3536" s="17"/>
      <c r="G3536" s="18"/>
      <c r="H3536" s="18"/>
      <c r="I3536" s="18"/>
    </row>
    <row r="3537" ht="15">
      <c r="A3537" s="18"/>
      <c r="B3537" s="18"/>
      <c r="C3537" s="18"/>
      <c r="D3537" s="19"/>
      <c r="E3537" s="19"/>
      <c r="F3537" s="17"/>
      <c r="G3537" s="18"/>
      <c r="H3537" s="18"/>
      <c r="I3537" s="18"/>
    </row>
    <row r="3538" ht="15">
      <c r="A3538" s="18"/>
      <c r="B3538" s="18"/>
      <c r="C3538" s="18"/>
      <c r="D3538" s="19"/>
      <c r="E3538" s="19"/>
      <c r="F3538" s="17"/>
      <c r="G3538" s="18"/>
      <c r="H3538" s="18"/>
      <c r="I3538" s="18"/>
    </row>
    <row r="3539" ht="15">
      <c r="A3539" s="18"/>
      <c r="B3539" s="18"/>
      <c r="C3539" s="18"/>
      <c r="D3539" s="19"/>
      <c r="E3539" s="19"/>
      <c r="F3539" s="17"/>
      <c r="G3539" s="18"/>
      <c r="H3539" s="18"/>
      <c r="I3539" s="18"/>
    </row>
    <row r="3540" ht="15">
      <c r="A3540" s="18"/>
      <c r="B3540" s="18"/>
      <c r="C3540" s="18"/>
      <c r="D3540" s="19"/>
      <c r="E3540" s="19"/>
      <c r="F3540" s="17"/>
      <c r="G3540" s="18"/>
      <c r="H3540" s="18"/>
      <c r="I3540" s="18"/>
    </row>
    <row r="3541" ht="15">
      <c r="A3541" s="18"/>
      <c r="B3541" s="18"/>
      <c r="C3541" s="18"/>
      <c r="D3541" s="19"/>
      <c r="E3541" s="19"/>
      <c r="F3541" s="17"/>
      <c r="G3541" s="18"/>
      <c r="H3541" s="18"/>
      <c r="I3541" s="18"/>
    </row>
    <row r="3542" ht="15">
      <c r="A3542" s="18"/>
      <c r="B3542" s="18"/>
      <c r="C3542" s="18"/>
      <c r="D3542" s="19"/>
      <c r="E3542" s="19"/>
      <c r="F3542" s="17"/>
      <c r="G3542" s="18"/>
      <c r="H3542" s="18"/>
      <c r="I3542" s="18"/>
    </row>
    <row r="3543" ht="15">
      <c r="A3543" s="18"/>
      <c r="B3543" s="18"/>
      <c r="C3543" s="18"/>
      <c r="D3543" s="19"/>
      <c r="E3543" s="19"/>
      <c r="F3543" s="17"/>
      <c r="G3543" s="18"/>
      <c r="H3543" s="18"/>
      <c r="I3543" s="18"/>
    </row>
    <row r="3544" ht="15">
      <c r="A3544" s="18"/>
      <c r="B3544" s="18"/>
      <c r="C3544" s="18"/>
      <c r="D3544" s="19"/>
      <c r="E3544" s="19"/>
      <c r="F3544" s="17"/>
      <c r="G3544" s="18"/>
      <c r="H3544" s="18"/>
      <c r="I3544" s="18"/>
    </row>
    <row r="3545" ht="15">
      <c r="A3545" s="18"/>
      <c r="B3545" s="18"/>
      <c r="C3545" s="18"/>
      <c r="D3545" s="19"/>
      <c r="E3545" s="19"/>
      <c r="F3545" s="17"/>
      <c r="G3545" s="18"/>
      <c r="H3545" s="18"/>
      <c r="I3545" s="18"/>
    </row>
    <row r="3546" ht="15">
      <c r="A3546" s="18"/>
      <c r="B3546" s="18"/>
      <c r="C3546" s="18"/>
      <c r="D3546" s="19"/>
      <c r="E3546" s="19"/>
      <c r="F3546" s="17"/>
      <c r="G3546" s="18"/>
      <c r="H3546" s="18"/>
      <c r="I3546" s="18"/>
    </row>
    <row r="3547" ht="15">
      <c r="A3547" s="18"/>
      <c r="B3547" s="18"/>
      <c r="C3547" s="18"/>
      <c r="D3547" s="19"/>
      <c r="E3547" s="19"/>
      <c r="F3547" s="17"/>
      <c r="G3547" s="18"/>
      <c r="H3547" s="18"/>
      <c r="I3547" s="18"/>
    </row>
    <row r="3548" ht="15">
      <c r="A3548" s="18"/>
      <c r="B3548" s="18"/>
      <c r="C3548" s="18"/>
      <c r="D3548" s="19"/>
      <c r="E3548" s="19"/>
      <c r="F3548" s="17"/>
      <c r="G3548" s="18"/>
      <c r="H3548" s="18"/>
      <c r="I3548" s="18"/>
    </row>
    <row r="3549" ht="15">
      <c r="A3549" s="18"/>
      <c r="B3549" s="18"/>
      <c r="C3549" s="18"/>
      <c r="D3549" s="19"/>
      <c r="E3549" s="19"/>
      <c r="F3549" s="17"/>
      <c r="G3549" s="18"/>
      <c r="H3549" s="18"/>
      <c r="I3549" s="18"/>
    </row>
    <row r="3550" ht="15">
      <c r="A3550" s="18"/>
      <c r="B3550" s="18"/>
      <c r="C3550" s="18"/>
      <c r="D3550" s="19"/>
      <c r="E3550" s="19"/>
      <c r="F3550" s="17"/>
      <c r="G3550" s="18"/>
      <c r="H3550" s="18"/>
      <c r="I3550" s="18"/>
    </row>
    <row r="3551" ht="15">
      <c r="A3551" s="18"/>
      <c r="B3551" s="18"/>
      <c r="C3551" s="18"/>
      <c r="D3551" s="19"/>
      <c r="E3551" s="19"/>
      <c r="F3551" s="17"/>
      <c r="G3551" s="18"/>
      <c r="H3551" s="18"/>
      <c r="I3551" s="18"/>
    </row>
    <row r="3552" ht="15">
      <c r="A3552" s="18"/>
      <c r="B3552" s="18"/>
      <c r="C3552" s="18"/>
      <c r="D3552" s="19"/>
      <c r="E3552" s="19"/>
      <c r="F3552" s="17"/>
      <c r="G3552" s="18"/>
      <c r="H3552" s="18"/>
      <c r="I3552" s="18"/>
    </row>
    <row r="3553" ht="15">
      <c r="A3553" s="18"/>
      <c r="B3553" s="18"/>
      <c r="C3553" s="18"/>
      <c r="D3553" s="19"/>
      <c r="E3553" s="19"/>
      <c r="F3553" s="17"/>
      <c r="G3553" s="18"/>
      <c r="H3553" s="18"/>
      <c r="I3553" s="18"/>
    </row>
    <row r="3554" ht="15">
      <c r="A3554" s="18"/>
      <c r="B3554" s="18"/>
      <c r="C3554" s="18"/>
      <c r="D3554" s="19"/>
      <c r="E3554" s="19"/>
      <c r="F3554" s="17"/>
      <c r="G3554" s="18"/>
      <c r="H3554" s="18"/>
      <c r="I3554" s="18"/>
    </row>
    <row r="3555" ht="15">
      <c r="A3555" s="18"/>
      <c r="B3555" s="18"/>
      <c r="C3555" s="18"/>
      <c r="D3555" s="19"/>
      <c r="E3555" s="19"/>
      <c r="F3555" s="17"/>
      <c r="G3555" s="18"/>
      <c r="H3555" s="18"/>
      <c r="I3555" s="18"/>
    </row>
    <row r="3556" ht="15">
      <c r="A3556" s="18"/>
      <c r="B3556" s="18"/>
      <c r="C3556" s="18"/>
      <c r="D3556" s="19"/>
      <c r="E3556" s="19"/>
      <c r="F3556" s="17"/>
      <c r="G3556" s="18"/>
      <c r="H3556" s="18"/>
      <c r="I3556" s="18"/>
    </row>
    <row r="3557" ht="15">
      <c r="A3557" s="18"/>
      <c r="B3557" s="18"/>
      <c r="C3557" s="18"/>
      <c r="D3557" s="19"/>
      <c r="E3557" s="19"/>
      <c r="F3557" s="17"/>
      <c r="G3557" s="18"/>
      <c r="H3557" s="18"/>
      <c r="I3557" s="18"/>
    </row>
    <row r="3558" ht="15">
      <c r="A3558" s="18"/>
      <c r="B3558" s="18"/>
      <c r="C3558" s="18"/>
      <c r="D3558" s="19"/>
      <c r="E3558" s="19"/>
      <c r="F3558" s="17"/>
      <c r="G3558" s="18"/>
      <c r="H3558" s="18"/>
      <c r="I3558" s="18"/>
    </row>
    <row r="3559" ht="15">
      <c r="A3559" s="18"/>
      <c r="B3559" s="18"/>
      <c r="C3559" s="18"/>
      <c r="D3559" s="19"/>
      <c r="E3559" s="19"/>
      <c r="F3559" s="17"/>
      <c r="G3559" s="18"/>
      <c r="H3559" s="18"/>
      <c r="I3559" s="18"/>
    </row>
    <row r="3560" ht="15">
      <c r="A3560" s="18"/>
      <c r="B3560" s="18"/>
      <c r="C3560" s="18"/>
      <c r="D3560" s="19"/>
      <c r="E3560" s="19"/>
      <c r="F3560" s="17"/>
      <c r="G3560" s="18"/>
      <c r="H3560" s="18"/>
      <c r="I3560" s="18"/>
    </row>
    <row r="3561" ht="15">
      <c r="A3561" s="18"/>
      <c r="B3561" s="18"/>
      <c r="C3561" s="18"/>
      <c r="D3561" s="19"/>
      <c r="E3561" s="19"/>
      <c r="F3561" s="17"/>
      <c r="G3561" s="18"/>
      <c r="H3561" s="18"/>
      <c r="I3561" s="18"/>
    </row>
    <row r="3562" ht="15">
      <c r="A3562" s="18"/>
      <c r="B3562" s="18"/>
      <c r="C3562" s="18"/>
      <c r="D3562" s="19"/>
      <c r="E3562" s="19"/>
      <c r="F3562" s="17"/>
      <c r="G3562" s="18"/>
      <c r="H3562" s="18"/>
      <c r="I3562" s="18"/>
    </row>
    <row r="3563" ht="15">
      <c r="A3563" s="18"/>
      <c r="B3563" s="18"/>
      <c r="C3563" s="18"/>
      <c r="D3563" s="19"/>
      <c r="E3563" s="19"/>
      <c r="F3563" s="17"/>
      <c r="G3563" s="18"/>
      <c r="H3563" s="18"/>
      <c r="I3563" s="18"/>
    </row>
    <row r="3564" ht="15">
      <c r="A3564" s="18"/>
      <c r="B3564" s="18"/>
      <c r="C3564" s="18"/>
      <c r="D3564" s="19"/>
      <c r="E3564" s="19"/>
      <c r="F3564" s="17"/>
      <c r="G3564" s="18"/>
      <c r="H3564" s="18"/>
      <c r="I3564" s="18"/>
    </row>
    <row r="3565" ht="15">
      <c r="A3565" s="18"/>
      <c r="B3565" s="18"/>
      <c r="C3565" s="18"/>
      <c r="D3565" s="19"/>
      <c r="E3565" s="19"/>
      <c r="F3565" s="17"/>
      <c r="G3565" s="18"/>
      <c r="H3565" s="18"/>
      <c r="I3565" s="18"/>
    </row>
    <row r="3566" ht="15">
      <c r="A3566" s="18"/>
      <c r="B3566" s="18"/>
      <c r="C3566" s="18"/>
      <c r="D3566" s="19"/>
      <c r="E3566" s="19"/>
      <c r="F3566" s="17"/>
      <c r="G3566" s="18"/>
      <c r="H3566" s="18"/>
      <c r="I3566" s="18"/>
    </row>
    <row r="3567" ht="15">
      <c r="A3567" s="18"/>
      <c r="B3567" s="18"/>
      <c r="C3567" s="18"/>
      <c r="D3567" s="19"/>
      <c r="E3567" s="19"/>
      <c r="F3567" s="17"/>
      <c r="G3567" s="18"/>
      <c r="H3567" s="18"/>
      <c r="I3567" s="18"/>
    </row>
    <row r="3568" ht="15">
      <c r="A3568" s="18"/>
      <c r="B3568" s="18"/>
      <c r="C3568" s="18"/>
      <c r="D3568" s="19"/>
      <c r="E3568" s="19"/>
      <c r="F3568" s="17"/>
      <c r="G3568" s="18"/>
      <c r="H3568" s="18"/>
      <c r="I3568" s="18"/>
    </row>
    <row r="3569" ht="15">
      <c r="A3569" s="18"/>
      <c r="B3569" s="18"/>
      <c r="C3569" s="18"/>
      <c r="D3569" s="19"/>
      <c r="E3569" s="19"/>
      <c r="F3569" s="17"/>
      <c r="G3569" s="18"/>
      <c r="H3569" s="18"/>
      <c r="I3569" s="18"/>
    </row>
    <row r="3570" ht="15">
      <c r="A3570" s="18"/>
      <c r="B3570" s="18"/>
      <c r="C3570" s="18"/>
      <c r="D3570" s="19"/>
      <c r="E3570" s="19"/>
      <c r="F3570" s="17"/>
      <c r="G3570" s="18"/>
      <c r="H3570" s="18"/>
      <c r="I3570" s="18"/>
    </row>
    <row r="3571" ht="15">
      <c r="A3571" s="18"/>
      <c r="B3571" s="18"/>
      <c r="C3571" s="18"/>
      <c r="D3571" s="19"/>
      <c r="E3571" s="19"/>
      <c r="F3571" s="17"/>
      <c r="G3571" s="18"/>
      <c r="H3571" s="18"/>
      <c r="I3571" s="18"/>
    </row>
    <row r="3572" ht="15">
      <c r="A3572" s="18"/>
      <c r="B3572" s="18"/>
      <c r="C3572" s="18"/>
      <c r="D3572" s="19"/>
      <c r="E3572" s="19"/>
      <c r="F3572" s="17"/>
      <c r="G3572" s="18"/>
      <c r="H3572" s="18"/>
      <c r="I3572" s="18"/>
    </row>
    <row r="3573" ht="15">
      <c r="A3573" s="18"/>
      <c r="B3573" s="18"/>
      <c r="C3573" s="18"/>
      <c r="D3573" s="19"/>
      <c r="E3573" s="19"/>
      <c r="F3573" s="17"/>
      <c r="G3573" s="18"/>
      <c r="H3573" s="18"/>
      <c r="I3573" s="18"/>
    </row>
    <row r="3574" ht="15">
      <c r="A3574" s="18"/>
      <c r="B3574" s="18"/>
      <c r="C3574" s="18"/>
      <c r="D3574" s="19"/>
      <c r="E3574" s="19"/>
      <c r="F3574" s="17"/>
      <c r="G3574" s="18"/>
      <c r="H3574" s="18"/>
      <c r="I3574" s="18"/>
    </row>
    <row r="3575" ht="15">
      <c r="A3575" s="18"/>
      <c r="B3575" s="18"/>
      <c r="C3575" s="18"/>
      <c r="D3575" s="19"/>
      <c r="E3575" s="19"/>
      <c r="F3575" s="17"/>
      <c r="G3575" s="18"/>
      <c r="H3575" s="18"/>
      <c r="I3575" s="18"/>
    </row>
    <row r="3576" ht="15">
      <c r="A3576" s="18"/>
      <c r="B3576" s="18"/>
      <c r="C3576" s="18"/>
      <c r="D3576" s="19"/>
      <c r="E3576" s="19"/>
      <c r="F3576" s="17"/>
      <c r="G3576" s="18"/>
      <c r="H3576" s="18"/>
      <c r="I3576" s="18"/>
    </row>
    <row r="3577" ht="15">
      <c r="A3577" s="18"/>
      <c r="B3577" s="18"/>
      <c r="C3577" s="18"/>
      <c r="D3577" s="19"/>
      <c r="E3577" s="19"/>
      <c r="F3577" s="17"/>
      <c r="G3577" s="18"/>
      <c r="H3577" s="18"/>
      <c r="I3577" s="18"/>
    </row>
    <row r="3578" ht="15">
      <c r="A3578" s="18"/>
      <c r="B3578" s="18"/>
      <c r="C3578" s="18"/>
      <c r="D3578" s="19"/>
      <c r="E3578" s="19"/>
      <c r="F3578" s="17"/>
      <c r="G3578" s="18"/>
      <c r="H3578" s="18"/>
      <c r="I3578" s="18"/>
    </row>
    <row r="3579" ht="15">
      <c r="A3579" s="18"/>
      <c r="B3579" s="18"/>
      <c r="C3579" s="18"/>
      <c r="D3579" s="19"/>
      <c r="E3579" s="19"/>
      <c r="F3579" s="17"/>
      <c r="G3579" s="18"/>
      <c r="H3579" s="18"/>
      <c r="I3579" s="18"/>
    </row>
    <row r="3580" ht="15">
      <c r="A3580" s="18"/>
      <c r="B3580" s="18"/>
      <c r="C3580" s="18"/>
      <c r="D3580" s="19"/>
      <c r="E3580" s="19"/>
      <c r="F3580" s="17"/>
      <c r="G3580" s="18"/>
      <c r="H3580" s="18"/>
      <c r="I3580" s="18"/>
    </row>
    <row r="3581" ht="15">
      <c r="A3581" s="18"/>
      <c r="B3581" s="18"/>
      <c r="C3581" s="18"/>
      <c r="D3581" s="19"/>
      <c r="E3581" s="19"/>
      <c r="F3581" s="17"/>
      <c r="G3581" s="18"/>
      <c r="H3581" s="18"/>
      <c r="I3581" s="18"/>
    </row>
    <row r="3582" ht="15">
      <c r="A3582" s="18"/>
      <c r="B3582" s="18"/>
      <c r="C3582" s="18"/>
      <c r="D3582" s="19"/>
      <c r="E3582" s="19"/>
      <c r="F3582" s="17"/>
      <c r="G3582" s="18"/>
      <c r="H3582" s="18"/>
      <c r="I3582" s="18"/>
    </row>
    <row r="3583" ht="15">
      <c r="A3583" s="18"/>
      <c r="B3583" s="18"/>
      <c r="C3583" s="18"/>
      <c r="D3583" s="19"/>
      <c r="E3583" s="19"/>
      <c r="F3583" s="17"/>
      <c r="G3583" s="18"/>
      <c r="H3583" s="18"/>
      <c r="I3583" s="18"/>
    </row>
    <row r="3584" ht="15">
      <c r="A3584" s="18"/>
      <c r="B3584" s="18"/>
      <c r="C3584" s="18"/>
      <c r="D3584" s="19"/>
      <c r="E3584" s="19"/>
      <c r="F3584" s="17"/>
      <c r="G3584" s="18"/>
      <c r="H3584" s="18"/>
      <c r="I3584" s="18"/>
    </row>
    <row r="3585" ht="15">
      <c r="A3585" s="18"/>
      <c r="B3585" s="18"/>
      <c r="C3585" s="18"/>
      <c r="D3585" s="19"/>
      <c r="E3585" s="19"/>
      <c r="F3585" s="17"/>
      <c r="G3585" s="18"/>
      <c r="H3585" s="18"/>
      <c r="I3585" s="18"/>
    </row>
    <row r="3586" ht="15">
      <c r="A3586" s="18"/>
      <c r="B3586" s="18"/>
      <c r="C3586" s="18"/>
      <c r="D3586" s="19"/>
      <c r="E3586" s="19"/>
      <c r="F3586" s="17"/>
      <c r="G3586" s="18"/>
      <c r="H3586" s="18"/>
      <c r="I3586" s="18"/>
    </row>
    <row r="3587" ht="15">
      <c r="A3587" s="18"/>
      <c r="B3587" s="18"/>
      <c r="C3587" s="18"/>
      <c r="D3587" s="19"/>
      <c r="E3587" s="19"/>
      <c r="F3587" s="17"/>
      <c r="G3587" s="18"/>
      <c r="H3587" s="18"/>
      <c r="I3587" s="18"/>
    </row>
    <row r="3588" ht="15">
      <c r="A3588" s="18"/>
      <c r="B3588" s="18"/>
      <c r="C3588" s="18"/>
      <c r="D3588" s="19"/>
      <c r="E3588" s="19"/>
      <c r="F3588" s="17"/>
      <c r="G3588" s="18"/>
      <c r="H3588" s="18"/>
      <c r="I3588" s="18"/>
    </row>
    <row r="3589" ht="15">
      <c r="A3589" s="18"/>
      <c r="B3589" s="18"/>
      <c r="C3589" s="18"/>
      <c r="D3589" s="19"/>
      <c r="E3589" s="19"/>
      <c r="F3589" s="17"/>
      <c r="G3589" s="18"/>
      <c r="H3589" s="18"/>
      <c r="I3589" s="18"/>
    </row>
    <row r="3590" ht="15">
      <c r="A3590" s="18"/>
      <c r="B3590" s="18"/>
      <c r="C3590" s="18"/>
      <c r="D3590" s="19"/>
      <c r="E3590" s="19"/>
      <c r="F3590" s="17"/>
      <c r="G3590" s="18"/>
      <c r="H3590" s="18"/>
      <c r="I3590" s="18"/>
    </row>
    <row r="3591" ht="15">
      <c r="A3591" s="18"/>
      <c r="B3591" s="18"/>
      <c r="C3591" s="18"/>
      <c r="D3591" s="19"/>
      <c r="E3591" s="19"/>
      <c r="F3591" s="17"/>
      <c r="G3591" s="18"/>
      <c r="H3591" s="18"/>
      <c r="I3591" s="18"/>
    </row>
    <row r="3592" ht="15">
      <c r="A3592" s="18"/>
      <c r="B3592" s="18"/>
      <c r="C3592" s="18"/>
      <c r="D3592" s="19"/>
      <c r="E3592" s="19"/>
      <c r="F3592" s="17"/>
      <c r="G3592" s="18"/>
      <c r="H3592" s="18"/>
      <c r="I3592" s="18"/>
    </row>
    <row r="3593" ht="15">
      <c r="A3593" s="18"/>
      <c r="B3593" s="18"/>
      <c r="C3593" s="18"/>
      <c r="D3593" s="19"/>
      <c r="E3593" s="19"/>
      <c r="F3593" s="17"/>
      <c r="G3593" s="18"/>
      <c r="H3593" s="18"/>
      <c r="I3593" s="18"/>
    </row>
    <row r="3594" ht="15">
      <c r="A3594" s="18"/>
      <c r="B3594" s="18"/>
      <c r="C3594" s="18"/>
      <c r="D3594" s="19"/>
      <c r="E3594" s="19"/>
      <c r="F3594" s="17"/>
      <c r="G3594" s="18"/>
      <c r="H3594" s="18"/>
      <c r="I3594" s="18"/>
    </row>
    <row r="3595" ht="15">
      <c r="A3595" s="18"/>
      <c r="B3595" s="18"/>
      <c r="C3595" s="18"/>
      <c r="D3595" s="19"/>
      <c r="E3595" s="19"/>
      <c r="F3595" s="17"/>
      <c r="G3595" s="18"/>
      <c r="H3595" s="18"/>
      <c r="I3595" s="18"/>
    </row>
    <row r="3596" ht="15">
      <c r="A3596" s="18"/>
      <c r="B3596" s="18"/>
      <c r="C3596" s="18"/>
      <c r="D3596" s="19"/>
      <c r="E3596" s="19"/>
      <c r="F3596" s="17"/>
      <c r="G3596" s="18"/>
      <c r="H3596" s="18"/>
      <c r="I3596" s="18"/>
    </row>
    <row r="3597" ht="15">
      <c r="A3597" s="18"/>
      <c r="B3597" s="18"/>
      <c r="C3597" s="18"/>
      <c r="D3597" s="19"/>
      <c r="E3597" s="19"/>
      <c r="F3597" s="17"/>
      <c r="G3597" s="18"/>
      <c r="H3597" s="18"/>
      <c r="I3597" s="18"/>
    </row>
    <row r="3598" ht="15">
      <c r="A3598" s="18"/>
      <c r="B3598" s="18"/>
      <c r="C3598" s="18"/>
      <c r="D3598" s="19"/>
      <c r="E3598" s="19"/>
      <c r="F3598" s="17"/>
      <c r="G3598" s="18"/>
      <c r="H3598" s="18"/>
      <c r="I3598" s="18"/>
    </row>
    <row r="3599" ht="15">
      <c r="A3599" s="18"/>
      <c r="B3599" s="18"/>
      <c r="C3599" s="18"/>
      <c r="D3599" s="19"/>
      <c r="E3599" s="19"/>
      <c r="F3599" s="17"/>
      <c r="G3599" s="18"/>
      <c r="H3599" s="18"/>
      <c r="I3599" s="18"/>
    </row>
    <row r="3600" ht="15">
      <c r="A3600" s="18"/>
      <c r="B3600" s="18"/>
      <c r="C3600" s="18"/>
      <c r="D3600" s="19"/>
      <c r="E3600" s="19"/>
      <c r="F3600" s="17"/>
      <c r="G3600" s="18"/>
      <c r="H3600" s="18"/>
      <c r="I3600" s="18"/>
    </row>
    <row r="3601" ht="15">
      <c r="A3601" s="18"/>
      <c r="B3601" s="18"/>
      <c r="C3601" s="18"/>
      <c r="D3601" s="19"/>
      <c r="E3601" s="19"/>
      <c r="F3601" s="17"/>
      <c r="G3601" s="18"/>
      <c r="H3601" s="18"/>
      <c r="I3601" s="18"/>
    </row>
    <row r="3602" ht="15">
      <c r="A3602" s="18"/>
      <c r="B3602" s="18"/>
      <c r="C3602" s="18"/>
      <c r="D3602" s="19"/>
      <c r="E3602" s="19"/>
      <c r="F3602" s="17"/>
      <c r="G3602" s="18"/>
      <c r="H3602" s="18"/>
      <c r="I3602" s="18"/>
    </row>
    <row r="3603" ht="15">
      <c r="A3603" s="18"/>
      <c r="B3603" s="18"/>
      <c r="C3603" s="18"/>
      <c r="D3603" s="19"/>
      <c r="E3603" s="19"/>
      <c r="F3603" s="17"/>
      <c r="G3603" s="18"/>
      <c r="H3603" s="18"/>
      <c r="I3603" s="18"/>
    </row>
    <row r="3604" ht="15">
      <c r="A3604" s="18"/>
      <c r="B3604" s="18"/>
      <c r="C3604" s="18"/>
      <c r="D3604" s="19"/>
      <c r="E3604" s="19"/>
      <c r="F3604" s="17"/>
      <c r="G3604" s="18"/>
      <c r="H3604" s="18"/>
      <c r="I3604" s="18"/>
    </row>
    <row r="3605" ht="15">
      <c r="A3605" s="18"/>
      <c r="B3605" s="18"/>
      <c r="C3605" s="18"/>
      <c r="D3605" s="19"/>
      <c r="E3605" s="19"/>
      <c r="F3605" s="17"/>
      <c r="G3605" s="18"/>
      <c r="H3605" s="18"/>
      <c r="I3605" s="18"/>
    </row>
    <row r="3606" ht="15">
      <c r="A3606" s="18"/>
      <c r="B3606" s="18"/>
      <c r="C3606" s="18"/>
      <c r="D3606" s="19"/>
      <c r="E3606" s="19"/>
      <c r="F3606" s="17"/>
      <c r="G3606" s="18"/>
      <c r="H3606" s="18"/>
      <c r="I3606" s="18"/>
    </row>
    <row r="3607" ht="15">
      <c r="A3607" s="18"/>
      <c r="B3607" s="18"/>
      <c r="C3607" s="18"/>
      <c r="D3607" s="19"/>
      <c r="E3607" s="19"/>
      <c r="F3607" s="17"/>
      <c r="G3607" s="18"/>
      <c r="H3607" s="18"/>
      <c r="I3607" s="18"/>
    </row>
    <row r="3608" ht="15">
      <c r="A3608" s="18"/>
      <c r="B3608" s="18"/>
      <c r="C3608" s="18"/>
      <c r="D3608" s="19"/>
      <c r="E3608" s="19"/>
      <c r="F3608" s="17"/>
      <c r="G3608" s="18"/>
      <c r="H3608" s="18"/>
      <c r="I3608" s="18"/>
    </row>
    <row r="3609" ht="15">
      <c r="A3609" s="18"/>
      <c r="B3609" s="18"/>
      <c r="C3609" s="18"/>
      <c r="D3609" s="19"/>
      <c r="E3609" s="19"/>
      <c r="F3609" s="17"/>
      <c r="G3609" s="18"/>
      <c r="H3609" s="18"/>
      <c r="I3609" s="18"/>
    </row>
    <row r="3610" ht="15">
      <c r="A3610" s="18"/>
      <c r="B3610" s="18"/>
      <c r="C3610" s="18"/>
      <c r="D3610" s="19"/>
      <c r="E3610" s="19"/>
      <c r="F3610" s="17"/>
      <c r="G3610" s="18"/>
      <c r="H3610" s="18"/>
      <c r="I3610" s="18"/>
    </row>
    <row r="3611" ht="15">
      <c r="A3611" s="18"/>
      <c r="B3611" s="18"/>
      <c r="C3611" s="18"/>
      <c r="D3611" s="19"/>
      <c r="E3611" s="19"/>
      <c r="F3611" s="17"/>
      <c r="G3611" s="18"/>
      <c r="H3611" s="18"/>
      <c r="I3611" s="18"/>
    </row>
    <row r="3612" ht="15">
      <c r="A3612" s="18"/>
      <c r="B3612" s="18"/>
      <c r="C3612" s="18"/>
      <c r="D3612" s="19"/>
      <c r="E3612" s="19"/>
      <c r="F3612" s="17"/>
      <c r="G3612" s="18"/>
      <c r="H3612" s="18"/>
      <c r="I3612" s="18"/>
    </row>
    <row r="3613" ht="15">
      <c r="A3613" s="18"/>
      <c r="B3613" s="18"/>
      <c r="C3613" s="18"/>
      <c r="D3613" s="19"/>
      <c r="E3613" s="19"/>
      <c r="F3613" s="17"/>
      <c r="G3613" s="18"/>
      <c r="H3613" s="18"/>
      <c r="I3613" s="18"/>
    </row>
    <row r="3614" ht="15">
      <c r="A3614" s="18"/>
      <c r="B3614" s="18"/>
      <c r="C3614" s="18"/>
      <c r="D3614" s="19"/>
      <c r="E3614" s="19"/>
      <c r="F3614" s="17"/>
      <c r="G3614" s="18"/>
      <c r="H3614" s="18"/>
      <c r="I3614" s="18"/>
    </row>
    <row r="3615" ht="15">
      <c r="A3615" s="18"/>
      <c r="B3615" s="18"/>
      <c r="C3615" s="18"/>
      <c r="D3615" s="19"/>
      <c r="E3615" s="19"/>
      <c r="F3615" s="17"/>
      <c r="G3615" s="18"/>
      <c r="H3615" s="18"/>
      <c r="I3615" s="18"/>
    </row>
    <row r="3616" ht="15">
      <c r="A3616" s="18"/>
      <c r="B3616" s="18"/>
      <c r="C3616" s="18"/>
      <c r="D3616" s="19"/>
      <c r="E3616" s="19"/>
      <c r="F3616" s="17"/>
      <c r="G3616" s="18"/>
      <c r="H3616" s="18"/>
      <c r="I3616" s="18"/>
    </row>
    <row r="3617" ht="15">
      <c r="A3617" s="18"/>
      <c r="B3617" s="18"/>
      <c r="C3617" s="18"/>
      <c r="D3617" s="19"/>
      <c r="E3617" s="19"/>
      <c r="F3617" s="17"/>
      <c r="G3617" s="18"/>
      <c r="H3617" s="18"/>
      <c r="I3617" s="18"/>
    </row>
    <row r="3618" ht="15">
      <c r="A3618" s="18"/>
      <c r="B3618" s="18"/>
      <c r="C3618" s="18"/>
      <c r="D3618" s="19"/>
      <c r="E3618" s="19"/>
      <c r="F3618" s="17"/>
      <c r="G3618" s="18"/>
      <c r="H3618" s="18"/>
      <c r="I3618" s="18"/>
    </row>
    <row r="3619" ht="15">
      <c r="A3619" s="18"/>
      <c r="B3619" s="18"/>
      <c r="C3619" s="18"/>
      <c r="D3619" s="19"/>
      <c r="E3619" s="19"/>
      <c r="F3619" s="17"/>
      <c r="G3619" s="18"/>
      <c r="H3619" s="18"/>
      <c r="I3619" s="18"/>
    </row>
    <row r="3620" ht="15">
      <c r="A3620" s="18"/>
      <c r="B3620" s="18"/>
      <c r="C3620" s="18"/>
      <c r="D3620" s="19"/>
      <c r="E3620" s="19"/>
      <c r="F3620" s="17"/>
      <c r="G3620" s="18"/>
      <c r="H3620" s="18"/>
      <c r="I3620" s="18"/>
    </row>
    <row r="3621" ht="15">
      <c r="A3621" s="18"/>
      <c r="B3621" s="18"/>
      <c r="C3621" s="18"/>
      <c r="D3621" s="19"/>
      <c r="E3621" s="19"/>
      <c r="F3621" s="17"/>
      <c r="G3621" s="18"/>
      <c r="H3621" s="18"/>
      <c r="I3621" s="18"/>
    </row>
    <row r="3622" ht="15">
      <c r="A3622" s="18"/>
      <c r="B3622" s="18"/>
      <c r="C3622" s="18"/>
      <c r="D3622" s="19"/>
      <c r="E3622" s="19"/>
      <c r="F3622" s="17"/>
      <c r="G3622" s="18"/>
      <c r="H3622" s="18"/>
      <c r="I3622" s="18"/>
    </row>
    <row r="3623" ht="15">
      <c r="A3623" s="18"/>
      <c r="B3623" s="18"/>
      <c r="C3623" s="18"/>
      <c r="D3623" s="19"/>
      <c r="E3623" s="19"/>
      <c r="F3623" s="17"/>
      <c r="G3623" s="18"/>
      <c r="H3623" s="18"/>
      <c r="I3623" s="18"/>
    </row>
    <row r="3624" ht="15">
      <c r="A3624" s="18"/>
      <c r="B3624" s="18"/>
      <c r="C3624" s="18"/>
      <c r="D3624" s="19"/>
      <c r="E3624" s="19"/>
      <c r="F3624" s="17"/>
      <c r="G3624" s="18"/>
      <c r="H3624" s="18"/>
      <c r="I3624" s="18"/>
    </row>
    <row r="3625" ht="15">
      <c r="A3625" s="18"/>
      <c r="B3625" s="18"/>
      <c r="C3625" s="18"/>
      <c r="D3625" s="19"/>
      <c r="E3625" s="19"/>
      <c r="F3625" s="17"/>
      <c r="G3625" s="18"/>
      <c r="H3625" s="18"/>
      <c r="I3625" s="18"/>
    </row>
    <row r="3626" ht="15">
      <c r="A3626" s="18"/>
      <c r="B3626" s="18"/>
      <c r="C3626" s="18"/>
      <c r="D3626" s="19"/>
      <c r="E3626" s="19"/>
      <c r="F3626" s="17"/>
      <c r="G3626" s="18"/>
      <c r="H3626" s="18"/>
      <c r="I3626" s="18"/>
    </row>
    <row r="3627" ht="15">
      <c r="A3627" s="18"/>
      <c r="B3627" s="18"/>
      <c r="C3627" s="18"/>
      <c r="D3627" s="19"/>
      <c r="E3627" s="19"/>
      <c r="F3627" s="17"/>
      <c r="G3627" s="18"/>
      <c r="H3627" s="18"/>
      <c r="I3627" s="18"/>
    </row>
    <row r="3628" ht="15">
      <c r="A3628" s="18"/>
      <c r="B3628" s="18"/>
      <c r="C3628" s="18"/>
      <c r="D3628" s="19"/>
      <c r="E3628" s="19"/>
      <c r="F3628" s="17"/>
      <c r="G3628" s="18"/>
      <c r="H3628" s="18"/>
      <c r="I3628" s="18"/>
    </row>
    <row r="3629" ht="15">
      <c r="A3629" s="18"/>
      <c r="B3629" s="18"/>
      <c r="C3629" s="18"/>
      <c r="D3629" s="19"/>
      <c r="E3629" s="19"/>
      <c r="F3629" s="17"/>
      <c r="G3629" s="18"/>
      <c r="H3629" s="18"/>
      <c r="I3629" s="18"/>
    </row>
    <row r="3630" ht="15">
      <c r="A3630" s="18"/>
      <c r="B3630" s="18"/>
      <c r="C3630" s="18"/>
      <c r="D3630" s="19"/>
      <c r="E3630" s="19"/>
      <c r="F3630" s="17"/>
      <c r="G3630" s="18"/>
      <c r="H3630" s="18"/>
      <c r="I3630" s="18"/>
    </row>
    <row r="3631" ht="15">
      <c r="A3631" s="18"/>
      <c r="B3631" s="18"/>
      <c r="C3631" s="18"/>
      <c r="D3631" s="19"/>
      <c r="E3631" s="19"/>
      <c r="F3631" s="17"/>
      <c r="G3631" s="18"/>
      <c r="H3631" s="18"/>
      <c r="I3631" s="18"/>
    </row>
    <row r="3632" ht="15">
      <c r="A3632" s="18"/>
      <c r="B3632" s="18"/>
      <c r="C3632" s="18"/>
      <c r="D3632" s="19"/>
      <c r="E3632" s="19"/>
      <c r="F3632" s="17"/>
      <c r="G3632" s="18"/>
      <c r="H3632" s="18"/>
      <c r="I3632" s="18"/>
    </row>
    <row r="3633" ht="15">
      <c r="A3633" s="18"/>
      <c r="B3633" s="18"/>
      <c r="C3633" s="18"/>
      <c r="D3633" s="19"/>
      <c r="E3633" s="19"/>
      <c r="F3633" s="17"/>
      <c r="G3633" s="18"/>
      <c r="H3633" s="18"/>
      <c r="I3633" s="18"/>
    </row>
    <row r="3634" ht="15">
      <c r="A3634" s="18"/>
      <c r="B3634" s="18"/>
      <c r="C3634" s="18"/>
      <c r="D3634" s="19"/>
      <c r="E3634" s="19"/>
      <c r="F3634" s="17"/>
      <c r="G3634" s="18"/>
      <c r="H3634" s="18"/>
      <c r="I3634" s="18"/>
    </row>
    <row r="3635" ht="15">
      <c r="A3635" s="18"/>
      <c r="B3635" s="18"/>
      <c r="C3635" s="18"/>
      <c r="D3635" s="19"/>
      <c r="E3635" s="19"/>
      <c r="F3635" s="17"/>
      <c r="G3635" s="18"/>
      <c r="H3635" s="18"/>
      <c r="I3635" s="18"/>
    </row>
    <row r="3636" ht="15">
      <c r="A3636" s="18"/>
      <c r="B3636" s="18"/>
      <c r="C3636" s="18"/>
      <c r="D3636" s="19"/>
      <c r="E3636" s="19"/>
      <c r="F3636" s="17"/>
      <c r="G3636" s="18"/>
      <c r="H3636" s="18"/>
      <c r="I3636" s="18"/>
    </row>
    <row r="3637" ht="15">
      <c r="A3637" s="18"/>
      <c r="B3637" s="18"/>
      <c r="C3637" s="18"/>
      <c r="D3637" s="19"/>
      <c r="E3637" s="19"/>
      <c r="F3637" s="17"/>
      <c r="G3637" s="18"/>
      <c r="H3637" s="18"/>
      <c r="I3637" s="18"/>
    </row>
    <row r="3638" ht="15">
      <c r="A3638" s="18"/>
      <c r="B3638" s="18"/>
      <c r="C3638" s="18"/>
      <c r="D3638" s="19"/>
      <c r="E3638" s="19"/>
      <c r="F3638" s="17"/>
      <c r="G3638" s="18"/>
      <c r="H3638" s="18"/>
      <c r="I3638" s="18"/>
    </row>
    <row r="3639" ht="15">
      <c r="A3639" s="18"/>
      <c r="B3639" s="18"/>
      <c r="C3639" s="18"/>
      <c r="D3639" s="19"/>
      <c r="E3639" s="19"/>
      <c r="F3639" s="17"/>
      <c r="G3639" s="18"/>
      <c r="H3639" s="18"/>
      <c r="I3639" s="18"/>
    </row>
    <row r="3640" ht="15">
      <c r="A3640" s="18"/>
      <c r="B3640" s="18"/>
      <c r="C3640" s="18"/>
      <c r="D3640" s="19"/>
      <c r="E3640" s="19"/>
      <c r="F3640" s="17"/>
      <c r="G3640" s="18"/>
      <c r="H3640" s="18"/>
      <c r="I3640" s="18"/>
    </row>
    <row r="3641" ht="15">
      <c r="A3641" s="18"/>
      <c r="B3641" s="18"/>
      <c r="C3641" s="18"/>
      <c r="D3641" s="19"/>
      <c r="E3641" s="19"/>
      <c r="F3641" s="17"/>
      <c r="G3641" s="18"/>
      <c r="H3641" s="18"/>
      <c r="I3641" s="18"/>
    </row>
    <row r="3642" ht="15">
      <c r="A3642" s="18"/>
      <c r="B3642" s="18"/>
      <c r="C3642" s="18"/>
      <c r="D3642" s="19"/>
      <c r="E3642" s="19"/>
      <c r="F3642" s="17"/>
      <c r="G3642" s="18"/>
      <c r="H3642" s="18"/>
      <c r="I3642" s="18"/>
    </row>
    <row r="3643" ht="15">
      <c r="A3643" s="18"/>
      <c r="B3643" s="18"/>
      <c r="C3643" s="18"/>
      <c r="D3643" s="19"/>
      <c r="E3643" s="19"/>
      <c r="F3643" s="17"/>
      <c r="G3643" s="18"/>
      <c r="H3643" s="18"/>
      <c r="I3643" s="18"/>
    </row>
    <row r="3644" ht="15">
      <c r="A3644" s="18"/>
      <c r="B3644" s="18"/>
      <c r="C3644" s="18"/>
      <c r="D3644" s="19"/>
      <c r="E3644" s="19"/>
      <c r="F3644" s="17"/>
      <c r="G3644" s="18"/>
      <c r="H3644" s="18"/>
      <c r="I3644" s="18"/>
    </row>
    <row r="3645" ht="15">
      <c r="A3645" s="18"/>
      <c r="B3645" s="18"/>
      <c r="C3645" s="18"/>
      <c r="D3645" s="19"/>
      <c r="E3645" s="19"/>
      <c r="F3645" s="17"/>
      <c r="G3645" s="18"/>
      <c r="H3645" s="18"/>
      <c r="I3645" s="18"/>
    </row>
    <row r="3646" ht="15">
      <c r="A3646" s="18"/>
      <c r="B3646" s="18"/>
      <c r="C3646" s="18"/>
      <c r="D3646" s="19"/>
      <c r="E3646" s="19"/>
      <c r="F3646" s="17"/>
      <c r="G3646" s="18"/>
      <c r="H3646" s="18"/>
      <c r="I3646" s="18"/>
    </row>
    <row r="3647" ht="15">
      <c r="A3647" s="18"/>
      <c r="B3647" s="18"/>
      <c r="C3647" s="18"/>
      <c r="D3647" s="19"/>
      <c r="E3647" s="19"/>
      <c r="F3647" s="17"/>
      <c r="G3647" s="18"/>
      <c r="H3647" s="18"/>
      <c r="I3647" s="18"/>
    </row>
    <row r="3648" ht="15">
      <c r="A3648" s="18"/>
      <c r="B3648" s="18"/>
      <c r="C3648" s="18"/>
      <c r="D3648" s="19"/>
      <c r="E3648" s="19"/>
      <c r="F3648" s="17"/>
      <c r="G3648" s="18"/>
      <c r="H3648" s="18"/>
      <c r="I3648" s="18"/>
    </row>
    <row r="3649" ht="15">
      <c r="A3649" s="18"/>
      <c r="B3649" s="18"/>
      <c r="C3649" s="18"/>
      <c r="D3649" s="19"/>
      <c r="E3649" s="19"/>
      <c r="F3649" s="17"/>
      <c r="G3649" s="18"/>
      <c r="H3649" s="18"/>
      <c r="I3649" s="18"/>
    </row>
    <row r="3650" ht="15">
      <c r="A3650" s="18"/>
      <c r="B3650" s="18"/>
      <c r="C3650" s="18"/>
      <c r="D3650" s="19"/>
      <c r="E3650" s="19"/>
      <c r="F3650" s="17"/>
      <c r="G3650" s="18"/>
      <c r="H3650" s="18"/>
      <c r="I3650" s="18"/>
    </row>
    <row r="3651" ht="15">
      <c r="A3651" s="18"/>
      <c r="B3651" s="18"/>
      <c r="C3651" s="18"/>
      <c r="D3651" s="19"/>
      <c r="E3651" s="19"/>
      <c r="F3651" s="17"/>
      <c r="G3651" s="18"/>
      <c r="H3651" s="18"/>
      <c r="I3651" s="18"/>
    </row>
    <row r="3652" ht="15">
      <c r="A3652" s="18"/>
      <c r="B3652" s="18"/>
      <c r="C3652" s="18"/>
      <c r="D3652" s="19"/>
      <c r="E3652" s="19"/>
      <c r="F3652" s="17"/>
      <c r="G3652" s="18"/>
      <c r="H3652" s="18"/>
      <c r="I3652" s="18"/>
    </row>
    <row r="3653" ht="15">
      <c r="A3653" s="18"/>
      <c r="B3653" s="18"/>
      <c r="C3653" s="18"/>
      <c r="D3653" s="19"/>
      <c r="E3653" s="19"/>
      <c r="F3653" s="17"/>
      <c r="G3653" s="18"/>
      <c r="H3653" s="18"/>
      <c r="I3653" s="18"/>
    </row>
    <row r="3654" ht="15">
      <c r="A3654" s="18"/>
      <c r="B3654" s="18"/>
      <c r="C3654" s="18"/>
      <c r="D3654" s="19"/>
      <c r="E3654" s="19"/>
      <c r="F3654" s="17"/>
      <c r="G3654" s="18"/>
      <c r="H3654" s="18"/>
      <c r="I3654" s="18"/>
    </row>
    <row r="3655" ht="15">
      <c r="A3655" s="18"/>
      <c r="B3655" s="18"/>
      <c r="C3655" s="18"/>
      <c r="D3655" s="19"/>
      <c r="E3655" s="19"/>
      <c r="F3655" s="17"/>
      <c r="G3655" s="18"/>
      <c r="H3655" s="18"/>
      <c r="I3655" s="18"/>
    </row>
    <row r="3656" ht="15">
      <c r="A3656" s="18"/>
      <c r="B3656" s="18"/>
      <c r="C3656" s="18"/>
      <c r="D3656" s="19"/>
      <c r="E3656" s="19"/>
      <c r="F3656" s="17"/>
      <c r="G3656" s="18"/>
      <c r="H3656" s="18"/>
      <c r="I3656" s="18"/>
    </row>
    <row r="3657" ht="15">
      <c r="A3657" s="18"/>
      <c r="B3657" s="18"/>
      <c r="C3657" s="18"/>
      <c r="D3657" s="19"/>
      <c r="E3657" s="19"/>
      <c r="F3657" s="17"/>
      <c r="G3657" s="18"/>
      <c r="H3657" s="18"/>
      <c r="I3657" s="18"/>
    </row>
    <row r="3658" ht="15">
      <c r="A3658" s="18"/>
      <c r="B3658" s="18"/>
      <c r="C3658" s="18"/>
      <c r="D3658" s="19"/>
      <c r="E3658" s="19"/>
      <c r="F3658" s="17"/>
      <c r="G3658" s="18"/>
      <c r="H3658" s="18"/>
      <c r="I3658" s="18"/>
    </row>
    <row r="3659" ht="15">
      <c r="A3659" s="18"/>
      <c r="B3659" s="18"/>
      <c r="C3659" s="18"/>
      <c r="D3659" s="19"/>
      <c r="E3659" s="19"/>
      <c r="F3659" s="17"/>
      <c r="G3659" s="18"/>
      <c r="H3659" s="18"/>
      <c r="I3659" s="18"/>
    </row>
    <row r="3660" ht="15">
      <c r="A3660" s="18"/>
      <c r="B3660" s="18"/>
      <c r="C3660" s="18"/>
      <c r="D3660" s="19"/>
      <c r="E3660" s="19"/>
      <c r="F3660" s="17"/>
      <c r="G3660" s="18"/>
      <c r="H3660" s="18"/>
      <c r="I3660" s="18"/>
    </row>
    <row r="3661" ht="15">
      <c r="A3661" s="18"/>
      <c r="B3661" s="18"/>
      <c r="C3661" s="18"/>
      <c r="D3661" s="19"/>
      <c r="E3661" s="19"/>
      <c r="F3661" s="17"/>
      <c r="G3661" s="18"/>
      <c r="H3661" s="18"/>
      <c r="I3661" s="18"/>
    </row>
    <row r="3662" ht="15">
      <c r="A3662" s="18"/>
      <c r="B3662" s="18"/>
      <c r="C3662" s="18"/>
      <c r="D3662" s="19"/>
      <c r="E3662" s="19"/>
      <c r="F3662" s="17"/>
      <c r="G3662" s="18"/>
      <c r="H3662" s="18"/>
      <c r="I3662" s="18"/>
    </row>
    <row r="3663" ht="15">
      <c r="A3663" s="18"/>
      <c r="B3663" s="18"/>
      <c r="C3663" s="18"/>
      <c r="D3663" s="19"/>
      <c r="E3663" s="19"/>
      <c r="F3663" s="17"/>
      <c r="G3663" s="18"/>
      <c r="H3663" s="18"/>
      <c r="I3663" s="18"/>
    </row>
    <row r="3664" ht="15">
      <c r="A3664" s="18"/>
      <c r="B3664" s="18"/>
      <c r="C3664" s="18"/>
      <c r="D3664" s="19"/>
      <c r="E3664" s="19"/>
      <c r="F3664" s="17"/>
      <c r="G3664" s="18"/>
      <c r="H3664" s="18"/>
      <c r="I3664" s="18"/>
    </row>
    <row r="3665" ht="15">
      <c r="A3665" s="18"/>
      <c r="B3665" s="18"/>
      <c r="C3665" s="18"/>
      <c r="D3665" s="19"/>
      <c r="E3665" s="19"/>
      <c r="F3665" s="17"/>
      <c r="G3665" s="18"/>
      <c r="H3665" s="18"/>
      <c r="I3665" s="18"/>
    </row>
    <row r="3666" ht="15">
      <c r="A3666" s="18"/>
      <c r="B3666" s="18"/>
      <c r="C3666" s="18"/>
      <c r="D3666" s="19"/>
      <c r="E3666" s="19"/>
      <c r="F3666" s="17"/>
      <c r="G3666" s="18"/>
      <c r="H3666" s="18"/>
      <c r="I3666" s="18"/>
    </row>
    <row r="3667" ht="15">
      <c r="A3667" s="18"/>
      <c r="B3667" s="18"/>
      <c r="C3667" s="18"/>
      <c r="D3667" s="19"/>
      <c r="E3667" s="19"/>
      <c r="F3667" s="17"/>
      <c r="G3667" s="18"/>
      <c r="H3667" s="18"/>
      <c r="I3667" s="18"/>
    </row>
    <row r="3668" ht="15">
      <c r="A3668" s="18"/>
      <c r="B3668" s="18"/>
      <c r="C3668" s="18"/>
      <c r="D3668" s="19"/>
      <c r="E3668" s="19"/>
      <c r="F3668" s="17"/>
      <c r="G3668" s="18"/>
      <c r="H3668" s="18"/>
      <c r="I3668" s="18"/>
    </row>
    <row r="3669" ht="15">
      <c r="A3669" s="18"/>
      <c r="B3669" s="18"/>
      <c r="C3669" s="18"/>
      <c r="D3669" s="19"/>
      <c r="E3669" s="19"/>
      <c r="F3669" s="17"/>
      <c r="G3669" s="18"/>
      <c r="H3669" s="18"/>
      <c r="I3669" s="18"/>
    </row>
    <row r="3670" ht="15">
      <c r="A3670" s="18"/>
      <c r="B3670" s="18"/>
      <c r="C3670" s="18"/>
      <c r="D3670" s="19"/>
      <c r="E3670" s="19"/>
      <c r="F3670" s="17"/>
      <c r="G3670" s="18"/>
      <c r="H3670" s="18"/>
      <c r="I3670" s="18"/>
    </row>
    <row r="3671" ht="15">
      <c r="A3671" s="18"/>
      <c r="B3671" s="18"/>
      <c r="C3671" s="18"/>
      <c r="D3671" s="19"/>
      <c r="E3671" s="19"/>
      <c r="F3671" s="17"/>
      <c r="G3671" s="18"/>
      <c r="H3671" s="18"/>
      <c r="I3671" s="18"/>
    </row>
    <row r="3672" ht="15">
      <c r="A3672" s="18"/>
      <c r="B3672" s="18"/>
      <c r="C3672" s="18"/>
      <c r="D3672" s="19"/>
      <c r="E3672" s="19"/>
      <c r="F3672" s="17"/>
      <c r="G3672" s="18"/>
      <c r="H3672" s="18"/>
      <c r="I3672" s="18"/>
    </row>
    <row r="3673" ht="15">
      <c r="A3673" s="18"/>
      <c r="B3673" s="18"/>
      <c r="C3673" s="18"/>
      <c r="D3673" s="19"/>
      <c r="E3673" s="19"/>
      <c r="F3673" s="17"/>
      <c r="G3673" s="18"/>
      <c r="H3673" s="18"/>
      <c r="I3673" s="18"/>
    </row>
    <row r="3674" ht="15">
      <c r="A3674" s="18"/>
      <c r="B3674" s="18"/>
      <c r="C3674" s="18"/>
      <c r="D3674" s="19"/>
      <c r="E3674" s="19"/>
      <c r="F3674" s="17"/>
      <c r="G3674" s="18"/>
      <c r="H3674" s="18"/>
      <c r="I3674" s="18"/>
    </row>
    <row r="3675" ht="15">
      <c r="A3675" s="18"/>
      <c r="B3675" s="18"/>
      <c r="C3675" s="18"/>
      <c r="D3675" s="19"/>
      <c r="E3675" s="19"/>
      <c r="F3675" s="17"/>
      <c r="G3675" s="18"/>
      <c r="H3675" s="18"/>
      <c r="I3675" s="18"/>
    </row>
    <row r="3676" ht="15">
      <c r="A3676" s="18"/>
      <c r="B3676" s="18"/>
      <c r="C3676" s="18"/>
      <c r="D3676" s="19"/>
      <c r="E3676" s="19"/>
      <c r="F3676" s="17"/>
      <c r="G3676" s="18"/>
      <c r="H3676" s="18"/>
      <c r="I3676" s="18"/>
    </row>
    <row r="3677" ht="15">
      <c r="A3677" s="18"/>
      <c r="B3677" s="18"/>
      <c r="C3677" s="18"/>
      <c r="D3677" s="19"/>
      <c r="E3677" s="19"/>
      <c r="F3677" s="17"/>
      <c r="G3677" s="18"/>
      <c r="H3677" s="18"/>
      <c r="I3677" s="18"/>
    </row>
    <row r="3678" ht="15">
      <c r="A3678" s="18"/>
      <c r="B3678" s="18"/>
      <c r="C3678" s="18"/>
      <c r="D3678" s="19"/>
      <c r="E3678" s="19"/>
      <c r="F3678" s="17"/>
      <c r="G3678" s="18"/>
      <c r="H3678" s="18"/>
      <c r="I3678" s="18"/>
    </row>
    <row r="3679" ht="15">
      <c r="A3679" s="18"/>
      <c r="B3679" s="18"/>
      <c r="C3679" s="18"/>
      <c r="D3679" s="19"/>
      <c r="E3679" s="19"/>
      <c r="F3679" s="17"/>
      <c r="G3679" s="18"/>
      <c r="H3679" s="18"/>
      <c r="I3679" s="18"/>
    </row>
    <row r="3680" ht="15">
      <c r="A3680" s="18"/>
      <c r="B3680" s="18"/>
      <c r="C3680" s="18"/>
      <c r="D3680" s="19"/>
      <c r="E3680" s="19"/>
      <c r="F3680" s="17"/>
      <c r="G3680" s="18"/>
      <c r="H3680" s="18"/>
      <c r="I3680" s="18"/>
    </row>
    <row r="3681" ht="15">
      <c r="A3681" s="18"/>
      <c r="B3681" s="18"/>
      <c r="C3681" s="18"/>
      <c r="D3681" s="19"/>
      <c r="E3681" s="19"/>
      <c r="F3681" s="17"/>
      <c r="G3681" s="18"/>
      <c r="H3681" s="18"/>
      <c r="I3681" s="18"/>
    </row>
    <row r="3682" ht="15">
      <c r="A3682" s="18"/>
      <c r="B3682" s="18"/>
      <c r="C3682" s="18"/>
      <c r="D3682" s="19"/>
      <c r="E3682" s="19"/>
      <c r="F3682" s="17"/>
      <c r="G3682" s="18"/>
      <c r="H3682" s="18"/>
      <c r="I3682" s="18"/>
    </row>
    <row r="3683" ht="15">
      <c r="A3683" s="18"/>
      <c r="B3683" s="18"/>
      <c r="C3683" s="18"/>
      <c r="D3683" s="19"/>
      <c r="E3683" s="19"/>
      <c r="F3683" s="17"/>
      <c r="G3683" s="18"/>
      <c r="H3683" s="18"/>
      <c r="I3683" s="18"/>
    </row>
    <row r="3684" ht="15">
      <c r="A3684" s="18"/>
      <c r="B3684" s="18"/>
      <c r="C3684" s="18"/>
      <c r="D3684" s="19"/>
      <c r="E3684" s="19"/>
      <c r="F3684" s="17"/>
      <c r="G3684" s="18"/>
      <c r="H3684" s="18"/>
      <c r="I3684" s="18"/>
    </row>
    <row r="3685" ht="15">
      <c r="A3685" s="18"/>
      <c r="B3685" s="18"/>
      <c r="C3685" s="18"/>
      <c r="D3685" s="19"/>
      <c r="E3685" s="19"/>
      <c r="F3685" s="17"/>
      <c r="G3685" s="18"/>
      <c r="H3685" s="18"/>
      <c r="I3685" s="18"/>
    </row>
    <row r="3686" ht="15">
      <c r="A3686" s="18"/>
      <c r="B3686" s="18"/>
      <c r="C3686" s="18"/>
      <c r="D3686" s="19"/>
      <c r="E3686" s="19"/>
      <c r="F3686" s="17"/>
      <c r="G3686" s="18"/>
      <c r="H3686" s="18"/>
      <c r="I3686" s="18"/>
    </row>
    <row r="3687" ht="15">
      <c r="A3687" s="18"/>
      <c r="B3687" s="18"/>
      <c r="C3687" s="18"/>
      <c r="D3687" s="19"/>
      <c r="E3687" s="19"/>
      <c r="F3687" s="17"/>
      <c r="G3687" s="18"/>
      <c r="H3687" s="18"/>
      <c r="I3687" s="18"/>
    </row>
    <row r="3688" ht="15">
      <c r="A3688" s="18"/>
      <c r="B3688" s="18"/>
      <c r="C3688" s="18"/>
      <c r="D3688" s="19"/>
      <c r="E3688" s="19"/>
      <c r="F3688" s="17"/>
      <c r="G3688" s="18"/>
      <c r="H3688" s="18"/>
      <c r="I3688" s="18"/>
    </row>
    <row r="3689" ht="15">
      <c r="A3689" s="18"/>
      <c r="B3689" s="18"/>
      <c r="C3689" s="18"/>
      <c r="D3689" s="19"/>
      <c r="E3689" s="19"/>
      <c r="F3689" s="17"/>
      <c r="G3689" s="18"/>
      <c r="H3689" s="18"/>
      <c r="I3689" s="18"/>
    </row>
    <row r="3690" ht="15">
      <c r="A3690" s="18"/>
      <c r="B3690" s="18"/>
      <c r="C3690" s="18"/>
      <c r="D3690" s="19"/>
      <c r="E3690" s="19"/>
      <c r="F3690" s="17"/>
      <c r="G3690" s="18"/>
      <c r="H3690" s="18"/>
      <c r="I3690" s="18"/>
    </row>
    <row r="3691" ht="15">
      <c r="A3691" s="18"/>
      <c r="B3691" s="18"/>
      <c r="C3691" s="18"/>
      <c r="D3691" s="19"/>
      <c r="E3691" s="19"/>
      <c r="F3691" s="17"/>
      <c r="G3691" s="18"/>
      <c r="H3691" s="18"/>
      <c r="I3691" s="18"/>
    </row>
    <row r="3692" ht="15">
      <c r="A3692" s="18"/>
      <c r="B3692" s="18"/>
      <c r="C3692" s="18"/>
      <c r="D3692" s="19"/>
      <c r="E3692" s="19"/>
      <c r="F3692" s="17"/>
      <c r="G3692" s="18"/>
      <c r="H3692" s="18"/>
      <c r="I3692" s="18"/>
    </row>
    <row r="3693" ht="15">
      <c r="A3693" s="18"/>
      <c r="B3693" s="18"/>
      <c r="C3693" s="18"/>
      <c r="D3693" s="19"/>
      <c r="E3693" s="19"/>
      <c r="F3693" s="17"/>
      <c r="G3693" s="18"/>
      <c r="H3693" s="18"/>
      <c r="I3693" s="18"/>
    </row>
    <row r="3694" ht="15">
      <c r="A3694" s="18"/>
      <c r="B3694" s="18"/>
      <c r="C3694" s="18"/>
      <c r="D3694" s="19"/>
      <c r="E3694" s="19"/>
      <c r="F3694" s="17"/>
      <c r="G3694" s="18"/>
      <c r="H3694" s="18"/>
      <c r="I3694" s="18"/>
    </row>
    <row r="3695" ht="15">
      <c r="A3695" s="18"/>
      <c r="B3695" s="18"/>
      <c r="C3695" s="18"/>
      <c r="D3695" s="19"/>
      <c r="E3695" s="19"/>
      <c r="F3695" s="17"/>
      <c r="G3695" s="18"/>
      <c r="H3695" s="18"/>
      <c r="I3695" s="18"/>
    </row>
    <row r="3696" ht="15">
      <c r="A3696" s="18"/>
      <c r="B3696" s="18"/>
      <c r="C3696" s="18"/>
      <c r="D3696" s="19"/>
      <c r="E3696" s="19"/>
      <c r="F3696" s="17"/>
      <c r="G3696" s="18"/>
      <c r="H3696" s="18"/>
      <c r="I3696" s="18"/>
    </row>
    <row r="3697" ht="15">
      <c r="A3697" s="18"/>
      <c r="B3697" s="18"/>
      <c r="C3697" s="18"/>
      <c r="D3697" s="19"/>
      <c r="E3697" s="19"/>
      <c r="F3697" s="17"/>
      <c r="G3697" s="18"/>
      <c r="H3697" s="18"/>
      <c r="I3697" s="18"/>
    </row>
    <row r="3698" ht="15">
      <c r="A3698" s="18"/>
      <c r="B3698" s="18"/>
      <c r="C3698" s="18"/>
      <c r="D3698" s="19"/>
      <c r="E3698" s="19"/>
      <c r="F3698" s="17"/>
      <c r="G3698" s="18"/>
      <c r="H3698" s="18"/>
      <c r="I3698" s="18"/>
    </row>
    <row r="3699" ht="15">
      <c r="A3699" s="18"/>
      <c r="B3699" s="18"/>
      <c r="C3699" s="18"/>
      <c r="D3699" s="19"/>
      <c r="E3699" s="19"/>
      <c r="F3699" s="17"/>
      <c r="G3699" s="18"/>
      <c r="H3699" s="18"/>
      <c r="I3699" s="18"/>
    </row>
    <row r="3700" ht="15">
      <c r="A3700" s="18"/>
      <c r="B3700" s="18"/>
      <c r="C3700" s="18"/>
      <c r="D3700" s="19"/>
      <c r="E3700" s="19"/>
      <c r="F3700" s="17"/>
      <c r="G3700" s="18"/>
      <c r="H3700" s="18"/>
      <c r="I3700" s="18"/>
    </row>
    <row r="3701" ht="15">
      <c r="A3701" s="18"/>
      <c r="B3701" s="18"/>
      <c r="C3701" s="18"/>
      <c r="D3701" s="19"/>
      <c r="E3701" s="19"/>
      <c r="F3701" s="17"/>
      <c r="G3701" s="18"/>
      <c r="H3701" s="18"/>
      <c r="I3701" s="18"/>
    </row>
    <row r="3702" ht="15">
      <c r="A3702" s="18"/>
      <c r="B3702" s="18"/>
      <c r="C3702" s="18"/>
      <c r="D3702" s="19"/>
      <c r="E3702" s="19"/>
      <c r="F3702" s="17"/>
      <c r="G3702" s="18"/>
      <c r="H3702" s="18"/>
      <c r="I3702" s="18"/>
    </row>
    <row r="3703" ht="15">
      <c r="A3703" s="18"/>
      <c r="B3703" s="18"/>
      <c r="C3703" s="18"/>
      <c r="D3703" s="19"/>
      <c r="E3703" s="19"/>
      <c r="F3703" s="17"/>
      <c r="G3703" s="18"/>
      <c r="H3703" s="18"/>
      <c r="I3703" s="18"/>
    </row>
    <row r="3704" ht="15">
      <c r="A3704" s="18"/>
      <c r="B3704" s="18"/>
      <c r="C3704" s="18"/>
      <c r="D3704" s="19"/>
      <c r="E3704" s="19"/>
      <c r="F3704" s="17"/>
      <c r="G3704" s="18"/>
      <c r="H3704" s="18"/>
      <c r="I3704" s="18"/>
    </row>
    <row r="3705" ht="15">
      <c r="A3705" s="18"/>
      <c r="B3705" s="18"/>
      <c r="C3705" s="18"/>
      <c r="D3705" s="19"/>
      <c r="E3705" s="19"/>
      <c r="F3705" s="17"/>
      <c r="G3705" s="18"/>
      <c r="H3705" s="18"/>
      <c r="I3705" s="18"/>
    </row>
    <row r="3706" ht="15">
      <c r="A3706" s="18"/>
      <c r="B3706" s="18"/>
      <c r="C3706" s="18"/>
      <c r="D3706" s="19"/>
      <c r="E3706" s="19"/>
      <c r="F3706" s="17"/>
      <c r="G3706" s="18"/>
      <c r="H3706" s="18"/>
      <c r="I3706" s="18"/>
    </row>
    <row r="3707" ht="15">
      <c r="A3707" s="18"/>
      <c r="B3707" s="18"/>
      <c r="C3707" s="18"/>
      <c r="D3707" s="19"/>
      <c r="E3707" s="19"/>
      <c r="F3707" s="17"/>
      <c r="G3707" s="18"/>
      <c r="H3707" s="18"/>
      <c r="I3707" s="18"/>
    </row>
    <row r="3708" ht="15">
      <c r="A3708" s="18"/>
      <c r="B3708" s="18"/>
      <c r="C3708" s="18"/>
      <c r="D3708" s="19"/>
      <c r="E3708" s="19"/>
      <c r="F3708" s="17"/>
      <c r="G3708" s="18"/>
      <c r="H3708" s="18"/>
      <c r="I3708" s="18"/>
    </row>
    <row r="3709" ht="15">
      <c r="A3709" s="18"/>
      <c r="B3709" s="18"/>
      <c r="C3709" s="18"/>
      <c r="D3709" s="19"/>
      <c r="E3709" s="19"/>
      <c r="F3709" s="17"/>
      <c r="G3709" s="18"/>
      <c r="H3709" s="18"/>
      <c r="I3709" s="18"/>
    </row>
    <row r="3710" ht="15">
      <c r="A3710" s="18"/>
      <c r="B3710" s="18"/>
      <c r="C3710" s="18"/>
      <c r="D3710" s="19"/>
      <c r="E3710" s="19"/>
      <c r="F3710" s="17"/>
      <c r="G3710" s="18"/>
      <c r="H3710" s="18"/>
      <c r="I3710" s="18"/>
    </row>
    <row r="3711" ht="15">
      <c r="A3711" s="18"/>
      <c r="B3711" s="18"/>
      <c r="C3711" s="18"/>
      <c r="D3711" s="19"/>
      <c r="E3711" s="19"/>
      <c r="F3711" s="17"/>
      <c r="G3711" s="18"/>
      <c r="H3711" s="18"/>
      <c r="I3711" s="18"/>
    </row>
    <row r="3712" ht="15">
      <c r="A3712" s="18"/>
      <c r="B3712" s="18"/>
      <c r="C3712" s="18"/>
      <c r="D3712" s="19"/>
      <c r="E3712" s="19"/>
      <c r="F3712" s="17"/>
      <c r="G3712" s="18"/>
      <c r="H3712" s="18"/>
      <c r="I3712" s="18"/>
    </row>
    <row r="3713" ht="15">
      <c r="A3713" s="18"/>
      <c r="B3713" s="18"/>
      <c r="C3713" s="18"/>
      <c r="D3713" s="19"/>
      <c r="E3713" s="19"/>
      <c r="F3713" s="17"/>
      <c r="G3713" s="18"/>
      <c r="H3713" s="18"/>
      <c r="I3713" s="18"/>
    </row>
    <row r="3714" ht="15">
      <c r="A3714" s="18"/>
      <c r="B3714" s="18"/>
      <c r="C3714" s="18"/>
      <c r="D3714" s="19"/>
      <c r="E3714" s="19"/>
      <c r="F3714" s="17"/>
      <c r="G3714" s="18"/>
      <c r="H3714" s="18"/>
      <c r="I3714" s="18"/>
    </row>
    <row r="3715" ht="15">
      <c r="A3715" s="18"/>
      <c r="B3715" s="18"/>
      <c r="C3715" s="18"/>
      <c r="D3715" s="19"/>
      <c r="E3715" s="19"/>
      <c r="F3715" s="17"/>
      <c r="G3715" s="18"/>
      <c r="H3715" s="18"/>
      <c r="I3715" s="18"/>
    </row>
    <row r="3716" ht="15">
      <c r="A3716" s="18"/>
      <c r="B3716" s="18"/>
      <c r="C3716" s="18"/>
      <c r="D3716" s="19"/>
      <c r="E3716" s="19"/>
      <c r="F3716" s="17"/>
      <c r="G3716" s="18"/>
      <c r="H3716" s="18"/>
      <c r="I3716" s="18"/>
    </row>
    <row r="3717" ht="15">
      <c r="A3717" s="18"/>
      <c r="B3717" s="18"/>
      <c r="C3717" s="18"/>
      <c r="D3717" s="19"/>
      <c r="E3717" s="19"/>
      <c r="F3717" s="17"/>
      <c r="G3717" s="18"/>
      <c r="H3717" s="18"/>
      <c r="I3717" s="18"/>
    </row>
    <row r="3718" ht="15">
      <c r="A3718" s="18"/>
      <c r="B3718" s="18"/>
      <c r="C3718" s="18"/>
      <c r="D3718" s="19"/>
      <c r="E3718" s="19"/>
      <c r="F3718" s="17"/>
      <c r="G3718" s="18"/>
      <c r="H3718" s="18"/>
      <c r="I3718" s="18"/>
    </row>
    <row r="3719" ht="15">
      <c r="A3719" s="18"/>
      <c r="B3719" s="18"/>
      <c r="C3719" s="18"/>
      <c r="D3719" s="19"/>
      <c r="E3719" s="19"/>
      <c r="F3719" s="17"/>
      <c r="G3719" s="18"/>
      <c r="H3719" s="18"/>
      <c r="I3719" s="18"/>
    </row>
    <row r="3720" ht="15">
      <c r="A3720" s="18"/>
      <c r="B3720" s="18"/>
      <c r="C3720" s="18"/>
      <c r="D3720" s="19"/>
      <c r="E3720" s="19"/>
      <c r="F3720" s="17"/>
      <c r="G3720" s="20"/>
      <c r="H3720" s="18"/>
      <c r="I3720" s="18"/>
    </row>
    <row r="3721" ht="15">
      <c r="A3721" s="18"/>
      <c r="B3721" s="18"/>
      <c r="C3721" s="18"/>
      <c r="D3721" s="19"/>
      <c r="E3721" s="19"/>
      <c r="F3721" s="17"/>
      <c r="G3721" s="20"/>
      <c r="H3721" s="18"/>
      <c r="I3721" s="18"/>
    </row>
    <row r="3722" ht="15">
      <c r="A3722" s="18"/>
      <c r="B3722" s="18"/>
      <c r="C3722" s="18"/>
      <c r="D3722" s="19"/>
      <c r="E3722" s="19"/>
      <c r="F3722" s="17"/>
      <c r="G3722" s="20"/>
      <c r="H3722" s="18"/>
      <c r="I3722" s="18"/>
    </row>
    <row r="3723" ht="15">
      <c r="A3723" s="18"/>
      <c r="B3723" s="18"/>
      <c r="C3723" s="18"/>
      <c r="D3723" s="19"/>
      <c r="E3723" s="19"/>
      <c r="F3723" s="17"/>
      <c r="G3723" s="20"/>
      <c r="H3723" s="18"/>
      <c r="I3723" s="18"/>
    </row>
    <row r="3724" ht="15">
      <c r="A3724" s="20"/>
      <c r="B3724" s="20"/>
      <c r="C3724" s="20"/>
      <c r="D3724" s="19"/>
      <c r="E3724" s="19"/>
      <c r="F3724" s="17"/>
      <c r="G3724" s="20"/>
      <c r="H3724" s="18"/>
      <c r="I3724" s="18"/>
    </row>
    <row r="3725" ht="15">
      <c r="A3725" s="20"/>
      <c r="B3725" s="20"/>
      <c r="C3725" s="20"/>
      <c r="D3725" s="19"/>
      <c r="E3725" s="19"/>
      <c r="F3725" s="17"/>
      <c r="G3725" s="20"/>
      <c r="H3725" s="18"/>
      <c r="I3725" s="18"/>
    </row>
    <row r="3726" ht="15">
      <c r="A3726" s="20"/>
      <c r="B3726" s="20"/>
      <c r="C3726" s="20"/>
      <c r="D3726" s="19"/>
      <c r="E3726" s="19"/>
      <c r="F3726" s="17"/>
      <c r="G3726" s="20"/>
      <c r="H3726" s="18"/>
      <c r="I3726" s="18"/>
    </row>
    <row r="3727" ht="15">
      <c r="A3727" s="20"/>
      <c r="B3727" s="20"/>
      <c r="C3727" s="20"/>
      <c r="D3727" s="19"/>
      <c r="E3727" s="19"/>
      <c r="F3727" s="17"/>
      <c r="G3727" s="20"/>
      <c r="H3727" s="18"/>
      <c r="I3727" s="18"/>
    </row>
    <row r="3728" ht="15">
      <c r="A3728" s="20"/>
      <c r="B3728" s="20"/>
      <c r="C3728" s="20"/>
      <c r="D3728" s="19"/>
      <c r="E3728" s="19"/>
      <c r="F3728" s="17"/>
      <c r="G3728" s="20"/>
      <c r="H3728" s="18"/>
      <c r="I3728" s="18"/>
    </row>
    <row r="3729" ht="15">
      <c r="A3729" s="20"/>
      <c r="B3729" s="20"/>
      <c r="C3729" s="20"/>
      <c r="D3729" s="19"/>
      <c r="E3729" s="19"/>
      <c r="F3729" s="17"/>
      <c r="G3729" s="20"/>
      <c r="H3729" s="18"/>
      <c r="I3729" s="18"/>
    </row>
    <row r="3730" ht="15">
      <c r="A3730" s="20"/>
      <c r="B3730" s="20"/>
      <c r="C3730" s="20"/>
      <c r="D3730" s="19"/>
      <c r="E3730" s="19"/>
      <c r="F3730" s="17"/>
      <c r="G3730" s="20"/>
      <c r="H3730" s="18"/>
      <c r="I3730" s="18"/>
    </row>
    <row r="3731" ht="15">
      <c r="A3731" s="20"/>
      <c r="B3731" s="20"/>
      <c r="C3731" s="20"/>
      <c r="D3731" s="19"/>
      <c r="E3731" s="19"/>
      <c r="F3731" s="17"/>
      <c r="G3731" s="20"/>
      <c r="H3731" s="18"/>
      <c r="I3731" s="18"/>
    </row>
    <row r="3732" ht="15">
      <c r="A3732" s="20"/>
      <c r="B3732" s="20"/>
      <c r="C3732" s="20"/>
      <c r="D3732" s="19"/>
      <c r="E3732" s="19"/>
      <c r="F3732" s="17"/>
      <c r="G3732" s="20"/>
      <c r="H3732" s="18"/>
      <c r="I3732" s="18"/>
    </row>
    <row r="3733" ht="15">
      <c r="A3733" s="20"/>
      <c r="B3733" s="20"/>
      <c r="C3733" s="20"/>
      <c r="D3733" s="19"/>
      <c r="E3733" s="19"/>
      <c r="F3733" s="17"/>
      <c r="G3733" s="20"/>
      <c r="H3733" s="18"/>
      <c r="I3733" s="18"/>
    </row>
    <row r="3734" ht="15">
      <c r="A3734" s="20"/>
      <c r="B3734" s="20"/>
      <c r="C3734" s="20"/>
      <c r="D3734" s="19"/>
      <c r="E3734" s="19"/>
      <c r="F3734" s="17"/>
      <c r="G3734" s="20"/>
      <c r="H3734" s="18"/>
      <c r="I3734" s="18"/>
    </row>
    <row r="3735" ht="15">
      <c r="A3735" s="20"/>
      <c r="B3735" s="20"/>
      <c r="C3735" s="20"/>
      <c r="D3735" s="19"/>
      <c r="E3735" s="19"/>
      <c r="F3735" s="17"/>
      <c r="G3735" s="20"/>
      <c r="H3735" s="18"/>
      <c r="I3735" s="18"/>
    </row>
    <row r="3736" ht="15">
      <c r="A3736" s="20"/>
      <c r="B3736" s="20"/>
      <c r="C3736" s="20"/>
      <c r="D3736" s="19"/>
      <c r="E3736" s="19"/>
      <c r="F3736" s="17"/>
      <c r="G3736" s="20"/>
      <c r="H3736" s="18"/>
      <c r="I3736" s="18"/>
    </row>
    <row r="3737" ht="15">
      <c r="A3737" s="20"/>
      <c r="B3737" s="20"/>
      <c r="C3737" s="20"/>
      <c r="D3737" s="19"/>
      <c r="E3737" s="19"/>
      <c r="F3737" s="17"/>
      <c r="G3737" s="20"/>
      <c r="H3737" s="18"/>
      <c r="I3737" s="18"/>
    </row>
    <row r="3738" ht="15">
      <c r="A3738" s="20"/>
      <c r="B3738" s="20"/>
      <c r="C3738" s="20"/>
      <c r="D3738" s="19"/>
      <c r="E3738" s="19"/>
      <c r="F3738" s="17"/>
      <c r="G3738" s="20"/>
      <c r="H3738" s="18"/>
      <c r="I3738" s="18"/>
    </row>
    <row r="3739" ht="15">
      <c r="A3739" s="20"/>
      <c r="B3739" s="20"/>
      <c r="C3739" s="20"/>
      <c r="D3739" s="19"/>
      <c r="E3739" s="19"/>
      <c r="F3739" s="17"/>
      <c r="G3739" s="20"/>
      <c r="H3739" s="18"/>
      <c r="I3739" s="18"/>
    </row>
    <row r="3740" ht="15">
      <c r="A3740" s="20"/>
      <c r="B3740" s="20"/>
      <c r="C3740" s="20"/>
      <c r="D3740" s="19"/>
      <c r="E3740" s="19"/>
      <c r="F3740" s="17"/>
      <c r="G3740" s="20"/>
      <c r="H3740" s="18"/>
      <c r="I3740" s="18"/>
    </row>
    <row r="3741" ht="15">
      <c r="A3741" s="20"/>
      <c r="B3741" s="20"/>
      <c r="C3741" s="20"/>
      <c r="D3741" s="19"/>
      <c r="E3741" s="19"/>
      <c r="F3741" s="17"/>
      <c r="G3741" s="20"/>
      <c r="H3741" s="18"/>
      <c r="I3741" s="18"/>
    </row>
    <row r="3742" ht="15">
      <c r="A3742" s="20"/>
      <c r="B3742" s="20"/>
      <c r="C3742" s="20"/>
      <c r="D3742" s="19"/>
      <c r="E3742" s="19"/>
      <c r="F3742" s="17"/>
      <c r="G3742" s="20"/>
      <c r="H3742" s="18"/>
      <c r="I3742" s="18"/>
    </row>
    <row r="3743" ht="15">
      <c r="A3743" s="20"/>
      <c r="B3743" s="20"/>
      <c r="C3743" s="20"/>
      <c r="D3743" s="19"/>
      <c r="E3743" s="19"/>
      <c r="F3743" s="17"/>
      <c r="G3743" s="20"/>
      <c r="H3743" s="18"/>
      <c r="I3743" s="18"/>
    </row>
    <row r="3744" ht="15">
      <c r="A3744" s="20"/>
      <c r="B3744" s="20"/>
      <c r="C3744" s="20"/>
      <c r="D3744" s="19"/>
      <c r="E3744" s="19"/>
      <c r="F3744" s="17"/>
      <c r="G3744" s="20"/>
      <c r="H3744" s="18"/>
      <c r="I3744" s="18"/>
    </row>
    <row r="3745" ht="15">
      <c r="A3745" s="20"/>
      <c r="B3745" s="20"/>
      <c r="C3745" s="20"/>
      <c r="D3745" s="19"/>
      <c r="E3745" s="19"/>
      <c r="F3745" s="17"/>
      <c r="G3745" s="20"/>
      <c r="H3745" s="18"/>
      <c r="I3745" s="18"/>
    </row>
    <row r="3746" ht="15">
      <c r="A3746" s="20"/>
      <c r="B3746" s="20"/>
      <c r="C3746" s="20"/>
      <c r="D3746" s="19"/>
      <c r="E3746" s="19"/>
      <c r="F3746" s="17"/>
      <c r="G3746" s="20"/>
      <c r="H3746" s="18"/>
      <c r="I3746" s="18"/>
    </row>
    <row r="3747" ht="15">
      <c r="A3747" s="20"/>
      <c r="B3747" s="20"/>
      <c r="C3747" s="20"/>
      <c r="D3747" s="19"/>
      <c r="E3747" s="19"/>
      <c r="F3747" s="17"/>
      <c r="G3747" s="20"/>
      <c r="H3747" s="18"/>
      <c r="I3747" s="18"/>
    </row>
    <row r="3748" ht="15">
      <c r="A3748" s="20"/>
      <c r="B3748" s="20"/>
      <c r="C3748" s="20"/>
      <c r="D3748" s="19"/>
      <c r="E3748" s="19"/>
      <c r="F3748" s="17"/>
      <c r="G3748" s="20"/>
      <c r="H3748" s="18"/>
      <c r="I3748" s="18"/>
    </row>
    <row r="3749" ht="15">
      <c r="A3749" s="20"/>
      <c r="B3749" s="20"/>
      <c r="C3749" s="20"/>
      <c r="D3749" s="19"/>
      <c r="E3749" s="19"/>
      <c r="F3749" s="17"/>
      <c r="G3749" s="20"/>
      <c r="H3749" s="18"/>
      <c r="I3749" s="18"/>
    </row>
    <row r="3750" ht="15">
      <c r="A3750" s="20"/>
      <c r="B3750" s="20"/>
      <c r="C3750" s="20"/>
      <c r="D3750" s="19"/>
      <c r="E3750" s="19"/>
      <c r="F3750" s="17"/>
      <c r="G3750" s="20"/>
      <c r="H3750" s="18"/>
      <c r="I3750" s="18"/>
    </row>
    <row r="3751" ht="15">
      <c r="A3751" s="20"/>
      <c r="B3751" s="20"/>
      <c r="C3751" s="20"/>
      <c r="D3751" s="19"/>
      <c r="E3751" s="19"/>
      <c r="F3751" s="17"/>
      <c r="G3751" s="20"/>
      <c r="H3751" s="18"/>
      <c r="I3751" s="18"/>
    </row>
    <row r="3752" ht="15">
      <c r="A3752" s="20"/>
      <c r="B3752" s="20"/>
      <c r="C3752" s="20"/>
      <c r="D3752" s="19"/>
      <c r="E3752" s="19"/>
      <c r="F3752" s="17"/>
      <c r="G3752" s="20"/>
      <c r="H3752" s="18"/>
      <c r="I3752" s="18"/>
    </row>
    <row r="3753" ht="15">
      <c r="A3753" s="20"/>
      <c r="B3753" s="20"/>
      <c r="C3753" s="20"/>
      <c r="D3753" s="19"/>
      <c r="E3753" s="19"/>
      <c r="F3753" s="17"/>
      <c r="G3753" s="20"/>
      <c r="H3753" s="18"/>
      <c r="I3753" s="18"/>
    </row>
    <row r="3754" ht="15">
      <c r="A3754" s="20"/>
      <c r="B3754" s="20"/>
      <c r="C3754" s="20"/>
      <c r="D3754" s="19"/>
      <c r="E3754" s="19"/>
      <c r="F3754" s="17"/>
      <c r="G3754" s="20"/>
      <c r="H3754" s="18"/>
      <c r="I3754" s="18"/>
    </row>
    <row r="3755" ht="15">
      <c r="A3755" s="20"/>
      <c r="B3755" s="20"/>
      <c r="C3755" s="20"/>
      <c r="D3755" s="19"/>
      <c r="E3755" s="19"/>
      <c r="F3755" s="17"/>
      <c r="G3755" s="20"/>
      <c r="H3755" s="18"/>
      <c r="I3755" s="18"/>
    </row>
    <row r="3756" ht="15">
      <c r="A3756" s="20"/>
      <c r="B3756" s="20"/>
      <c r="C3756" s="20"/>
      <c r="D3756" s="19"/>
      <c r="E3756" s="19"/>
      <c r="F3756" s="17"/>
      <c r="G3756" s="20"/>
      <c r="H3756" s="18"/>
      <c r="I3756" s="18"/>
    </row>
    <row r="3757" ht="15">
      <c r="A3757" s="20"/>
      <c r="B3757" s="20"/>
      <c r="C3757" s="20"/>
      <c r="D3757" s="19"/>
      <c r="E3757" s="19"/>
      <c r="F3757" s="17"/>
      <c r="G3757" s="20"/>
      <c r="H3757" s="18"/>
      <c r="I3757" s="18"/>
    </row>
    <row r="3758" ht="15">
      <c r="A3758" s="20"/>
      <c r="B3758" s="20"/>
      <c r="C3758" s="20"/>
      <c r="D3758" s="19"/>
      <c r="E3758" s="19"/>
      <c r="F3758" s="17"/>
      <c r="G3758" s="20"/>
      <c r="H3758" s="18"/>
      <c r="I3758" s="18"/>
    </row>
    <row r="3759" ht="15">
      <c r="A3759" s="20"/>
      <c r="B3759" s="20"/>
      <c r="C3759" s="20"/>
      <c r="D3759" s="19"/>
      <c r="E3759" s="19"/>
      <c r="F3759" s="17"/>
      <c r="G3759" s="20"/>
      <c r="H3759" s="18"/>
      <c r="I3759" s="18"/>
    </row>
    <row r="3760" ht="15">
      <c r="A3760" s="20"/>
      <c r="B3760" s="20"/>
      <c r="C3760" s="20"/>
      <c r="D3760" s="19"/>
      <c r="E3760" s="19"/>
      <c r="F3760" s="17"/>
      <c r="G3760" s="20"/>
      <c r="H3760" s="18"/>
      <c r="I3760" s="18"/>
    </row>
    <row r="3761" ht="15">
      <c r="A3761" s="20"/>
      <c r="B3761" s="20"/>
      <c r="C3761" s="20"/>
      <c r="D3761" s="19"/>
      <c r="E3761" s="19"/>
      <c r="F3761" s="17"/>
      <c r="G3761" s="20"/>
      <c r="H3761" s="18"/>
      <c r="I3761" s="18"/>
    </row>
    <row r="3762" ht="15">
      <c r="A3762" s="20"/>
      <c r="B3762" s="20"/>
      <c r="C3762" s="20"/>
      <c r="D3762" s="19"/>
      <c r="E3762" s="19"/>
      <c r="F3762" s="17"/>
      <c r="G3762" s="20"/>
      <c r="H3762" s="18"/>
      <c r="I3762" s="18"/>
    </row>
    <row r="3763" ht="15">
      <c r="A3763" s="20"/>
      <c r="B3763" s="20"/>
      <c r="C3763" s="20"/>
      <c r="D3763" s="19"/>
      <c r="E3763" s="19"/>
      <c r="F3763" s="17"/>
      <c r="G3763" s="20"/>
      <c r="H3763" s="18"/>
      <c r="I3763" s="18"/>
    </row>
    <row r="3764" ht="15">
      <c r="A3764" s="20"/>
      <c r="B3764" s="20"/>
      <c r="C3764" s="20"/>
      <c r="D3764" s="19"/>
      <c r="E3764" s="19"/>
      <c r="F3764" s="17"/>
      <c r="G3764" s="20"/>
      <c r="H3764" s="18"/>
      <c r="I3764" s="18"/>
    </row>
    <row r="3765" ht="15">
      <c r="A3765" s="20"/>
      <c r="B3765" s="20"/>
      <c r="C3765" s="20"/>
      <c r="D3765" s="19"/>
      <c r="E3765" s="19"/>
      <c r="F3765" s="17"/>
      <c r="G3765" s="20"/>
      <c r="H3765" s="18"/>
      <c r="I3765" s="18"/>
    </row>
    <row r="3766" ht="15">
      <c r="A3766" s="20"/>
      <c r="B3766" s="20"/>
      <c r="C3766" s="20"/>
      <c r="D3766" s="19"/>
      <c r="E3766" s="19"/>
      <c r="F3766" s="17"/>
      <c r="G3766" s="20"/>
      <c r="H3766" s="18"/>
      <c r="I3766" s="18"/>
    </row>
    <row r="3767" ht="15">
      <c r="A3767" s="20"/>
      <c r="B3767" s="20"/>
      <c r="C3767" s="20"/>
      <c r="D3767" s="19"/>
      <c r="E3767" s="19"/>
      <c r="F3767" s="17"/>
      <c r="G3767" s="20"/>
      <c r="H3767" s="18"/>
      <c r="I3767" s="18"/>
    </row>
    <row r="3768" ht="15">
      <c r="A3768" s="20"/>
      <c r="B3768" s="20"/>
      <c r="C3768" s="20"/>
      <c r="D3768" s="19"/>
      <c r="E3768" s="19"/>
      <c r="F3768" s="17"/>
      <c r="G3768" s="20"/>
      <c r="H3768" s="18"/>
      <c r="I3768" s="18"/>
    </row>
    <row r="3769" ht="15">
      <c r="A3769" s="20"/>
      <c r="B3769" s="20"/>
      <c r="C3769" s="20"/>
      <c r="D3769" s="19"/>
      <c r="E3769" s="19"/>
      <c r="F3769" s="17"/>
      <c r="G3769" s="20"/>
      <c r="H3769" s="18"/>
      <c r="I3769" s="18"/>
    </row>
    <row r="3770" ht="15">
      <c r="A3770" s="20"/>
      <c r="B3770" s="20"/>
      <c r="C3770" s="20"/>
      <c r="D3770" s="19"/>
      <c r="E3770" s="19"/>
      <c r="F3770" s="17"/>
      <c r="G3770" s="20"/>
      <c r="H3770" s="18"/>
      <c r="I3770" s="18"/>
    </row>
    <row r="3771" ht="15">
      <c r="A3771" s="20"/>
      <c r="B3771" s="20"/>
      <c r="C3771" s="20"/>
      <c r="D3771" s="19"/>
      <c r="E3771" s="19"/>
      <c r="F3771" s="17"/>
      <c r="G3771" s="20"/>
      <c r="H3771" s="18"/>
      <c r="I3771" s="18"/>
    </row>
    <row r="3772" ht="15">
      <c r="A3772" s="20"/>
      <c r="B3772" s="20"/>
      <c r="C3772" s="20"/>
      <c r="D3772" s="19"/>
      <c r="E3772" s="19"/>
      <c r="F3772" s="17"/>
      <c r="G3772" s="20"/>
      <c r="H3772" s="18"/>
      <c r="I3772" s="18"/>
    </row>
    <row r="3773" ht="15">
      <c r="A3773" s="20"/>
      <c r="B3773" s="20"/>
      <c r="C3773" s="20"/>
      <c r="D3773" s="19"/>
      <c r="E3773" s="19"/>
      <c r="F3773" s="17"/>
      <c r="G3773" s="20"/>
      <c r="H3773" s="18"/>
      <c r="I3773" s="18"/>
    </row>
    <row r="3774" ht="15">
      <c r="A3774" s="20"/>
      <c r="B3774" s="20"/>
      <c r="C3774" s="20"/>
      <c r="D3774" s="19"/>
      <c r="E3774" s="19"/>
      <c r="F3774" s="17"/>
      <c r="G3774" s="20"/>
      <c r="H3774" s="18"/>
      <c r="I3774" s="18"/>
    </row>
    <row r="3775" ht="15">
      <c r="A3775" s="20"/>
      <c r="B3775" s="20"/>
      <c r="C3775" s="20"/>
      <c r="D3775" s="19"/>
      <c r="E3775" s="19"/>
      <c r="F3775" s="17"/>
      <c r="G3775" s="20"/>
      <c r="H3775" s="18"/>
      <c r="I3775" s="18"/>
    </row>
    <row r="3776" ht="15">
      <c r="A3776" s="20"/>
      <c r="B3776" s="20"/>
      <c r="C3776" s="20"/>
      <c r="D3776" s="19"/>
      <c r="E3776" s="19"/>
      <c r="F3776" s="17"/>
      <c r="G3776" s="20"/>
      <c r="H3776" s="18"/>
      <c r="I3776" s="18"/>
    </row>
    <row r="3777" ht="15">
      <c r="A3777" s="20"/>
      <c r="B3777" s="20"/>
      <c r="C3777" s="20"/>
      <c r="D3777" s="19"/>
      <c r="E3777" s="19"/>
      <c r="F3777" s="17"/>
      <c r="G3777" s="20"/>
      <c r="H3777" s="18"/>
      <c r="I3777" s="18"/>
    </row>
    <row r="3778" ht="15">
      <c r="A3778" s="20"/>
      <c r="B3778" s="20"/>
      <c r="C3778" s="20"/>
      <c r="D3778" s="19"/>
      <c r="E3778" s="19"/>
      <c r="F3778" s="17"/>
      <c r="G3778" s="20"/>
      <c r="H3778" s="18"/>
      <c r="I3778" s="18"/>
    </row>
    <row r="3779" ht="15">
      <c r="A3779" s="20"/>
      <c r="B3779" s="20"/>
      <c r="C3779" s="20"/>
      <c r="D3779" s="19"/>
      <c r="E3779" s="19"/>
      <c r="F3779" s="17"/>
      <c r="G3779" s="20"/>
      <c r="H3779" s="18"/>
      <c r="I3779" s="18"/>
    </row>
    <row r="3780" ht="15">
      <c r="A3780" s="20"/>
      <c r="B3780" s="20"/>
      <c r="C3780" s="20"/>
      <c r="D3780" s="19"/>
      <c r="E3780" s="19"/>
      <c r="F3780" s="17"/>
      <c r="G3780" s="20"/>
      <c r="H3780" s="18"/>
      <c r="I3780" s="18"/>
    </row>
    <row r="3781" ht="15">
      <c r="A3781" s="20"/>
      <c r="B3781" s="20"/>
      <c r="C3781" s="20"/>
      <c r="D3781" s="19"/>
      <c r="E3781" s="19"/>
      <c r="F3781" s="17"/>
      <c r="G3781" s="20"/>
      <c r="H3781" s="18"/>
      <c r="I3781" s="18"/>
    </row>
    <row r="3782" ht="15">
      <c r="A3782" s="20"/>
      <c r="B3782" s="20"/>
      <c r="C3782" s="20"/>
      <c r="D3782" s="19"/>
      <c r="E3782" s="19"/>
      <c r="F3782" s="17"/>
      <c r="G3782" s="20"/>
      <c r="H3782" s="18"/>
      <c r="I3782" s="18"/>
    </row>
    <row r="3783" ht="15">
      <c r="A3783" s="20"/>
      <c r="B3783" s="20"/>
      <c r="C3783" s="20"/>
      <c r="D3783" s="19"/>
      <c r="E3783" s="19"/>
      <c r="F3783" s="17"/>
      <c r="G3783" s="20"/>
      <c r="H3783" s="18"/>
      <c r="I3783" s="18"/>
    </row>
    <row r="3784" ht="15">
      <c r="A3784" s="20"/>
      <c r="B3784" s="20"/>
      <c r="C3784" s="20"/>
      <c r="D3784" s="19"/>
      <c r="E3784" s="19"/>
      <c r="F3784" s="17"/>
      <c r="G3784" s="20"/>
      <c r="H3784" s="18"/>
      <c r="I3784" s="18"/>
    </row>
    <row r="3785" ht="15">
      <c r="A3785" s="20"/>
      <c r="B3785" s="20"/>
      <c r="C3785" s="20"/>
      <c r="D3785" s="19"/>
      <c r="E3785" s="19"/>
      <c r="F3785" s="17"/>
      <c r="G3785" s="20"/>
      <c r="H3785" s="18"/>
      <c r="I3785" s="18"/>
    </row>
    <row r="3786" ht="15">
      <c r="A3786" s="20"/>
      <c r="B3786" s="20"/>
      <c r="C3786" s="20"/>
      <c r="D3786" s="19"/>
      <c r="E3786" s="19"/>
      <c r="F3786" s="17"/>
      <c r="G3786" s="20"/>
      <c r="H3786" s="18"/>
      <c r="I3786" s="18"/>
    </row>
    <row r="3787" ht="15">
      <c r="A3787" s="20"/>
      <c r="B3787" s="20"/>
      <c r="C3787" s="20"/>
      <c r="D3787" s="19"/>
      <c r="E3787" s="19"/>
      <c r="F3787" s="17"/>
      <c r="G3787" s="20"/>
      <c r="H3787" s="18"/>
      <c r="I3787" s="18"/>
    </row>
    <row r="3788" ht="15">
      <c r="A3788" s="20"/>
      <c r="B3788" s="20"/>
      <c r="C3788" s="20"/>
      <c r="D3788" s="19"/>
      <c r="E3788" s="19"/>
      <c r="F3788" s="17"/>
      <c r="G3788" s="20"/>
      <c r="H3788" s="18"/>
      <c r="I3788" s="18"/>
    </row>
    <row r="3789" ht="15">
      <c r="A3789" s="20"/>
      <c r="B3789" s="20"/>
      <c r="C3789" s="20"/>
      <c r="D3789" s="19"/>
      <c r="E3789" s="19"/>
      <c r="F3789" s="17"/>
      <c r="G3789" s="20"/>
      <c r="H3789" s="18"/>
      <c r="I3789" s="18"/>
    </row>
    <row r="3790" ht="15">
      <c r="A3790" s="20"/>
      <c r="B3790" s="20"/>
      <c r="C3790" s="20"/>
      <c r="D3790" s="19"/>
      <c r="E3790" s="19"/>
      <c r="F3790" s="17"/>
      <c r="G3790" s="20"/>
      <c r="H3790" s="18"/>
      <c r="I3790" s="18"/>
    </row>
    <row r="3791" ht="15">
      <c r="A3791" s="20"/>
      <c r="B3791" s="20"/>
      <c r="C3791" s="20"/>
      <c r="D3791" s="19"/>
      <c r="E3791" s="19"/>
      <c r="F3791" s="17"/>
      <c r="G3791" s="20"/>
      <c r="H3791" s="18"/>
      <c r="I3791" s="18"/>
    </row>
    <row r="3792" ht="15">
      <c r="A3792" s="20"/>
      <c r="B3792" s="20"/>
      <c r="C3792" s="20"/>
      <c r="D3792" s="19"/>
      <c r="E3792" s="19"/>
      <c r="F3792" s="17"/>
      <c r="G3792" s="20"/>
      <c r="H3792" s="18"/>
      <c r="I3792" s="18"/>
    </row>
    <row r="3793" ht="15">
      <c r="A3793" s="20"/>
      <c r="B3793" s="20"/>
      <c r="C3793" s="20"/>
      <c r="D3793" s="19"/>
      <c r="E3793" s="19"/>
      <c r="F3793" s="17"/>
      <c r="G3793" s="20"/>
      <c r="H3793" s="18"/>
      <c r="I3793" s="18"/>
    </row>
    <row r="3794" ht="15">
      <c r="A3794" s="20"/>
      <c r="B3794" s="20"/>
      <c r="C3794" s="20"/>
      <c r="D3794" s="19"/>
      <c r="E3794" s="19"/>
      <c r="F3794" s="17"/>
      <c r="G3794" s="20"/>
      <c r="H3794" s="18"/>
      <c r="I3794" s="18"/>
    </row>
    <row r="3795" ht="15">
      <c r="A3795" s="20"/>
      <c r="B3795" s="20"/>
      <c r="C3795" s="20"/>
      <c r="D3795" s="19"/>
      <c r="E3795" s="19"/>
      <c r="F3795" s="17"/>
      <c r="G3795" s="20"/>
      <c r="H3795" s="18"/>
      <c r="I3795" s="18"/>
    </row>
    <row r="3796" ht="15">
      <c r="A3796" s="20"/>
      <c r="B3796" s="20"/>
      <c r="C3796" s="20"/>
      <c r="D3796" s="19"/>
      <c r="E3796" s="19"/>
      <c r="F3796" s="17"/>
      <c r="G3796" s="20"/>
      <c r="H3796" s="18"/>
      <c r="I3796" s="18"/>
    </row>
    <row r="3797" ht="15">
      <c r="A3797" s="20"/>
      <c r="B3797" s="20"/>
      <c r="C3797" s="20"/>
      <c r="D3797" s="19"/>
      <c r="E3797" s="19"/>
      <c r="F3797" s="17"/>
      <c r="G3797" s="20"/>
      <c r="H3797" s="18"/>
      <c r="I3797" s="18"/>
    </row>
    <row r="3798" ht="15">
      <c r="A3798" s="20"/>
      <c r="B3798" s="20"/>
      <c r="C3798" s="20"/>
      <c r="D3798" s="19"/>
      <c r="E3798" s="19"/>
      <c r="F3798" s="17"/>
      <c r="G3798" s="20"/>
      <c r="H3798" s="18"/>
      <c r="I3798" s="18"/>
    </row>
    <row r="3799" ht="15">
      <c r="A3799" s="20"/>
      <c r="B3799" s="20"/>
      <c r="C3799" s="20"/>
      <c r="D3799" s="19"/>
      <c r="E3799" s="19"/>
      <c r="F3799" s="17"/>
      <c r="G3799" s="20"/>
      <c r="H3799" s="18"/>
      <c r="I3799" s="18"/>
    </row>
    <row r="3800" ht="15">
      <c r="A3800" s="20"/>
      <c r="B3800" s="20"/>
      <c r="C3800" s="20"/>
      <c r="D3800" s="19"/>
      <c r="E3800" s="19"/>
      <c r="F3800" s="17"/>
      <c r="G3800" s="20"/>
      <c r="H3800" s="18"/>
      <c r="I3800" s="18"/>
    </row>
    <row r="3801" ht="15">
      <c r="A3801" s="20"/>
      <c r="B3801" s="20"/>
      <c r="C3801" s="20"/>
      <c r="D3801" s="19"/>
      <c r="E3801" s="19"/>
      <c r="F3801" s="17"/>
      <c r="G3801" s="20"/>
      <c r="H3801" s="18"/>
      <c r="I3801" s="18"/>
    </row>
    <row r="3802" ht="15">
      <c r="A3802" s="20"/>
      <c r="B3802" s="20"/>
      <c r="C3802" s="20"/>
      <c r="D3802" s="19"/>
      <c r="E3802" s="19"/>
      <c r="F3802" s="17"/>
      <c r="G3802" s="20"/>
      <c r="H3802" s="18"/>
      <c r="I3802" s="18"/>
    </row>
    <row r="3803" ht="15">
      <c r="A3803" s="20"/>
      <c r="B3803" s="20"/>
      <c r="C3803" s="20"/>
      <c r="D3803" s="19"/>
      <c r="E3803" s="19"/>
      <c r="F3803" s="17"/>
      <c r="G3803" s="20"/>
      <c r="H3803" s="18"/>
      <c r="I3803" s="18"/>
    </row>
    <row r="3804" ht="15">
      <c r="A3804" s="20"/>
      <c r="B3804" s="20"/>
      <c r="C3804" s="20"/>
      <c r="D3804" s="19"/>
      <c r="E3804" s="19"/>
      <c r="F3804" s="17"/>
      <c r="G3804" s="20"/>
      <c r="H3804" s="18"/>
      <c r="I3804" s="18"/>
    </row>
    <row r="3805" ht="15">
      <c r="A3805" s="20"/>
      <c r="B3805" s="20"/>
      <c r="C3805" s="20"/>
      <c r="D3805" s="19"/>
      <c r="E3805" s="19"/>
      <c r="F3805" s="17"/>
      <c r="G3805" s="20"/>
      <c r="H3805" s="18"/>
      <c r="I3805" s="18"/>
    </row>
    <row r="3806" ht="15">
      <c r="A3806" s="20"/>
      <c r="B3806" s="20"/>
      <c r="C3806" s="20"/>
      <c r="D3806" s="19"/>
      <c r="E3806" s="19"/>
      <c r="F3806" s="17"/>
      <c r="G3806" s="20"/>
      <c r="H3806" s="18"/>
      <c r="I3806" s="18"/>
    </row>
    <row r="3807" ht="15">
      <c r="A3807" s="20"/>
      <c r="B3807" s="20"/>
      <c r="C3807" s="20"/>
      <c r="D3807" s="19"/>
      <c r="E3807" s="19"/>
      <c r="F3807" s="17"/>
      <c r="G3807" s="20"/>
      <c r="H3807" s="18"/>
      <c r="I3807" s="18"/>
    </row>
    <row r="3808" ht="15">
      <c r="A3808" s="20"/>
      <c r="B3808" s="20"/>
      <c r="C3808" s="20"/>
      <c r="D3808" s="19"/>
      <c r="E3808" s="19"/>
      <c r="F3808" s="17"/>
      <c r="G3808" s="20"/>
      <c r="H3808" s="18"/>
      <c r="I3808" s="18"/>
    </row>
    <row r="3809" ht="15">
      <c r="A3809" s="20"/>
      <c r="B3809" s="20"/>
      <c r="C3809" s="20"/>
      <c r="D3809" s="19"/>
      <c r="E3809" s="19"/>
      <c r="F3809" s="17"/>
      <c r="G3809" s="20"/>
      <c r="H3809" s="18"/>
      <c r="I3809" s="18"/>
    </row>
    <row r="3810" ht="15">
      <c r="A3810" s="20"/>
      <c r="B3810" s="20"/>
      <c r="C3810" s="20"/>
      <c r="D3810" s="19"/>
      <c r="E3810" s="19"/>
      <c r="F3810" s="17"/>
      <c r="G3810" s="20"/>
      <c r="H3810" s="18"/>
      <c r="I3810" s="18"/>
    </row>
    <row r="3811" ht="15">
      <c r="A3811" s="20"/>
      <c r="B3811" s="20"/>
      <c r="C3811" s="20"/>
      <c r="D3811" s="19"/>
      <c r="E3811" s="19"/>
      <c r="F3811" s="17"/>
      <c r="G3811" s="20"/>
      <c r="H3811" s="18"/>
      <c r="I3811" s="18"/>
    </row>
    <row r="3812" ht="15">
      <c r="A3812" s="20"/>
      <c r="B3812" s="20"/>
      <c r="C3812" s="20"/>
      <c r="D3812" s="19"/>
      <c r="E3812" s="19"/>
      <c r="F3812" s="17"/>
      <c r="G3812" s="20"/>
      <c r="H3812" s="18"/>
      <c r="I3812" s="18"/>
    </row>
    <row r="3813" ht="15">
      <c r="A3813" s="20"/>
      <c r="B3813" s="20"/>
      <c r="C3813" s="20"/>
      <c r="D3813" s="19"/>
      <c r="E3813" s="19"/>
      <c r="F3813" s="17"/>
      <c r="G3813" s="20"/>
      <c r="H3813" s="18"/>
      <c r="I3813" s="18"/>
    </row>
    <row r="3814" ht="15">
      <c r="A3814" s="20"/>
      <c r="B3814" s="20"/>
      <c r="C3814" s="20"/>
      <c r="D3814" s="19"/>
      <c r="E3814" s="19"/>
      <c r="F3814" s="17"/>
      <c r="G3814" s="20"/>
      <c r="H3814" s="18"/>
      <c r="I3814" s="18"/>
    </row>
    <row r="3815" ht="15">
      <c r="A3815" s="20"/>
      <c r="B3815" s="20"/>
      <c r="C3815" s="20"/>
      <c r="D3815" s="19"/>
      <c r="E3815" s="19"/>
      <c r="F3815" s="17"/>
      <c r="G3815" s="20"/>
      <c r="H3815" s="18"/>
      <c r="I3815" s="18"/>
    </row>
    <row r="3816" ht="15">
      <c r="A3816" s="20"/>
      <c r="B3816" s="20"/>
      <c r="C3816" s="20"/>
      <c r="D3816" s="19"/>
      <c r="E3816" s="19"/>
      <c r="F3816" s="17"/>
      <c r="G3816" s="20"/>
      <c r="H3816" s="18"/>
      <c r="I3816" s="18"/>
    </row>
    <row r="3817" ht="15">
      <c r="A3817" s="20"/>
      <c r="B3817" s="20"/>
      <c r="C3817" s="20"/>
      <c r="D3817" s="19"/>
      <c r="E3817" s="19"/>
      <c r="F3817" s="17"/>
      <c r="G3817" s="20"/>
      <c r="H3817" s="18"/>
      <c r="I3817" s="18"/>
    </row>
    <row r="3818" ht="15">
      <c r="A3818" s="20"/>
      <c r="B3818" s="20"/>
      <c r="C3818" s="20"/>
      <c r="D3818" s="19"/>
      <c r="E3818" s="19"/>
      <c r="F3818" s="17"/>
      <c r="G3818" s="20"/>
      <c r="H3818" s="18"/>
      <c r="I3818" s="18"/>
    </row>
    <row r="3819" ht="15">
      <c r="A3819" s="20"/>
      <c r="B3819" s="20"/>
      <c r="C3819" s="20"/>
      <c r="D3819" s="19"/>
      <c r="E3819" s="19"/>
      <c r="F3819" s="17"/>
      <c r="G3819" s="20"/>
      <c r="H3819" s="18"/>
      <c r="I3819" s="18"/>
    </row>
    <row r="3820" ht="15">
      <c r="A3820" s="20"/>
      <c r="B3820" s="20"/>
      <c r="C3820" s="20"/>
      <c r="D3820" s="19"/>
      <c r="E3820" s="19"/>
      <c r="F3820" s="17"/>
      <c r="G3820" s="20"/>
      <c r="H3820" s="18"/>
      <c r="I3820" s="18"/>
    </row>
    <row r="3821" ht="15">
      <c r="A3821" s="20"/>
      <c r="B3821" s="20"/>
      <c r="C3821" s="20"/>
      <c r="D3821" s="19"/>
      <c r="E3821" s="19"/>
      <c r="F3821" s="17"/>
      <c r="G3821" s="20"/>
      <c r="H3821" s="18"/>
      <c r="I3821" s="18"/>
    </row>
    <row r="3822" ht="15">
      <c r="A3822" s="20"/>
      <c r="B3822" s="20"/>
      <c r="C3822" s="20"/>
      <c r="D3822" s="19"/>
      <c r="E3822" s="19"/>
      <c r="F3822" s="17"/>
      <c r="G3822" s="20"/>
      <c r="H3822" s="18"/>
      <c r="I3822" s="18"/>
    </row>
    <row r="3823" ht="15">
      <c r="A3823" s="20"/>
      <c r="B3823" s="20"/>
      <c r="C3823" s="20"/>
      <c r="D3823" s="19"/>
      <c r="E3823" s="19"/>
      <c r="F3823" s="17"/>
      <c r="G3823" s="20"/>
      <c r="H3823" s="18"/>
      <c r="I3823" s="18"/>
    </row>
    <row r="3824" ht="15">
      <c r="A3824" s="20"/>
      <c r="B3824" s="20"/>
      <c r="C3824" s="20"/>
      <c r="D3824" s="19"/>
      <c r="E3824" s="19"/>
      <c r="F3824" s="17"/>
      <c r="G3824" s="20"/>
      <c r="H3824" s="18"/>
      <c r="I3824" s="18"/>
    </row>
    <row r="3825" ht="15">
      <c r="A3825" s="20"/>
      <c r="B3825" s="20"/>
      <c r="C3825" s="20"/>
      <c r="D3825" s="19"/>
      <c r="E3825" s="19"/>
      <c r="F3825" s="17"/>
      <c r="G3825" s="20"/>
      <c r="H3825" s="18"/>
      <c r="I3825" s="18"/>
    </row>
    <row r="3826" ht="15">
      <c r="A3826" s="20"/>
      <c r="B3826" s="20"/>
      <c r="C3826" s="20"/>
      <c r="D3826" s="19"/>
      <c r="E3826" s="19"/>
      <c r="F3826" s="17"/>
      <c r="G3826" s="20"/>
      <c r="H3826" s="18"/>
      <c r="I3826" s="18"/>
    </row>
    <row r="3827" ht="15">
      <c r="A3827" s="20"/>
      <c r="B3827" s="20"/>
      <c r="C3827" s="20"/>
      <c r="D3827" s="19"/>
      <c r="E3827" s="19"/>
      <c r="F3827" s="17"/>
      <c r="G3827" s="20"/>
      <c r="H3827" s="18"/>
      <c r="I3827" s="18"/>
    </row>
    <row r="3828" ht="15">
      <c r="A3828" s="20"/>
      <c r="B3828" s="20"/>
      <c r="C3828" s="20"/>
      <c r="D3828" s="19"/>
      <c r="E3828" s="19"/>
      <c r="F3828" s="17"/>
      <c r="G3828" s="20"/>
      <c r="H3828" s="18"/>
      <c r="I3828" s="18"/>
    </row>
    <row r="3829" ht="15">
      <c r="A3829" s="20"/>
      <c r="B3829" s="20"/>
      <c r="C3829" s="20"/>
      <c r="D3829" s="19"/>
      <c r="E3829" s="19"/>
      <c r="F3829" s="17"/>
      <c r="G3829" s="20"/>
      <c r="H3829" s="18"/>
      <c r="I3829" s="18"/>
    </row>
    <row r="3830" ht="15">
      <c r="A3830" s="20"/>
      <c r="B3830" s="20"/>
      <c r="C3830" s="20"/>
      <c r="D3830" s="19"/>
      <c r="E3830" s="19"/>
      <c r="F3830" s="17"/>
      <c r="G3830" s="20"/>
      <c r="H3830" s="18"/>
      <c r="I3830" s="18"/>
    </row>
    <row r="3831" ht="15">
      <c r="A3831" s="20"/>
      <c r="B3831" s="20"/>
      <c r="C3831" s="20"/>
      <c r="D3831" s="19"/>
      <c r="E3831" s="19"/>
      <c r="F3831" s="17"/>
      <c r="G3831" s="20"/>
      <c r="H3831" s="18"/>
      <c r="I3831" s="18"/>
    </row>
    <row r="3832" ht="15">
      <c r="A3832" s="20"/>
      <c r="B3832" s="20"/>
      <c r="C3832" s="20"/>
      <c r="D3832" s="19"/>
      <c r="E3832" s="19"/>
      <c r="F3832" s="17"/>
      <c r="G3832" s="20"/>
      <c r="H3832" s="18"/>
      <c r="I3832" s="18"/>
    </row>
    <row r="3833" ht="15">
      <c r="A3833" s="20"/>
      <c r="B3833" s="20"/>
      <c r="C3833" s="20"/>
      <c r="D3833" s="19"/>
      <c r="E3833" s="19"/>
      <c r="F3833" s="17"/>
      <c r="G3833" s="20"/>
      <c r="H3833" s="18"/>
      <c r="I3833" s="18"/>
    </row>
    <row r="3834" ht="15">
      <c r="A3834" s="20"/>
      <c r="B3834" s="20"/>
      <c r="C3834" s="20"/>
      <c r="D3834" s="19"/>
      <c r="E3834" s="19"/>
      <c r="F3834" s="17"/>
      <c r="G3834" s="20"/>
      <c r="H3834" s="18"/>
      <c r="I3834" s="18"/>
    </row>
    <row r="3835" ht="15">
      <c r="A3835" s="20"/>
      <c r="B3835" s="20"/>
      <c r="C3835" s="20"/>
      <c r="D3835" s="19"/>
      <c r="E3835" s="19"/>
      <c r="F3835" s="17"/>
      <c r="G3835" s="20"/>
      <c r="H3835" s="18"/>
      <c r="I3835" s="18"/>
    </row>
    <row r="3836" ht="15">
      <c r="A3836" s="20"/>
      <c r="B3836" s="20"/>
      <c r="C3836" s="20"/>
      <c r="D3836" s="19"/>
      <c r="E3836" s="19"/>
      <c r="F3836" s="17"/>
      <c r="G3836" s="20"/>
      <c r="H3836" s="18"/>
      <c r="I3836" s="18"/>
    </row>
    <row r="3837" ht="15">
      <c r="A3837" s="20"/>
      <c r="B3837" s="20"/>
      <c r="C3837" s="20"/>
      <c r="D3837" s="19"/>
      <c r="E3837" s="19"/>
      <c r="F3837" s="17"/>
      <c r="G3837" s="20"/>
      <c r="H3837" s="18"/>
      <c r="I3837" s="18"/>
    </row>
    <row r="3838" ht="15">
      <c r="A3838" s="20"/>
      <c r="B3838" s="20"/>
      <c r="C3838" s="20"/>
      <c r="D3838" s="19"/>
      <c r="E3838" s="19"/>
      <c r="F3838" s="17"/>
      <c r="G3838" s="20"/>
      <c r="H3838" s="18"/>
      <c r="I3838" s="18"/>
    </row>
    <row r="3839" ht="15">
      <c r="A3839" s="20"/>
      <c r="B3839" s="20"/>
      <c r="C3839" s="20"/>
      <c r="D3839" s="19"/>
      <c r="E3839" s="19"/>
      <c r="F3839" s="17"/>
      <c r="G3839" s="20"/>
      <c r="H3839" s="18"/>
      <c r="I3839" s="18"/>
    </row>
    <row r="3840" ht="15">
      <c r="A3840" s="20"/>
      <c r="B3840" s="20"/>
      <c r="C3840" s="20"/>
      <c r="D3840" s="19"/>
      <c r="E3840" s="19"/>
      <c r="F3840" s="17"/>
      <c r="G3840" s="20"/>
      <c r="H3840" s="18"/>
      <c r="I3840" s="18"/>
    </row>
    <row r="3841" ht="15">
      <c r="A3841" s="20"/>
      <c r="B3841" s="20"/>
      <c r="C3841" s="20"/>
      <c r="D3841" s="19"/>
      <c r="E3841" s="19"/>
      <c r="F3841" s="17"/>
      <c r="G3841" s="20"/>
      <c r="H3841" s="18"/>
      <c r="I3841" s="18"/>
    </row>
    <row r="3842" ht="15">
      <c r="A3842" s="20"/>
      <c r="B3842" s="20"/>
      <c r="C3842" s="20"/>
      <c r="D3842" s="19"/>
      <c r="E3842" s="19"/>
      <c r="F3842" s="17"/>
      <c r="G3842" s="20"/>
      <c r="H3842" s="18"/>
      <c r="I3842" s="18"/>
    </row>
    <row r="3843" ht="15">
      <c r="A3843" s="20"/>
      <c r="B3843" s="20"/>
      <c r="C3843" s="20"/>
      <c r="D3843" s="19"/>
      <c r="E3843" s="19"/>
      <c r="F3843" s="17"/>
      <c r="G3843" s="20"/>
      <c r="H3843" s="18"/>
      <c r="I3843" s="18"/>
    </row>
    <row r="3844" ht="15">
      <c r="A3844" s="20"/>
      <c r="B3844" s="20"/>
      <c r="C3844" s="20"/>
      <c r="D3844" s="19"/>
      <c r="E3844" s="19"/>
      <c r="F3844" s="17"/>
      <c r="G3844" s="20"/>
      <c r="H3844" s="18"/>
      <c r="I3844" s="18"/>
    </row>
    <row r="3845" ht="15">
      <c r="A3845" s="20"/>
      <c r="B3845" s="20"/>
      <c r="C3845" s="20"/>
      <c r="D3845" s="19"/>
      <c r="E3845" s="19"/>
      <c r="F3845" s="17"/>
      <c r="G3845" s="20"/>
      <c r="H3845" s="18"/>
      <c r="I3845" s="18"/>
    </row>
    <row r="3846" ht="15">
      <c r="A3846" s="20"/>
      <c r="B3846" s="20"/>
      <c r="C3846" s="20"/>
      <c r="D3846" s="19"/>
      <c r="E3846" s="19"/>
      <c r="F3846" s="17"/>
      <c r="G3846" s="20"/>
      <c r="H3846" s="18"/>
      <c r="I3846" s="18"/>
    </row>
    <row r="3847" ht="15">
      <c r="A3847" s="20"/>
      <c r="B3847" s="20"/>
      <c r="C3847" s="20"/>
      <c r="D3847" s="19"/>
      <c r="E3847" s="19"/>
      <c r="F3847" s="17"/>
      <c r="G3847" s="20"/>
      <c r="H3847" s="18"/>
      <c r="I3847" s="18"/>
    </row>
    <row r="3848" ht="15">
      <c r="A3848" s="20"/>
      <c r="B3848" s="20"/>
      <c r="C3848" s="20"/>
      <c r="D3848" s="19"/>
      <c r="E3848" s="19"/>
      <c r="F3848" s="17"/>
      <c r="G3848" s="20"/>
      <c r="H3848" s="18"/>
      <c r="I3848" s="18"/>
    </row>
    <row r="3849" ht="15">
      <c r="A3849" s="20"/>
      <c r="B3849" s="20"/>
      <c r="C3849" s="20"/>
      <c r="D3849" s="19"/>
      <c r="E3849" s="19"/>
      <c r="F3849" s="17"/>
      <c r="G3849" s="20"/>
      <c r="H3849" s="18"/>
      <c r="I3849" s="18"/>
    </row>
    <row r="3850" ht="15">
      <c r="A3850" s="20"/>
      <c r="B3850" s="20"/>
      <c r="C3850" s="20"/>
      <c r="D3850" s="19"/>
      <c r="E3850" s="19"/>
      <c r="F3850" s="17"/>
      <c r="G3850" s="20"/>
      <c r="H3850" s="18"/>
      <c r="I3850" s="18"/>
    </row>
    <row r="3851" ht="15">
      <c r="A3851" s="20"/>
      <c r="B3851" s="20"/>
      <c r="C3851" s="20"/>
      <c r="D3851" s="19"/>
      <c r="E3851" s="19"/>
      <c r="F3851" s="17"/>
      <c r="G3851" s="20"/>
      <c r="H3851" s="18"/>
      <c r="I3851" s="18"/>
    </row>
    <row r="3852" ht="15">
      <c r="A3852" s="20"/>
      <c r="B3852" s="20"/>
      <c r="C3852" s="20"/>
      <c r="D3852" s="19"/>
      <c r="E3852" s="19"/>
      <c r="F3852" s="17"/>
      <c r="G3852" s="20"/>
      <c r="H3852" s="18"/>
      <c r="I3852" s="18"/>
    </row>
    <row r="3853" ht="15">
      <c r="A3853" s="20"/>
      <c r="B3853" s="20"/>
      <c r="C3853" s="20"/>
      <c r="D3853" s="19"/>
      <c r="E3853" s="19"/>
      <c r="F3853" s="17"/>
      <c r="G3853" s="20"/>
      <c r="H3853" s="18"/>
      <c r="I3853" s="18"/>
    </row>
    <row r="3854" ht="15">
      <c r="A3854" s="20"/>
      <c r="B3854" s="20"/>
      <c r="C3854" s="20"/>
      <c r="D3854" s="19"/>
      <c r="E3854" s="19"/>
      <c r="F3854" s="17"/>
      <c r="G3854" s="20"/>
      <c r="H3854" s="18"/>
      <c r="I3854" s="18"/>
    </row>
    <row r="3855" ht="15">
      <c r="A3855" s="20"/>
      <c r="B3855" s="20"/>
      <c r="C3855" s="20"/>
      <c r="D3855" s="19"/>
      <c r="E3855" s="19"/>
      <c r="F3855" s="17"/>
      <c r="G3855" s="20"/>
      <c r="H3855" s="18"/>
      <c r="I3855" s="18"/>
    </row>
    <row r="3856" ht="15">
      <c r="A3856" s="20"/>
      <c r="B3856" s="20"/>
      <c r="C3856" s="20"/>
      <c r="D3856" s="19"/>
      <c r="E3856" s="19"/>
      <c r="F3856" s="17"/>
      <c r="G3856" s="20"/>
      <c r="H3856" s="18"/>
      <c r="I3856" s="18"/>
    </row>
    <row r="3857" ht="15">
      <c r="A3857" s="20"/>
      <c r="B3857" s="20"/>
      <c r="C3857" s="20"/>
      <c r="D3857" s="19"/>
      <c r="E3857" s="19"/>
      <c r="F3857" s="17"/>
      <c r="G3857" s="20"/>
      <c r="H3857" s="18"/>
      <c r="I3857" s="18"/>
    </row>
    <row r="3858" ht="15">
      <c r="A3858" s="20"/>
      <c r="B3858" s="20"/>
      <c r="C3858" s="20"/>
      <c r="D3858" s="19"/>
      <c r="E3858" s="19"/>
      <c r="F3858" s="17"/>
      <c r="G3858" s="20"/>
      <c r="H3858" s="18"/>
      <c r="I3858" s="18"/>
    </row>
    <row r="3859" ht="15">
      <c r="A3859" s="20"/>
      <c r="B3859" s="20"/>
      <c r="C3859" s="20"/>
      <c r="D3859" s="19"/>
      <c r="E3859" s="19"/>
      <c r="F3859" s="17"/>
      <c r="G3859" s="20"/>
      <c r="H3859" s="18"/>
      <c r="I3859" s="18"/>
    </row>
    <row r="3860" ht="15">
      <c r="A3860" s="20"/>
      <c r="B3860" s="20"/>
      <c r="C3860" s="20"/>
      <c r="D3860" s="19"/>
      <c r="E3860" s="19"/>
      <c r="F3860" s="17"/>
      <c r="G3860" s="20"/>
      <c r="H3860" s="18"/>
      <c r="I3860" s="18"/>
    </row>
    <row r="3861" ht="15">
      <c r="A3861" s="20"/>
      <c r="B3861" s="20"/>
      <c r="C3861" s="20"/>
      <c r="D3861" s="19"/>
      <c r="E3861" s="19"/>
      <c r="F3861" s="17"/>
      <c r="G3861" s="20"/>
      <c r="H3861" s="18"/>
      <c r="I3861" s="18"/>
    </row>
    <row r="3862" ht="15">
      <c r="A3862" s="20"/>
      <c r="B3862" s="20"/>
      <c r="C3862" s="20"/>
      <c r="D3862" s="19"/>
      <c r="E3862" s="19"/>
      <c r="F3862" s="17"/>
      <c r="G3862" s="20"/>
      <c r="H3862" s="18"/>
      <c r="I3862" s="18"/>
    </row>
    <row r="3863" ht="15">
      <c r="A3863" s="20"/>
      <c r="B3863" s="20"/>
      <c r="C3863" s="20"/>
      <c r="D3863" s="19"/>
      <c r="E3863" s="19"/>
      <c r="F3863" s="17"/>
      <c r="G3863" s="20"/>
      <c r="H3863" s="18"/>
      <c r="I3863" s="18"/>
    </row>
    <row r="3864" ht="15">
      <c r="A3864" s="20"/>
      <c r="B3864" s="20"/>
      <c r="C3864" s="20"/>
      <c r="D3864" s="19"/>
      <c r="E3864" s="19"/>
      <c r="F3864" s="17"/>
      <c r="G3864" s="20"/>
      <c r="H3864" s="18"/>
      <c r="I3864" s="18"/>
    </row>
    <row r="3865" ht="15">
      <c r="A3865" s="20"/>
      <c r="B3865" s="20"/>
      <c r="C3865" s="20"/>
      <c r="D3865" s="19"/>
      <c r="E3865" s="19"/>
      <c r="F3865" s="17"/>
      <c r="G3865" s="20"/>
      <c r="H3865" s="18"/>
      <c r="I3865" s="18"/>
    </row>
    <row r="3866" ht="15">
      <c r="A3866" s="20"/>
      <c r="B3866" s="20"/>
      <c r="C3866" s="20"/>
      <c r="D3866" s="19"/>
      <c r="E3866" s="19"/>
      <c r="F3866" s="17"/>
      <c r="G3866" s="20"/>
      <c r="H3866" s="18"/>
      <c r="I3866" s="18"/>
    </row>
    <row r="3867" ht="15">
      <c r="A3867" s="20"/>
      <c r="B3867" s="20"/>
      <c r="C3867" s="20"/>
      <c r="D3867" s="19"/>
      <c r="E3867" s="19"/>
      <c r="F3867" s="17"/>
      <c r="G3867" s="20"/>
      <c r="H3867" s="18"/>
      <c r="I3867" s="18"/>
    </row>
    <row r="3868" ht="15">
      <c r="A3868" s="20"/>
      <c r="B3868" s="20"/>
      <c r="C3868" s="20"/>
      <c r="D3868" s="19"/>
      <c r="E3868" s="19"/>
      <c r="F3868" s="17"/>
      <c r="G3868" s="20"/>
      <c r="H3868" s="18"/>
      <c r="I3868" s="18"/>
    </row>
    <row r="3869" ht="15">
      <c r="A3869" s="20"/>
      <c r="B3869" s="20"/>
      <c r="C3869" s="20"/>
      <c r="D3869" s="19"/>
      <c r="E3869" s="19"/>
      <c r="F3869" s="17"/>
      <c r="G3869" s="20"/>
      <c r="H3869" s="18"/>
      <c r="I3869" s="18"/>
    </row>
    <row r="3870" ht="15">
      <c r="A3870" s="20"/>
      <c r="B3870" s="20"/>
      <c r="C3870" s="20"/>
      <c r="D3870" s="19"/>
      <c r="E3870" s="19"/>
      <c r="F3870" s="17"/>
      <c r="G3870" s="20"/>
      <c r="H3870" s="18"/>
      <c r="I3870" s="18"/>
    </row>
    <row r="3871" ht="15">
      <c r="A3871" s="20"/>
      <c r="B3871" s="20"/>
      <c r="C3871" s="20"/>
      <c r="D3871" s="19"/>
      <c r="E3871" s="19"/>
      <c r="F3871" s="17"/>
      <c r="G3871" s="20"/>
      <c r="H3871" s="18"/>
      <c r="I3871" s="18"/>
    </row>
    <row r="3872" ht="15">
      <c r="A3872" s="20"/>
      <c r="B3872" s="20"/>
      <c r="C3872" s="20"/>
      <c r="D3872" s="19"/>
      <c r="E3872" s="19"/>
      <c r="F3872" s="17"/>
      <c r="G3872" s="20"/>
      <c r="H3872" s="18"/>
      <c r="I3872" s="18"/>
    </row>
    <row r="3873" ht="15">
      <c r="A3873" s="20"/>
      <c r="B3873" s="20"/>
      <c r="C3873" s="20"/>
      <c r="D3873" s="19"/>
      <c r="E3873" s="19"/>
      <c r="F3873" s="17"/>
      <c r="G3873" s="20"/>
      <c r="H3873" s="18"/>
      <c r="I3873" s="18"/>
    </row>
    <row r="3874" ht="15">
      <c r="A3874" s="20"/>
      <c r="B3874" s="20"/>
      <c r="C3874" s="20"/>
      <c r="D3874" s="19"/>
      <c r="E3874" s="19"/>
      <c r="F3874" s="17"/>
      <c r="G3874" s="20"/>
      <c r="H3874" s="18"/>
      <c r="I3874" s="18"/>
    </row>
    <row r="3875" ht="15">
      <c r="A3875" s="20"/>
      <c r="B3875" s="20"/>
      <c r="C3875" s="20"/>
      <c r="D3875" s="19"/>
      <c r="E3875" s="19"/>
      <c r="F3875" s="17"/>
      <c r="G3875" s="20"/>
      <c r="H3875" s="18"/>
      <c r="I3875" s="18"/>
    </row>
    <row r="3876" ht="15">
      <c r="A3876" s="20"/>
      <c r="B3876" s="20"/>
      <c r="C3876" s="20"/>
      <c r="D3876" s="19"/>
      <c r="E3876" s="19"/>
      <c r="F3876" s="17"/>
      <c r="G3876" s="20"/>
      <c r="H3876" s="18"/>
      <c r="I3876" s="18"/>
    </row>
    <row r="3877" ht="15">
      <c r="A3877" s="20"/>
      <c r="B3877" s="20"/>
      <c r="C3877" s="20"/>
      <c r="D3877" s="19"/>
      <c r="E3877" s="19"/>
      <c r="F3877" s="17"/>
      <c r="G3877" s="20"/>
      <c r="H3877" s="18"/>
      <c r="I3877" s="18"/>
    </row>
    <row r="3878" ht="15">
      <c r="A3878" s="20"/>
      <c r="B3878" s="20"/>
      <c r="C3878" s="20"/>
      <c r="D3878" s="19"/>
      <c r="E3878" s="19"/>
      <c r="F3878" s="17"/>
      <c r="G3878" s="20"/>
      <c r="H3878" s="18"/>
      <c r="I3878" s="18"/>
    </row>
    <row r="3879" ht="15">
      <c r="A3879" s="20"/>
      <c r="B3879" s="20"/>
      <c r="C3879" s="20"/>
      <c r="D3879" s="19"/>
      <c r="E3879" s="19"/>
      <c r="F3879" s="17"/>
      <c r="G3879" s="20"/>
      <c r="H3879" s="18"/>
      <c r="I3879" s="18"/>
    </row>
    <row r="3880" ht="15">
      <c r="A3880" s="20"/>
      <c r="B3880" s="20"/>
      <c r="C3880" s="20"/>
      <c r="D3880" s="19"/>
      <c r="E3880" s="19"/>
      <c r="F3880" s="17"/>
      <c r="G3880" s="20"/>
      <c r="H3880" s="18"/>
      <c r="I3880" s="18"/>
    </row>
    <row r="3881" ht="15">
      <c r="A3881" s="20"/>
      <c r="B3881" s="20"/>
      <c r="C3881" s="20"/>
      <c r="D3881" s="19"/>
      <c r="E3881" s="19"/>
      <c r="F3881" s="17"/>
      <c r="G3881" s="20"/>
      <c r="H3881" s="18"/>
      <c r="I3881" s="18"/>
    </row>
    <row r="3882" ht="15">
      <c r="A3882" s="20"/>
      <c r="B3882" s="20"/>
      <c r="C3882" s="20"/>
      <c r="D3882" s="19"/>
      <c r="E3882" s="19"/>
      <c r="F3882" s="17"/>
      <c r="G3882" s="20"/>
      <c r="H3882" s="18"/>
      <c r="I3882" s="18"/>
    </row>
    <row r="3883" ht="15">
      <c r="A3883" s="20"/>
      <c r="B3883" s="20"/>
      <c r="C3883" s="20"/>
      <c r="D3883" s="19"/>
      <c r="E3883" s="19"/>
      <c r="F3883" s="17"/>
      <c r="G3883" s="20"/>
      <c r="H3883" s="18"/>
      <c r="I3883" s="18"/>
    </row>
    <row r="3884" ht="15">
      <c r="A3884" s="20"/>
      <c r="B3884" s="20"/>
      <c r="C3884" s="20"/>
      <c r="D3884" s="19"/>
      <c r="E3884" s="19"/>
      <c r="F3884" s="17"/>
      <c r="G3884" s="20"/>
      <c r="H3884" s="18"/>
      <c r="I3884" s="18"/>
    </row>
    <row r="3885" ht="15">
      <c r="A3885" s="20"/>
      <c r="B3885" s="20"/>
      <c r="C3885" s="20"/>
      <c r="D3885" s="19"/>
      <c r="E3885" s="19"/>
      <c r="F3885" s="17"/>
      <c r="G3885" s="20"/>
      <c r="H3885" s="18"/>
      <c r="I3885" s="18"/>
    </row>
    <row r="3886" ht="15">
      <c r="A3886" s="20"/>
      <c r="B3886" s="20"/>
      <c r="C3886" s="20"/>
      <c r="D3886" s="19"/>
      <c r="E3886" s="19"/>
      <c r="F3886" s="17"/>
      <c r="G3886" s="20"/>
      <c r="H3886" s="18"/>
      <c r="I3886" s="18"/>
    </row>
    <row r="3887" ht="15">
      <c r="A3887" s="20"/>
      <c r="B3887" s="20"/>
      <c r="C3887" s="20"/>
      <c r="D3887" s="19"/>
      <c r="E3887" s="19"/>
      <c r="F3887" s="17"/>
      <c r="G3887" s="20"/>
      <c r="H3887" s="18"/>
      <c r="I3887" s="18"/>
    </row>
    <row r="3888" ht="15">
      <c r="A3888" s="20"/>
      <c r="B3888" s="20"/>
      <c r="C3888" s="20"/>
      <c r="D3888" s="19"/>
      <c r="E3888" s="19"/>
      <c r="F3888" s="17"/>
      <c r="G3888" s="20"/>
      <c r="H3888" s="18"/>
      <c r="I3888" s="18"/>
    </row>
    <row r="3889" ht="15">
      <c r="A3889" s="20"/>
      <c r="B3889" s="20"/>
      <c r="C3889" s="20"/>
      <c r="D3889" s="19"/>
      <c r="E3889" s="19"/>
      <c r="F3889" s="17"/>
      <c r="G3889" s="20"/>
      <c r="H3889" s="18"/>
      <c r="I3889" s="18"/>
    </row>
    <row r="3890" ht="15">
      <c r="A3890" s="20"/>
      <c r="B3890" s="20"/>
      <c r="C3890" s="20"/>
      <c r="D3890" s="19"/>
      <c r="E3890" s="19"/>
      <c r="F3890" s="17"/>
      <c r="G3890" s="20"/>
      <c r="H3890" s="18"/>
      <c r="I3890" s="18"/>
    </row>
    <row r="3891" ht="15">
      <c r="A3891" s="20"/>
      <c r="B3891" s="20"/>
      <c r="C3891" s="20"/>
      <c r="D3891" s="19"/>
      <c r="E3891" s="19"/>
      <c r="F3891" s="17"/>
      <c r="G3891" s="20"/>
      <c r="H3891" s="18"/>
      <c r="I3891" s="18"/>
    </row>
    <row r="3892" ht="15">
      <c r="A3892" s="20"/>
      <c r="B3892" s="20"/>
      <c r="C3892" s="20"/>
      <c r="D3892" s="19"/>
      <c r="E3892" s="19"/>
      <c r="F3892" s="17"/>
      <c r="G3892" s="20"/>
      <c r="H3892" s="18"/>
      <c r="I3892" s="18"/>
    </row>
    <row r="3893" ht="15">
      <c r="A3893" s="20"/>
      <c r="B3893" s="20"/>
      <c r="C3893" s="20"/>
      <c r="D3893" s="19"/>
      <c r="E3893" s="19"/>
      <c r="F3893" s="17"/>
      <c r="G3893" s="20"/>
      <c r="H3893" s="18"/>
      <c r="I3893" s="18"/>
    </row>
    <row r="3894" ht="15">
      <c r="A3894" s="20"/>
      <c r="B3894" s="20"/>
      <c r="C3894" s="20"/>
      <c r="D3894" s="19"/>
      <c r="E3894" s="19"/>
      <c r="F3894" s="17"/>
      <c r="G3894" s="20"/>
      <c r="H3894" s="18"/>
      <c r="I3894" s="18"/>
    </row>
    <row r="3895" ht="15">
      <c r="A3895" s="20"/>
      <c r="B3895" s="20"/>
      <c r="C3895" s="20"/>
      <c r="D3895" s="19"/>
      <c r="E3895" s="19"/>
      <c r="F3895" s="17"/>
      <c r="G3895" s="20"/>
      <c r="H3895" s="18"/>
      <c r="I3895" s="18"/>
    </row>
    <row r="3896" ht="15">
      <c r="A3896" s="20"/>
      <c r="B3896" s="20"/>
      <c r="C3896" s="20"/>
      <c r="D3896" s="19"/>
      <c r="E3896" s="19"/>
      <c r="F3896" s="17"/>
      <c r="G3896" s="20"/>
      <c r="H3896" s="18"/>
      <c r="I3896" s="18"/>
    </row>
    <row r="3897" ht="15">
      <c r="A3897" s="20"/>
      <c r="B3897" s="20"/>
      <c r="C3897" s="20"/>
      <c r="D3897" s="19"/>
      <c r="E3897" s="19"/>
      <c r="F3897" s="17"/>
      <c r="G3897" s="20"/>
      <c r="H3897" s="18"/>
      <c r="I3897" s="18"/>
    </row>
    <row r="3898" ht="15">
      <c r="A3898" s="20"/>
      <c r="B3898" s="20"/>
      <c r="C3898" s="20"/>
      <c r="D3898" s="19"/>
      <c r="E3898" s="19"/>
      <c r="F3898" s="17"/>
      <c r="G3898" s="20"/>
      <c r="H3898" s="18"/>
      <c r="I3898" s="18"/>
    </row>
    <row r="3899" ht="15">
      <c r="A3899" s="20"/>
      <c r="B3899" s="20"/>
      <c r="C3899" s="20"/>
      <c r="D3899" s="19"/>
      <c r="E3899" s="19"/>
      <c r="F3899" s="17"/>
      <c r="G3899" s="20"/>
      <c r="H3899" s="18"/>
      <c r="I3899" s="18"/>
    </row>
    <row r="3900" ht="15">
      <c r="A3900" s="20"/>
      <c r="B3900" s="20"/>
      <c r="C3900" s="20"/>
      <c r="D3900" s="19"/>
      <c r="E3900" s="19"/>
      <c r="F3900" s="17"/>
      <c r="G3900" s="20"/>
      <c r="H3900" s="18"/>
      <c r="I3900" s="18"/>
    </row>
    <row r="3901" ht="15">
      <c r="A3901" s="20"/>
      <c r="B3901" s="20"/>
      <c r="C3901" s="20"/>
      <c r="D3901" s="19"/>
      <c r="E3901" s="19"/>
      <c r="F3901" s="17"/>
      <c r="G3901" s="20"/>
      <c r="H3901" s="18"/>
      <c r="I3901" s="18"/>
    </row>
    <row r="3902" ht="15">
      <c r="A3902" s="20"/>
      <c r="B3902" s="20"/>
      <c r="C3902" s="20"/>
      <c r="D3902" s="19"/>
      <c r="E3902" s="19"/>
      <c r="F3902" s="17"/>
      <c r="G3902" s="20"/>
      <c r="H3902" s="18"/>
      <c r="I3902" s="18"/>
    </row>
    <row r="3903" ht="15">
      <c r="A3903" s="20"/>
      <c r="B3903" s="20"/>
      <c r="C3903" s="20"/>
      <c r="D3903" s="19"/>
      <c r="E3903" s="19"/>
      <c r="F3903" s="17"/>
      <c r="G3903" s="20"/>
      <c r="H3903" s="18"/>
      <c r="I3903" s="18"/>
    </row>
    <row r="3904" ht="15">
      <c r="A3904" s="20"/>
      <c r="B3904" s="20"/>
      <c r="C3904" s="20"/>
      <c r="D3904" s="19"/>
      <c r="E3904" s="19"/>
      <c r="F3904" s="17"/>
      <c r="G3904" s="20"/>
      <c r="H3904" s="18"/>
      <c r="I3904" s="18"/>
    </row>
    <row r="3905" ht="15">
      <c r="A3905" s="20"/>
      <c r="B3905" s="20"/>
      <c r="C3905" s="20"/>
      <c r="D3905" s="19"/>
      <c r="E3905" s="19"/>
      <c r="F3905" s="17"/>
      <c r="G3905" s="20"/>
      <c r="H3905" s="18"/>
      <c r="I3905" s="18"/>
    </row>
    <row r="3906" ht="15">
      <c r="A3906" s="20"/>
      <c r="B3906" s="20"/>
      <c r="C3906" s="20"/>
      <c r="D3906" s="19"/>
      <c r="E3906" s="19"/>
      <c r="F3906" s="17"/>
      <c r="G3906" s="20"/>
      <c r="H3906" s="18"/>
      <c r="I3906" s="18"/>
    </row>
    <row r="3907" ht="15">
      <c r="A3907" s="20"/>
      <c r="B3907" s="20"/>
      <c r="C3907" s="20"/>
      <c r="D3907" s="19"/>
      <c r="E3907" s="19"/>
      <c r="F3907" s="17"/>
      <c r="G3907" s="20"/>
      <c r="H3907" s="18"/>
      <c r="I3907" s="18"/>
    </row>
    <row r="3908" ht="15">
      <c r="A3908" s="20"/>
      <c r="B3908" s="20"/>
      <c r="C3908" s="20"/>
      <c r="D3908" s="19"/>
      <c r="E3908" s="19"/>
      <c r="F3908" s="17"/>
      <c r="G3908" s="20"/>
      <c r="H3908" s="18"/>
      <c r="I3908" s="18"/>
    </row>
    <row r="3909" ht="15">
      <c r="A3909" s="20"/>
      <c r="B3909" s="20"/>
      <c r="C3909" s="20"/>
      <c r="D3909" s="19"/>
      <c r="E3909" s="19"/>
      <c r="F3909" s="17"/>
      <c r="G3909" s="20"/>
      <c r="H3909" s="18"/>
      <c r="I3909" s="18"/>
    </row>
    <row r="3910" ht="15">
      <c r="A3910" s="20"/>
      <c r="B3910" s="20"/>
      <c r="C3910" s="20"/>
      <c r="D3910" s="19"/>
      <c r="E3910" s="19"/>
      <c r="F3910" s="17"/>
      <c r="G3910" s="20"/>
      <c r="H3910" s="18"/>
      <c r="I3910" s="18"/>
    </row>
    <row r="3911" ht="15">
      <c r="A3911" s="20"/>
      <c r="B3911" s="20"/>
      <c r="C3911" s="20"/>
      <c r="D3911" s="19"/>
      <c r="E3911" s="19"/>
      <c r="F3911" s="17"/>
      <c r="G3911" s="20"/>
      <c r="H3911" s="18"/>
      <c r="I3911" s="18"/>
    </row>
    <row r="3912" ht="15">
      <c r="A3912" s="20"/>
      <c r="B3912" s="20"/>
      <c r="C3912" s="20"/>
      <c r="D3912" s="19"/>
      <c r="E3912" s="19"/>
      <c r="F3912" s="17"/>
      <c r="G3912" s="20"/>
      <c r="H3912" s="18"/>
      <c r="I3912" s="18"/>
    </row>
    <row r="3913" ht="15">
      <c r="A3913" s="20"/>
      <c r="B3913" s="20"/>
      <c r="C3913" s="20"/>
      <c r="D3913" s="19"/>
      <c r="E3913" s="19"/>
      <c r="F3913" s="17"/>
      <c r="G3913" s="20"/>
      <c r="H3913" s="18"/>
      <c r="I3913" s="18"/>
    </row>
    <row r="3914" ht="15">
      <c r="A3914" s="20"/>
      <c r="B3914" s="20"/>
      <c r="C3914" s="20"/>
      <c r="D3914" s="19"/>
      <c r="E3914" s="19"/>
      <c r="F3914" s="17"/>
      <c r="G3914" s="20"/>
      <c r="H3914" s="18"/>
      <c r="I3914" s="18"/>
    </row>
    <row r="3915" ht="15">
      <c r="A3915" s="20"/>
      <c r="B3915" s="20"/>
      <c r="C3915" s="20"/>
      <c r="D3915" s="19"/>
      <c r="E3915" s="19"/>
      <c r="F3915" s="17"/>
      <c r="G3915" s="20"/>
      <c r="H3915" s="18"/>
      <c r="I3915" s="18"/>
    </row>
    <row r="3916" ht="15">
      <c r="A3916" s="20"/>
      <c r="B3916" s="20"/>
      <c r="C3916" s="20"/>
      <c r="D3916" s="19"/>
      <c r="E3916" s="19"/>
      <c r="F3916" s="17"/>
      <c r="G3916" s="20"/>
      <c r="H3916" s="18"/>
      <c r="I3916" s="18"/>
    </row>
    <row r="3917" ht="15">
      <c r="A3917" s="20"/>
      <c r="B3917" s="20"/>
      <c r="C3917" s="20"/>
      <c r="D3917" s="19"/>
      <c r="E3917" s="19"/>
      <c r="F3917" s="17"/>
      <c r="G3917" s="20"/>
      <c r="H3917" s="18"/>
      <c r="I3917" s="18"/>
    </row>
    <row r="3918" ht="15">
      <c r="A3918" s="20"/>
      <c r="B3918" s="20"/>
      <c r="C3918" s="20"/>
      <c r="D3918" s="19"/>
      <c r="E3918" s="19"/>
      <c r="F3918" s="17"/>
      <c r="G3918" s="20"/>
      <c r="H3918" s="18"/>
      <c r="I3918" s="18"/>
    </row>
    <row r="3919" ht="15">
      <c r="A3919" s="20"/>
      <c r="B3919" s="20"/>
      <c r="C3919" s="20"/>
      <c r="D3919" s="19"/>
      <c r="E3919" s="19"/>
      <c r="F3919" s="17"/>
      <c r="G3919" s="20"/>
    </row>
    <row r="3920" ht="15">
      <c r="A3920" s="20"/>
      <c r="B3920" s="20"/>
      <c r="C3920" s="20"/>
      <c r="D3920" s="19"/>
      <c r="E3920" s="19"/>
      <c r="F3920" s="17"/>
      <c r="G3920" s="20"/>
    </row>
    <row r="3921" ht="15">
      <c r="A3921" s="20"/>
      <c r="B3921" s="20"/>
      <c r="C3921" s="20"/>
      <c r="D3921" s="19"/>
      <c r="E3921" s="19"/>
      <c r="F3921" s="17"/>
      <c r="G3921" s="20"/>
    </row>
    <row r="3922" ht="15">
      <c r="A3922" s="20"/>
      <c r="B3922" s="20"/>
      <c r="C3922" s="20"/>
      <c r="D3922" s="19"/>
      <c r="E3922" s="19"/>
      <c r="F3922" s="17"/>
      <c r="G3922" s="20"/>
    </row>
    <row r="3923" ht="15">
      <c r="A3923" s="20"/>
      <c r="B3923" s="20"/>
      <c r="C3923" s="20"/>
      <c r="D3923" s="21"/>
      <c r="E3923" s="21"/>
      <c r="F3923" s="17"/>
      <c r="G3923" s="20"/>
    </row>
    <row r="3924" ht="15">
      <c r="A3924" s="20"/>
      <c r="B3924" s="20"/>
      <c r="C3924" s="20"/>
      <c r="D3924" s="21"/>
      <c r="E3924" s="21"/>
      <c r="F3924" s="17"/>
      <c r="G3924" s="20"/>
    </row>
    <row r="3925" ht="15">
      <c r="A3925" s="20"/>
      <c r="B3925" s="20"/>
      <c r="C3925" s="20"/>
      <c r="D3925" s="21"/>
      <c r="E3925" s="21"/>
      <c r="F3925" s="17"/>
      <c r="G3925" s="20"/>
    </row>
    <row r="3926" ht="15">
      <c r="A3926" s="20"/>
      <c r="B3926" s="20"/>
      <c r="C3926" s="20"/>
      <c r="D3926" s="21"/>
      <c r="E3926" s="21"/>
      <c r="F3926" s="17"/>
      <c r="G3926" s="20"/>
    </row>
    <row r="3927" ht="15">
      <c r="A3927" s="20"/>
      <c r="B3927" s="20"/>
      <c r="C3927" s="20"/>
      <c r="D3927" s="21"/>
      <c r="E3927" s="21"/>
      <c r="F3927" s="17"/>
      <c r="G3927" s="20"/>
    </row>
    <row r="3928" ht="15">
      <c r="A3928" s="20"/>
      <c r="B3928" s="20"/>
      <c r="C3928" s="20"/>
      <c r="D3928" s="21"/>
      <c r="E3928" s="21"/>
      <c r="F3928" s="17"/>
      <c r="G3928" s="20"/>
    </row>
    <row r="3929" ht="15">
      <c r="A3929" s="20"/>
      <c r="B3929" s="20"/>
      <c r="C3929" s="20"/>
      <c r="D3929" s="21"/>
      <c r="E3929" s="21"/>
      <c r="F3929" s="17"/>
      <c r="G3929" s="20"/>
    </row>
    <row r="3930" ht="15">
      <c r="A3930" s="20"/>
      <c r="B3930" s="20"/>
      <c r="C3930" s="20"/>
      <c r="D3930" s="21"/>
      <c r="E3930" s="21"/>
      <c r="F3930" s="17"/>
      <c r="G3930" s="20"/>
    </row>
    <row r="3931" ht="15">
      <c r="A3931" s="20"/>
      <c r="B3931" s="20"/>
      <c r="C3931" s="20"/>
      <c r="D3931" s="21"/>
      <c r="E3931" s="21"/>
      <c r="F3931" s="17"/>
      <c r="G3931" s="20"/>
    </row>
    <row r="3932" ht="15">
      <c r="A3932" s="20"/>
      <c r="B3932" s="20"/>
      <c r="C3932" s="20"/>
      <c r="D3932" s="21"/>
      <c r="E3932" s="21"/>
      <c r="F3932" s="17"/>
      <c r="G3932" s="20"/>
    </row>
    <row r="3933" ht="15">
      <c r="A3933" s="20"/>
      <c r="B3933" s="20"/>
      <c r="C3933" s="20"/>
      <c r="D3933" s="21"/>
      <c r="E3933" s="21"/>
      <c r="F3933" s="17"/>
      <c r="G3933" s="20"/>
    </row>
    <row r="3934" ht="15">
      <c r="A3934" s="20"/>
      <c r="B3934" s="20"/>
      <c r="C3934" s="20"/>
      <c r="D3934" s="21"/>
      <c r="E3934" s="21"/>
      <c r="F3934" s="17"/>
      <c r="G3934" s="20"/>
    </row>
    <row r="3935" ht="15">
      <c r="A3935" s="20"/>
      <c r="B3935" s="20"/>
      <c r="C3935" s="20"/>
      <c r="D3935" s="21"/>
      <c r="E3935" s="21"/>
      <c r="F3935" s="17"/>
      <c r="G3935" s="20"/>
    </row>
    <row r="3936" ht="15">
      <c r="A3936" s="20"/>
      <c r="B3936" s="20"/>
      <c r="C3936" s="20"/>
      <c r="D3936" s="21"/>
      <c r="E3936" s="21"/>
      <c r="F3936" s="17"/>
      <c r="G3936" s="20"/>
    </row>
    <row r="3937" ht="15">
      <c r="A3937" s="20"/>
      <c r="B3937" s="20"/>
      <c r="C3937" s="20"/>
      <c r="D3937" s="21"/>
      <c r="E3937" s="21"/>
      <c r="F3937" s="17"/>
      <c r="G3937" s="20"/>
    </row>
    <row r="3938" ht="15">
      <c r="A3938" s="20"/>
      <c r="B3938" s="20"/>
      <c r="C3938" s="20"/>
      <c r="D3938" s="21"/>
      <c r="E3938" s="21"/>
      <c r="F3938" s="17"/>
      <c r="G3938" s="20"/>
    </row>
    <row r="3939" ht="15">
      <c r="A3939" s="20"/>
      <c r="B3939" s="20"/>
      <c r="C3939" s="20"/>
      <c r="D3939" s="21"/>
      <c r="E3939" s="21"/>
      <c r="F3939" s="17"/>
      <c r="G3939" s="20"/>
    </row>
    <row r="3940" ht="15">
      <c r="A3940" s="20"/>
      <c r="B3940" s="20"/>
      <c r="C3940" s="20"/>
      <c r="D3940" s="21"/>
      <c r="E3940" s="21"/>
      <c r="F3940" s="17"/>
      <c r="G3940" s="20"/>
    </row>
    <row r="3941" ht="15">
      <c r="A3941" s="20"/>
      <c r="B3941" s="20"/>
      <c r="C3941" s="20"/>
      <c r="D3941" s="21"/>
      <c r="E3941" s="21"/>
      <c r="F3941" s="17"/>
      <c r="G3941" s="20"/>
    </row>
    <row r="3942" ht="15">
      <c r="A3942" s="20"/>
      <c r="B3942" s="20"/>
      <c r="C3942" s="20"/>
      <c r="D3942" s="21"/>
      <c r="E3942" s="21"/>
      <c r="F3942" s="17"/>
      <c r="G3942" s="20"/>
    </row>
    <row r="3943" ht="15">
      <c r="A3943" s="20"/>
      <c r="B3943" s="20"/>
      <c r="C3943" s="20"/>
      <c r="D3943" s="21"/>
      <c r="E3943" s="21"/>
      <c r="F3943" s="17"/>
      <c r="G3943" s="20"/>
    </row>
    <row r="3944" ht="15">
      <c r="A3944" s="20"/>
      <c r="B3944" s="20"/>
      <c r="C3944" s="20"/>
      <c r="D3944" s="21"/>
      <c r="E3944" s="21"/>
      <c r="F3944" s="17"/>
      <c r="G3944" s="20"/>
    </row>
    <row r="3945" ht="15">
      <c r="A3945" s="20"/>
      <c r="B3945" s="20"/>
      <c r="C3945" s="20"/>
      <c r="D3945" s="21"/>
      <c r="E3945" s="21"/>
      <c r="F3945" s="17"/>
      <c r="G3945" s="20"/>
    </row>
    <row r="3946" ht="15">
      <c r="A3946" s="20"/>
      <c r="B3946" s="20"/>
      <c r="C3946" s="20"/>
      <c r="D3946" s="21"/>
      <c r="E3946" s="21"/>
      <c r="F3946" s="17"/>
      <c r="G3946" s="20"/>
    </row>
    <row r="3947" ht="15">
      <c r="A3947" s="20"/>
      <c r="B3947" s="20"/>
      <c r="C3947" s="20"/>
      <c r="D3947" s="21"/>
      <c r="E3947" s="21"/>
      <c r="F3947" s="17"/>
      <c r="G3947" s="20"/>
    </row>
    <row r="3948" ht="15">
      <c r="A3948" s="20"/>
      <c r="B3948" s="20"/>
      <c r="C3948" s="20"/>
      <c r="D3948" s="21"/>
      <c r="E3948" s="21"/>
      <c r="F3948" s="17"/>
      <c r="G3948" s="20"/>
    </row>
    <row r="3949" ht="15">
      <c r="A3949" s="20"/>
      <c r="B3949" s="20"/>
      <c r="C3949" s="20"/>
      <c r="D3949" s="21"/>
      <c r="E3949" s="21"/>
      <c r="F3949" s="17"/>
      <c r="G3949" s="20"/>
    </row>
    <row r="3950" ht="15">
      <c r="A3950" s="20"/>
      <c r="B3950" s="20"/>
      <c r="C3950" s="20"/>
      <c r="D3950" s="21"/>
      <c r="E3950" s="21"/>
      <c r="F3950" s="17"/>
      <c r="G3950" s="20"/>
    </row>
    <row r="3951" ht="15">
      <c r="A3951" s="20"/>
      <c r="B3951" s="20"/>
      <c r="C3951" s="20"/>
      <c r="D3951" s="21"/>
      <c r="E3951" s="21"/>
      <c r="F3951" s="17"/>
      <c r="G3951" s="20"/>
    </row>
    <row r="3952" ht="15">
      <c r="A3952" s="20"/>
      <c r="B3952" s="20"/>
      <c r="C3952" s="20"/>
      <c r="D3952" s="21"/>
      <c r="E3952" s="21"/>
      <c r="F3952" s="17"/>
      <c r="G3952" s="20"/>
    </row>
    <row r="3953" ht="15">
      <c r="A3953" s="20"/>
      <c r="B3953" s="20"/>
      <c r="C3953" s="20"/>
      <c r="D3953" s="21"/>
      <c r="E3953" s="21"/>
      <c r="F3953" s="17"/>
      <c r="G3953" s="20"/>
    </row>
    <row r="3954" ht="15">
      <c r="A3954" s="20"/>
      <c r="B3954" s="20"/>
      <c r="C3954" s="20"/>
      <c r="D3954" s="21"/>
      <c r="E3954" s="21"/>
      <c r="F3954" s="17"/>
      <c r="G3954" s="20"/>
    </row>
    <row r="3955" ht="15">
      <c r="A3955" s="20"/>
      <c r="B3955" s="20"/>
      <c r="C3955" s="20"/>
      <c r="D3955" s="21"/>
      <c r="E3955" s="21"/>
      <c r="F3955" s="17"/>
      <c r="G3955" s="20"/>
    </row>
    <row r="3956" ht="15">
      <c r="A3956" s="20"/>
      <c r="B3956" s="20"/>
      <c r="C3956" s="20"/>
      <c r="D3956" s="21"/>
      <c r="E3956" s="21"/>
      <c r="F3956" s="17"/>
      <c r="G3956" s="20"/>
    </row>
    <row r="3957" ht="15">
      <c r="A3957" s="20"/>
      <c r="B3957" s="20"/>
      <c r="C3957" s="20"/>
      <c r="D3957" s="21"/>
      <c r="E3957" s="21"/>
      <c r="F3957" s="17"/>
      <c r="G3957" s="20"/>
    </row>
    <row r="3958" ht="15">
      <c r="A3958" s="20"/>
      <c r="B3958" s="20"/>
      <c r="C3958" s="20"/>
      <c r="D3958" s="21"/>
      <c r="E3958" s="21"/>
      <c r="F3958" s="17"/>
      <c r="G3958" s="20"/>
    </row>
    <row r="3959" ht="15">
      <c r="A3959" s="20"/>
      <c r="B3959" s="20"/>
      <c r="C3959" s="20"/>
      <c r="D3959" s="21"/>
      <c r="E3959" s="21"/>
      <c r="F3959" s="17"/>
      <c r="G3959" s="20"/>
    </row>
    <row r="3960" ht="15">
      <c r="A3960" s="20"/>
      <c r="B3960" s="20"/>
      <c r="C3960" s="20"/>
      <c r="D3960" s="21"/>
      <c r="E3960" s="21"/>
      <c r="F3960" s="17"/>
      <c r="G3960" s="20"/>
    </row>
    <row r="3961" ht="15">
      <c r="A3961" s="20"/>
      <c r="B3961" s="20"/>
      <c r="C3961" s="20"/>
      <c r="D3961" s="21"/>
      <c r="E3961" s="21"/>
      <c r="F3961" s="17"/>
      <c r="G3961" s="20"/>
    </row>
    <row r="3962" ht="15">
      <c r="A3962" s="20"/>
      <c r="B3962" s="20"/>
      <c r="C3962" s="20"/>
      <c r="D3962" s="21"/>
      <c r="E3962" s="21"/>
      <c r="F3962" s="17"/>
      <c r="G3962" s="20"/>
    </row>
    <row r="3963" ht="15">
      <c r="A3963" s="20"/>
      <c r="B3963" s="20"/>
      <c r="C3963" s="20"/>
      <c r="D3963" s="21"/>
      <c r="E3963" s="21"/>
      <c r="F3963" s="17"/>
      <c r="G3963" s="20"/>
    </row>
    <row r="3964" ht="15">
      <c r="A3964" s="20"/>
      <c r="B3964" s="20"/>
      <c r="C3964" s="20"/>
      <c r="D3964" s="21"/>
      <c r="E3964" s="21"/>
      <c r="F3964" s="17"/>
      <c r="G3964" s="20"/>
    </row>
    <row r="3965" ht="15">
      <c r="A3965" s="20"/>
      <c r="B3965" s="20"/>
      <c r="C3965" s="20"/>
      <c r="D3965" s="21"/>
      <c r="E3965" s="21"/>
      <c r="F3965" s="17"/>
      <c r="G3965" s="20"/>
    </row>
    <row r="3966" ht="15">
      <c r="A3966" s="20"/>
      <c r="B3966" s="20"/>
      <c r="C3966" s="20"/>
      <c r="D3966" s="21"/>
      <c r="E3966" s="21"/>
      <c r="F3966" s="17"/>
      <c r="G3966" s="20"/>
    </row>
    <row r="3967" ht="15">
      <c r="A3967" s="20"/>
      <c r="B3967" s="20"/>
      <c r="C3967" s="20"/>
      <c r="D3967" s="21"/>
      <c r="E3967" s="21"/>
      <c r="F3967" s="17"/>
      <c r="G3967" s="20"/>
    </row>
    <row r="3968" ht="15">
      <c r="A3968" s="20"/>
      <c r="B3968" s="20"/>
      <c r="C3968" s="20"/>
      <c r="D3968" s="21"/>
      <c r="E3968" s="21"/>
      <c r="F3968" s="17"/>
      <c r="G3968" s="20"/>
    </row>
    <row r="3969" ht="15">
      <c r="A3969" s="20"/>
      <c r="B3969" s="20"/>
      <c r="C3969" s="20"/>
      <c r="D3969" s="21"/>
      <c r="E3969" s="21"/>
      <c r="F3969" s="17"/>
      <c r="G3969" s="20"/>
    </row>
    <row r="3970" ht="15">
      <c r="A3970" s="20"/>
      <c r="B3970" s="20"/>
      <c r="C3970" s="20"/>
      <c r="D3970" s="21"/>
      <c r="E3970" s="21"/>
      <c r="F3970" s="17"/>
      <c r="G3970" s="20"/>
    </row>
    <row r="3971" ht="15">
      <c r="A3971" s="20"/>
      <c r="B3971" s="20"/>
      <c r="C3971" s="20"/>
      <c r="D3971" s="21"/>
      <c r="E3971" s="21"/>
      <c r="F3971" s="17"/>
      <c r="G3971" s="20"/>
    </row>
    <row r="3972" ht="15">
      <c r="A3972" s="20"/>
      <c r="B3972" s="20"/>
      <c r="C3972" s="20"/>
      <c r="D3972" s="21"/>
      <c r="E3972" s="21"/>
      <c r="F3972" s="17"/>
      <c r="G3972" s="20"/>
    </row>
    <row r="3973" ht="15">
      <c r="A3973" s="20"/>
      <c r="B3973" s="20"/>
      <c r="C3973" s="20"/>
      <c r="D3973" s="21"/>
      <c r="E3973" s="21"/>
      <c r="F3973" s="17"/>
      <c r="G3973" s="20"/>
    </row>
    <row r="3974" ht="15">
      <c r="A3974" s="20"/>
      <c r="B3974" s="20"/>
      <c r="C3974" s="20"/>
      <c r="D3974" s="21"/>
      <c r="E3974" s="21"/>
      <c r="F3974" s="17"/>
      <c r="G3974" s="20"/>
    </row>
    <row r="3975" ht="15">
      <c r="A3975" s="20"/>
      <c r="B3975" s="20"/>
      <c r="C3975" s="20"/>
      <c r="D3975" s="21"/>
      <c r="E3975" s="21"/>
      <c r="F3975" s="17"/>
      <c r="G3975" s="20"/>
    </row>
    <row r="3976" ht="15">
      <c r="A3976" s="20"/>
      <c r="B3976" s="20"/>
      <c r="C3976" s="20"/>
      <c r="D3976" s="21"/>
      <c r="E3976" s="21"/>
      <c r="F3976" s="17"/>
      <c r="G3976" s="20"/>
    </row>
    <row r="3977" ht="15">
      <c r="A3977" s="20"/>
      <c r="B3977" s="20"/>
      <c r="C3977" s="20"/>
      <c r="D3977" s="21"/>
      <c r="E3977" s="21"/>
      <c r="F3977" s="17"/>
      <c r="G3977" s="20"/>
    </row>
    <row r="3978" ht="15">
      <c r="A3978" s="20"/>
      <c r="B3978" s="20"/>
      <c r="C3978" s="20"/>
      <c r="D3978" s="21"/>
      <c r="E3978" s="21"/>
      <c r="F3978" s="17"/>
      <c r="G3978" s="20"/>
    </row>
    <row r="3979" ht="15">
      <c r="A3979" s="20"/>
      <c r="B3979" s="20"/>
      <c r="C3979" s="20"/>
      <c r="D3979" s="21"/>
      <c r="E3979" s="21"/>
      <c r="F3979" s="17"/>
      <c r="G3979" s="20"/>
    </row>
    <row r="3980" ht="15">
      <c r="A3980" s="20"/>
      <c r="B3980" s="20"/>
      <c r="C3980" s="20"/>
      <c r="D3980" s="21"/>
      <c r="E3980" s="21"/>
      <c r="F3980" s="17"/>
      <c r="G3980" s="20"/>
    </row>
    <row r="3981" ht="15">
      <c r="A3981" s="20"/>
      <c r="B3981" s="20"/>
      <c r="C3981" s="20"/>
      <c r="D3981" s="21"/>
      <c r="E3981" s="21"/>
      <c r="F3981" s="17"/>
      <c r="G3981" s="20"/>
    </row>
    <row r="3982" ht="15">
      <c r="A3982" s="20"/>
      <c r="B3982" s="20"/>
      <c r="C3982" s="20"/>
      <c r="D3982" s="21"/>
      <c r="E3982" s="21"/>
      <c r="F3982" s="17"/>
      <c r="G3982" s="20"/>
    </row>
    <row r="3983" ht="15">
      <c r="A3983" s="20"/>
      <c r="B3983" s="20"/>
      <c r="C3983" s="20"/>
      <c r="D3983" s="21"/>
      <c r="E3983" s="21"/>
      <c r="F3983" s="17"/>
      <c r="G3983" s="20"/>
    </row>
    <row r="3984" ht="15">
      <c r="A3984" s="20"/>
      <c r="B3984" s="20"/>
      <c r="C3984" s="20"/>
      <c r="D3984" s="21"/>
      <c r="E3984" s="21"/>
      <c r="F3984" s="17"/>
      <c r="G3984" s="20"/>
    </row>
    <row r="3985" ht="15">
      <c r="A3985" s="20"/>
      <c r="B3985" s="20"/>
      <c r="C3985" s="20"/>
      <c r="D3985" s="21"/>
      <c r="E3985" s="21"/>
      <c r="F3985" s="17"/>
      <c r="G3985" s="20"/>
    </row>
    <row r="3986" ht="15">
      <c r="A3986" s="20"/>
      <c r="B3986" s="20"/>
      <c r="C3986" s="20"/>
      <c r="D3986" s="21"/>
      <c r="E3986" s="21"/>
      <c r="F3986" s="17"/>
      <c r="G3986" s="20"/>
    </row>
    <row r="3987" ht="15">
      <c r="A3987" s="20"/>
      <c r="B3987" s="20"/>
      <c r="C3987" s="20"/>
      <c r="D3987" s="21"/>
      <c r="E3987" s="21"/>
      <c r="F3987" s="17"/>
      <c r="G3987" s="20"/>
    </row>
    <row r="3988" ht="15">
      <c r="A3988" s="20"/>
      <c r="B3988" s="20"/>
      <c r="C3988" s="20"/>
      <c r="D3988" s="21"/>
      <c r="E3988" s="21"/>
      <c r="F3988" s="17"/>
      <c r="G3988" s="20"/>
    </row>
    <row r="3989" ht="15">
      <c r="A3989" s="20"/>
      <c r="B3989" s="20"/>
      <c r="C3989" s="20"/>
      <c r="D3989" s="21"/>
      <c r="E3989" s="21"/>
      <c r="F3989" s="17"/>
      <c r="G3989" s="20"/>
    </row>
    <row r="3990" ht="15">
      <c r="A3990" s="20"/>
      <c r="B3990" s="20"/>
      <c r="C3990" s="20"/>
      <c r="D3990" s="21"/>
      <c r="E3990" s="21"/>
      <c r="F3990" s="17"/>
      <c r="G3990" s="20"/>
    </row>
    <row r="3991" ht="15">
      <c r="A3991" s="20"/>
      <c r="B3991" s="20"/>
      <c r="C3991" s="20"/>
      <c r="D3991" s="21"/>
      <c r="E3991" s="21"/>
      <c r="F3991" s="17"/>
      <c r="G3991" s="20"/>
    </row>
    <row r="3992" ht="15">
      <c r="A3992" s="20"/>
      <c r="B3992" s="20"/>
      <c r="C3992" s="20"/>
      <c r="D3992" s="21"/>
      <c r="E3992" s="21"/>
      <c r="F3992" s="17"/>
      <c r="G3992" s="20"/>
    </row>
    <row r="3993" ht="15">
      <c r="A3993" s="20"/>
      <c r="B3993" s="20"/>
      <c r="C3993" s="20"/>
      <c r="D3993" s="21"/>
      <c r="E3993" s="21"/>
      <c r="F3993" s="17"/>
      <c r="G3993" s="20"/>
    </row>
    <row r="3994" ht="15">
      <c r="A3994" s="20"/>
      <c r="B3994" s="20"/>
      <c r="C3994" s="20"/>
      <c r="D3994" s="21"/>
      <c r="E3994" s="21"/>
      <c r="F3994" s="17"/>
      <c r="G3994" s="20"/>
    </row>
    <row r="3995" ht="15">
      <c r="A3995" s="20"/>
      <c r="B3995" s="20"/>
      <c r="C3995" s="20"/>
      <c r="D3995" s="21"/>
      <c r="E3995" s="21"/>
      <c r="F3995" s="17"/>
      <c r="G3995" s="20"/>
    </row>
    <row r="3996" ht="15">
      <c r="A3996" s="20"/>
      <c r="B3996" s="20"/>
      <c r="C3996" s="20"/>
      <c r="D3996" s="21"/>
      <c r="E3996" s="21"/>
      <c r="F3996" s="17"/>
      <c r="G3996" s="20"/>
    </row>
    <row r="3997" ht="15">
      <c r="A3997" s="20"/>
      <c r="B3997" s="20"/>
      <c r="C3997" s="20"/>
      <c r="D3997" s="21"/>
      <c r="E3997" s="21"/>
      <c r="F3997" s="17"/>
      <c r="G3997" s="20"/>
    </row>
    <row r="3998" ht="15">
      <c r="A3998" s="20"/>
      <c r="B3998" s="20"/>
      <c r="C3998" s="20"/>
      <c r="D3998" s="21"/>
      <c r="E3998" s="21"/>
      <c r="F3998" s="17"/>
      <c r="G3998" s="20"/>
    </row>
    <row r="3999" ht="15">
      <c r="A3999" s="20"/>
      <c r="B3999" s="20"/>
      <c r="C3999" s="20"/>
      <c r="D3999" s="21"/>
      <c r="E3999" s="21"/>
      <c r="F3999" s="17"/>
      <c r="G3999" s="20"/>
    </row>
    <row r="4000" ht="15">
      <c r="A4000" s="20"/>
      <c r="B4000" s="20"/>
      <c r="C4000" s="20"/>
      <c r="D4000" s="21"/>
      <c r="E4000" s="21"/>
      <c r="F4000" s="17"/>
      <c r="G4000" s="20"/>
    </row>
    <row r="4001" ht="15">
      <c r="A4001" s="20"/>
      <c r="B4001" s="20"/>
      <c r="C4001" s="20"/>
      <c r="D4001" s="21"/>
      <c r="E4001" s="21"/>
      <c r="F4001" s="17"/>
      <c r="G4001" s="20"/>
    </row>
    <row r="4002" ht="15">
      <c r="A4002" s="20"/>
      <c r="B4002" s="20"/>
      <c r="C4002" s="20"/>
      <c r="D4002" s="21"/>
      <c r="E4002" s="21"/>
      <c r="F4002" s="17"/>
      <c r="G4002" s="20"/>
    </row>
    <row r="4003" ht="15">
      <c r="A4003" s="20"/>
      <c r="B4003" s="20"/>
      <c r="C4003" s="20"/>
      <c r="D4003" s="21"/>
      <c r="E4003" s="21"/>
      <c r="F4003" s="17"/>
      <c r="G4003" s="20"/>
    </row>
    <row r="4004" ht="15">
      <c r="A4004" s="20"/>
      <c r="B4004" s="20"/>
      <c r="C4004" s="20"/>
      <c r="D4004" s="21"/>
      <c r="E4004" s="21"/>
      <c r="F4004" s="17"/>
      <c r="G4004" s="20"/>
    </row>
    <row r="4005" ht="15">
      <c r="A4005" s="20"/>
      <c r="B4005" s="20"/>
      <c r="C4005" s="20"/>
      <c r="D4005" s="21"/>
      <c r="E4005" s="21"/>
      <c r="F4005" s="17"/>
      <c r="G4005" s="20"/>
    </row>
    <row r="4006" ht="15">
      <c r="A4006" s="20"/>
      <c r="B4006" s="20"/>
      <c r="C4006" s="20"/>
      <c r="D4006" s="21"/>
      <c r="E4006" s="21"/>
      <c r="F4006" s="17"/>
      <c r="G4006" s="20"/>
    </row>
    <row r="4007" ht="15">
      <c r="A4007" s="20"/>
      <c r="B4007" s="20"/>
      <c r="C4007" s="20"/>
      <c r="D4007" s="21"/>
      <c r="E4007" s="21"/>
      <c r="F4007" s="17"/>
      <c r="G4007" s="20"/>
    </row>
    <row r="4008" ht="15">
      <c r="A4008" s="20"/>
      <c r="B4008" s="20"/>
      <c r="C4008" s="20"/>
      <c r="D4008" s="21"/>
      <c r="E4008" s="21"/>
      <c r="F4008" s="17"/>
      <c r="G4008" s="20"/>
    </row>
    <row r="4009" ht="15">
      <c r="A4009" s="20"/>
      <c r="B4009" s="20"/>
      <c r="C4009" s="20"/>
      <c r="D4009" s="21"/>
      <c r="E4009" s="21"/>
      <c r="F4009" s="17"/>
      <c r="G4009" s="20"/>
    </row>
    <row r="4010" ht="15">
      <c r="A4010" s="20"/>
      <c r="B4010" s="20"/>
      <c r="C4010" s="20"/>
      <c r="D4010" s="21"/>
      <c r="E4010" s="21"/>
      <c r="F4010" s="17"/>
      <c r="G4010" s="20"/>
    </row>
    <row r="4011" ht="15">
      <c r="A4011" s="20"/>
      <c r="B4011" s="20"/>
      <c r="C4011" s="20"/>
      <c r="D4011" s="21"/>
      <c r="E4011" s="21"/>
      <c r="F4011" s="17"/>
      <c r="G4011" s="20"/>
    </row>
    <row r="4012" ht="15">
      <c r="A4012" s="20"/>
      <c r="B4012" s="20"/>
      <c r="C4012" s="20"/>
      <c r="D4012" s="21"/>
      <c r="E4012" s="21"/>
      <c r="F4012" s="17"/>
      <c r="G4012" s="20"/>
    </row>
    <row r="4013" ht="15">
      <c r="A4013" s="20"/>
      <c r="B4013" s="20"/>
      <c r="C4013" s="20"/>
      <c r="D4013" s="21"/>
      <c r="E4013" s="21"/>
      <c r="F4013" s="17"/>
      <c r="G4013" s="20"/>
    </row>
    <row r="4014" ht="15">
      <c r="A4014" s="20"/>
      <c r="B4014" s="20"/>
      <c r="C4014" s="20"/>
      <c r="D4014" s="21"/>
      <c r="E4014" s="21"/>
      <c r="F4014" s="17"/>
      <c r="G4014" s="20"/>
    </row>
    <row r="4015" ht="15">
      <c r="A4015" s="20"/>
      <c r="B4015" s="20"/>
      <c r="C4015" s="20"/>
      <c r="D4015" s="21"/>
      <c r="E4015" s="21"/>
      <c r="F4015" s="17"/>
      <c r="G4015" s="20"/>
    </row>
    <row r="4016" ht="15">
      <c r="A4016" s="20"/>
      <c r="B4016" s="20"/>
      <c r="C4016" s="20"/>
      <c r="D4016" s="21"/>
      <c r="E4016" s="21"/>
      <c r="F4016" s="17"/>
      <c r="G4016" s="20"/>
    </row>
    <row r="4017" ht="15">
      <c r="A4017" s="20"/>
      <c r="B4017" s="20"/>
      <c r="C4017" s="20"/>
      <c r="D4017" s="21"/>
      <c r="E4017" s="21"/>
      <c r="F4017" s="17"/>
      <c r="G4017" s="20"/>
    </row>
    <row r="4018" ht="15">
      <c r="A4018" s="20"/>
      <c r="B4018" s="20"/>
      <c r="C4018" s="20"/>
      <c r="D4018" s="21"/>
      <c r="E4018" s="21"/>
      <c r="F4018" s="17"/>
      <c r="G4018" s="20"/>
    </row>
    <row r="4019" ht="15">
      <c r="A4019" s="20"/>
      <c r="B4019" s="20"/>
      <c r="C4019" s="20"/>
      <c r="D4019" s="21"/>
      <c r="E4019" s="21"/>
      <c r="F4019" s="17"/>
      <c r="G4019" s="20"/>
    </row>
    <row r="4020" ht="15">
      <c r="A4020" s="20"/>
      <c r="B4020" s="20"/>
      <c r="C4020" s="20"/>
      <c r="D4020" s="21"/>
      <c r="E4020" s="21"/>
      <c r="F4020" s="17"/>
      <c r="G4020" s="20"/>
    </row>
    <row r="4021" ht="15">
      <c r="A4021" s="20"/>
      <c r="B4021" s="20"/>
      <c r="C4021" s="20"/>
      <c r="D4021" s="21"/>
      <c r="E4021" s="21"/>
      <c r="F4021" s="17"/>
      <c r="G4021" s="20"/>
    </row>
    <row r="4022" ht="15">
      <c r="A4022" s="20"/>
      <c r="B4022" s="20"/>
      <c r="C4022" s="20"/>
      <c r="D4022" s="21"/>
      <c r="E4022" s="21"/>
      <c r="F4022" s="17"/>
      <c r="G4022" s="20"/>
    </row>
    <row r="4023" ht="15">
      <c r="A4023" s="20"/>
      <c r="B4023" s="20"/>
      <c r="C4023" s="20"/>
      <c r="D4023" s="21"/>
      <c r="E4023" s="21"/>
      <c r="F4023" s="17"/>
      <c r="G4023" s="20"/>
    </row>
    <row r="4024" ht="15">
      <c r="A4024" s="20"/>
      <c r="B4024" s="20"/>
      <c r="C4024" s="20"/>
      <c r="D4024" s="21"/>
      <c r="E4024" s="21"/>
      <c r="F4024" s="17"/>
      <c r="G4024" s="20"/>
    </row>
    <row r="4025" ht="15">
      <c r="A4025" s="20"/>
      <c r="B4025" s="20"/>
      <c r="C4025" s="20"/>
      <c r="D4025" s="21"/>
      <c r="E4025" s="21"/>
      <c r="F4025" s="17"/>
      <c r="G4025" s="20"/>
    </row>
    <row r="4026" ht="15">
      <c r="A4026" s="20"/>
      <c r="B4026" s="20"/>
      <c r="C4026" s="20"/>
      <c r="D4026" s="21"/>
      <c r="E4026" s="21"/>
      <c r="F4026" s="17"/>
      <c r="G4026" s="20"/>
    </row>
    <row r="4027" ht="15">
      <c r="A4027" s="20"/>
      <c r="B4027" s="20"/>
      <c r="C4027" s="20"/>
      <c r="D4027" s="21"/>
      <c r="E4027" s="21"/>
      <c r="F4027" s="17"/>
      <c r="G4027" s="20"/>
    </row>
    <row r="4028" ht="15">
      <c r="A4028" s="20"/>
      <c r="B4028" s="20"/>
      <c r="C4028" s="20"/>
      <c r="D4028" s="21"/>
      <c r="E4028" s="21"/>
      <c r="F4028" s="17"/>
      <c r="G4028" s="20"/>
    </row>
    <row r="4029" ht="15">
      <c r="A4029" s="20"/>
      <c r="B4029" s="20"/>
      <c r="C4029" s="20"/>
      <c r="D4029" s="21"/>
      <c r="E4029" s="21"/>
      <c r="F4029" s="17"/>
      <c r="G4029" s="20"/>
    </row>
    <row r="4030" ht="15">
      <c r="A4030" s="20"/>
      <c r="B4030" s="20"/>
      <c r="C4030" s="20"/>
      <c r="D4030" s="21"/>
      <c r="E4030" s="21"/>
      <c r="F4030" s="17"/>
      <c r="G4030" s="20"/>
    </row>
    <row r="4031" ht="15">
      <c r="A4031" s="20"/>
      <c r="B4031" s="20"/>
      <c r="C4031" s="20"/>
      <c r="D4031" s="21"/>
      <c r="E4031" s="21"/>
      <c r="F4031" s="17"/>
      <c r="G4031" s="20"/>
    </row>
    <row r="4032" ht="15">
      <c r="A4032" s="20"/>
      <c r="B4032" s="20"/>
      <c r="C4032" s="20"/>
      <c r="D4032" s="21"/>
      <c r="E4032" s="21"/>
      <c r="F4032" s="17"/>
      <c r="G4032" s="20"/>
    </row>
    <row r="4033" ht="15">
      <c r="A4033" s="20"/>
      <c r="B4033" s="20"/>
      <c r="C4033" s="20"/>
      <c r="D4033" s="21"/>
      <c r="E4033" s="21"/>
      <c r="F4033" s="17"/>
      <c r="G4033" s="20"/>
    </row>
    <row r="4034" ht="15">
      <c r="A4034" s="20"/>
      <c r="B4034" s="20"/>
      <c r="C4034" s="20"/>
      <c r="D4034" s="21"/>
      <c r="E4034" s="21"/>
      <c r="F4034" s="17"/>
      <c r="G4034" s="20"/>
    </row>
    <row r="4035" ht="15">
      <c r="A4035" s="20"/>
      <c r="B4035" s="20"/>
      <c r="C4035" s="20"/>
      <c r="D4035" s="21"/>
      <c r="E4035" s="21"/>
      <c r="F4035" s="17"/>
      <c r="G4035" s="20"/>
    </row>
    <row r="4036" ht="15">
      <c r="A4036" s="20"/>
      <c r="B4036" s="20"/>
      <c r="C4036" s="20"/>
      <c r="D4036" s="21"/>
      <c r="E4036" s="21"/>
      <c r="F4036" s="17"/>
      <c r="G4036" s="20"/>
    </row>
    <row r="4037" ht="15">
      <c r="A4037" s="20"/>
      <c r="B4037" s="20"/>
      <c r="C4037" s="20"/>
      <c r="D4037" s="21"/>
      <c r="E4037" s="21"/>
      <c r="F4037" s="17"/>
      <c r="G4037" s="20"/>
    </row>
    <row r="4038" ht="15">
      <c r="A4038" s="20"/>
      <c r="B4038" s="20"/>
      <c r="C4038" s="20"/>
      <c r="D4038" s="21"/>
      <c r="E4038" s="21"/>
      <c r="F4038" s="17"/>
      <c r="G4038" s="20"/>
    </row>
    <row r="4039" ht="15">
      <c r="A4039" s="20"/>
      <c r="B4039" s="20"/>
      <c r="C4039" s="20"/>
      <c r="D4039" s="21"/>
      <c r="E4039" s="21"/>
      <c r="F4039" s="17"/>
      <c r="G4039" s="20"/>
    </row>
    <row r="4040" ht="15">
      <c r="A4040" s="20"/>
      <c r="B4040" s="20"/>
      <c r="C4040" s="20"/>
      <c r="D4040" s="21"/>
      <c r="E4040" s="21"/>
      <c r="F4040" s="17"/>
      <c r="G4040" s="20"/>
    </row>
    <row r="4041" ht="15">
      <c r="A4041" s="20"/>
      <c r="B4041" s="20"/>
      <c r="C4041" s="20"/>
      <c r="D4041" s="21"/>
      <c r="E4041" s="21"/>
      <c r="F4041" s="17"/>
      <c r="G4041" s="20"/>
    </row>
    <row r="4042" ht="15">
      <c r="A4042" s="20"/>
      <c r="B4042" s="20"/>
      <c r="C4042" s="20"/>
      <c r="D4042" s="21"/>
      <c r="E4042" s="21"/>
      <c r="F4042" s="17"/>
      <c r="G4042" s="20"/>
    </row>
    <row r="4043" ht="15">
      <c r="A4043" s="20"/>
      <c r="B4043" s="20"/>
      <c r="C4043" s="20"/>
      <c r="D4043" s="21"/>
      <c r="E4043" s="21"/>
      <c r="F4043" s="17"/>
      <c r="G4043" s="20"/>
    </row>
    <row r="4044" ht="15">
      <c r="A4044" s="20"/>
      <c r="B4044" s="20"/>
      <c r="C4044" s="20"/>
      <c r="D4044" s="21"/>
      <c r="E4044" s="21"/>
      <c r="F4044" s="17"/>
      <c r="G4044" s="20"/>
    </row>
    <row r="4045" ht="15">
      <c r="A4045" s="20"/>
      <c r="B4045" s="20"/>
      <c r="C4045" s="20"/>
      <c r="D4045" s="21"/>
      <c r="E4045" s="21"/>
      <c r="F4045" s="17"/>
      <c r="G4045" s="20"/>
    </row>
    <row r="4046" ht="15">
      <c r="A4046" s="20"/>
      <c r="B4046" s="20"/>
      <c r="C4046" s="20"/>
      <c r="D4046" s="21"/>
      <c r="E4046" s="21"/>
      <c r="F4046" s="17"/>
      <c r="G4046" s="20"/>
    </row>
    <row r="4047" ht="15">
      <c r="A4047" s="20"/>
      <c r="B4047" s="20"/>
      <c r="C4047" s="20"/>
      <c r="D4047" s="21"/>
      <c r="E4047" s="21"/>
      <c r="F4047" s="17"/>
      <c r="G4047" s="20"/>
    </row>
    <row r="4048" ht="15">
      <c r="A4048" s="20"/>
      <c r="B4048" s="20"/>
      <c r="C4048" s="20"/>
      <c r="D4048" s="21"/>
      <c r="E4048" s="21"/>
      <c r="F4048" s="17"/>
      <c r="G4048" s="20"/>
    </row>
    <row r="4049" ht="15">
      <c r="A4049" s="20"/>
      <c r="B4049" s="20"/>
      <c r="C4049" s="20"/>
      <c r="D4049" s="21"/>
      <c r="E4049" s="21"/>
      <c r="F4049" s="17"/>
      <c r="G4049" s="20"/>
    </row>
    <row r="4050" ht="15">
      <c r="A4050" s="20"/>
      <c r="B4050" s="20"/>
      <c r="C4050" s="20"/>
      <c r="D4050" s="21"/>
      <c r="E4050" s="21"/>
      <c r="F4050" s="17"/>
      <c r="G4050" s="20"/>
    </row>
    <row r="4051" ht="15">
      <c r="A4051" s="20"/>
      <c r="B4051" s="20"/>
      <c r="C4051" s="20"/>
      <c r="D4051" s="21"/>
      <c r="E4051" s="21"/>
      <c r="F4051" s="17"/>
      <c r="G4051" s="20"/>
    </row>
    <row r="4052" ht="15">
      <c r="A4052" s="20"/>
      <c r="B4052" s="20"/>
      <c r="C4052" s="20"/>
      <c r="D4052" s="21"/>
      <c r="E4052" s="21"/>
      <c r="F4052" s="17"/>
      <c r="G4052" s="20"/>
    </row>
    <row r="4053" ht="15">
      <c r="A4053" s="20"/>
      <c r="B4053" s="20"/>
      <c r="C4053" s="20"/>
      <c r="D4053" s="21"/>
      <c r="E4053" s="21"/>
      <c r="F4053" s="17"/>
      <c r="G4053" s="20"/>
    </row>
    <row r="4054" ht="15">
      <c r="A4054" s="20"/>
      <c r="B4054" s="20"/>
      <c r="C4054" s="20"/>
      <c r="D4054" s="21"/>
      <c r="E4054" s="21"/>
      <c r="F4054" s="17"/>
      <c r="G4054" s="20"/>
    </row>
    <row r="4055" ht="15">
      <c r="A4055" s="20"/>
      <c r="B4055" s="20"/>
      <c r="C4055" s="20"/>
      <c r="D4055" s="21"/>
      <c r="E4055" s="21"/>
      <c r="F4055" s="17"/>
      <c r="G4055" s="20"/>
    </row>
    <row r="4056" ht="15">
      <c r="A4056" s="20"/>
      <c r="B4056" s="20"/>
      <c r="C4056" s="20"/>
      <c r="D4056" s="21"/>
      <c r="E4056" s="21"/>
      <c r="F4056" s="17"/>
      <c r="G4056" s="20"/>
    </row>
    <row r="4057" ht="15">
      <c r="A4057" s="20"/>
      <c r="B4057" s="20"/>
      <c r="C4057" s="20"/>
      <c r="D4057" s="21"/>
      <c r="E4057" s="21"/>
      <c r="F4057" s="17"/>
      <c r="G4057" s="20"/>
    </row>
    <row r="4058" ht="15">
      <c r="A4058" s="20"/>
      <c r="B4058" s="20"/>
      <c r="C4058" s="20"/>
      <c r="D4058" s="21"/>
      <c r="E4058" s="21"/>
      <c r="F4058" s="17"/>
      <c r="G4058" s="20"/>
    </row>
    <row r="4059" ht="15">
      <c r="A4059" s="20"/>
      <c r="B4059" s="20"/>
      <c r="C4059" s="20"/>
      <c r="D4059" s="21"/>
      <c r="E4059" s="21"/>
      <c r="F4059" s="17"/>
      <c r="G4059" s="20"/>
    </row>
    <row r="4060" ht="15">
      <c r="A4060" s="20"/>
      <c r="B4060" s="20"/>
      <c r="C4060" s="20"/>
      <c r="D4060" s="21"/>
      <c r="E4060" s="21"/>
      <c r="F4060" s="17"/>
      <c r="G4060" s="20"/>
    </row>
    <row r="4061" ht="15">
      <c r="A4061" s="20"/>
      <c r="B4061" s="20"/>
      <c r="C4061" s="20"/>
      <c r="D4061" s="21"/>
      <c r="E4061" s="21"/>
      <c r="F4061" s="17"/>
      <c r="G4061" s="20"/>
    </row>
    <row r="4062" ht="15">
      <c r="A4062" s="20"/>
      <c r="B4062" s="20"/>
      <c r="C4062" s="20"/>
      <c r="D4062" s="21"/>
      <c r="E4062" s="21"/>
      <c r="F4062" s="17"/>
      <c r="G4062" s="20"/>
    </row>
    <row r="4063" ht="15">
      <c r="A4063" s="20"/>
      <c r="B4063" s="20"/>
      <c r="C4063" s="20"/>
      <c r="D4063" s="21"/>
      <c r="E4063" s="21"/>
      <c r="F4063" s="17"/>
      <c r="G4063" s="20"/>
    </row>
    <row r="4064" ht="15">
      <c r="A4064" s="20"/>
      <c r="B4064" s="20"/>
      <c r="C4064" s="20"/>
      <c r="D4064" s="21"/>
      <c r="E4064" s="21"/>
      <c r="F4064" s="17"/>
      <c r="G4064" s="20"/>
    </row>
    <row r="4065" ht="15">
      <c r="A4065" s="20"/>
      <c r="B4065" s="20"/>
      <c r="C4065" s="20"/>
      <c r="D4065" s="21"/>
      <c r="E4065" s="21"/>
      <c r="F4065" s="17"/>
      <c r="G4065" s="20"/>
    </row>
    <row r="4066" ht="15">
      <c r="A4066" s="20"/>
      <c r="B4066" s="20"/>
      <c r="C4066" s="20"/>
      <c r="D4066" s="21"/>
      <c r="E4066" s="21"/>
      <c r="F4066" s="17"/>
      <c r="G4066" s="20"/>
    </row>
    <row r="4067" ht="15">
      <c r="A4067" s="20"/>
      <c r="B4067" s="20"/>
      <c r="C4067" s="20"/>
      <c r="D4067" s="21"/>
      <c r="E4067" s="21"/>
      <c r="F4067" s="17"/>
      <c r="G4067" s="20"/>
    </row>
    <row r="4068" ht="15">
      <c r="A4068" s="20"/>
      <c r="B4068" s="20"/>
      <c r="C4068" s="20"/>
      <c r="D4068" s="21"/>
      <c r="E4068" s="21"/>
      <c r="F4068" s="17"/>
      <c r="G4068" s="20"/>
    </row>
    <row r="4069" ht="15">
      <c r="A4069" s="20"/>
      <c r="B4069" s="20"/>
      <c r="C4069" s="20"/>
      <c r="D4069" s="21"/>
      <c r="E4069" s="21"/>
      <c r="F4069" s="17"/>
      <c r="G4069" s="20"/>
    </row>
    <row r="4070" ht="15">
      <c r="A4070" s="20"/>
      <c r="B4070" s="20"/>
      <c r="C4070" s="20"/>
      <c r="D4070" s="21"/>
      <c r="E4070" s="21"/>
      <c r="F4070" s="17"/>
      <c r="G4070" s="20"/>
    </row>
    <row r="4071" ht="15">
      <c r="A4071" s="20"/>
      <c r="B4071" s="20"/>
      <c r="C4071" s="20"/>
      <c r="D4071" s="21"/>
      <c r="E4071" s="21"/>
      <c r="F4071" s="17"/>
      <c r="G4071" s="20"/>
    </row>
    <row r="4072" ht="15">
      <c r="A4072" s="20"/>
      <c r="B4072" s="20"/>
      <c r="C4072" s="20"/>
      <c r="D4072" s="21"/>
      <c r="E4072" s="21"/>
      <c r="F4072" s="17"/>
      <c r="G4072" s="20"/>
    </row>
    <row r="4073" ht="15">
      <c r="A4073" s="20"/>
      <c r="B4073" s="20"/>
      <c r="C4073" s="20"/>
      <c r="D4073" s="21"/>
      <c r="E4073" s="21"/>
      <c r="F4073" s="17"/>
      <c r="G4073" s="20"/>
    </row>
    <row r="4074" ht="15">
      <c r="A4074" s="20"/>
      <c r="B4074" s="20"/>
      <c r="C4074" s="20"/>
      <c r="D4074" s="21"/>
      <c r="E4074" s="21"/>
      <c r="F4074" s="17"/>
      <c r="G4074" s="20"/>
    </row>
    <row r="4075" ht="15">
      <c r="A4075" s="20"/>
      <c r="B4075" s="20"/>
      <c r="C4075" s="20"/>
      <c r="D4075" s="21"/>
      <c r="E4075" s="21"/>
      <c r="F4075" s="17"/>
      <c r="G4075" s="20"/>
    </row>
    <row r="4076" ht="15">
      <c r="A4076" s="20"/>
      <c r="B4076" s="20"/>
      <c r="C4076" s="20"/>
      <c r="D4076" s="21"/>
      <c r="E4076" s="21"/>
      <c r="F4076" s="17"/>
      <c r="G4076" s="20"/>
    </row>
    <row r="4077" ht="15">
      <c r="A4077" s="20"/>
      <c r="B4077" s="20"/>
      <c r="C4077" s="20"/>
      <c r="D4077" s="21"/>
      <c r="E4077" s="21"/>
      <c r="F4077" s="17"/>
      <c r="G4077" s="20"/>
    </row>
    <row r="4078" ht="15">
      <c r="A4078" s="20"/>
      <c r="B4078" s="20"/>
      <c r="C4078" s="20"/>
      <c r="D4078" s="21"/>
      <c r="E4078" s="21"/>
      <c r="F4078" s="17"/>
      <c r="G4078" s="20"/>
    </row>
    <row r="4079" ht="15">
      <c r="A4079" s="20"/>
      <c r="B4079" s="20"/>
      <c r="C4079" s="20"/>
      <c r="D4079" s="21"/>
      <c r="E4079" s="21"/>
      <c r="F4079" s="17"/>
      <c r="G4079" s="20"/>
    </row>
    <row r="4080" ht="15">
      <c r="A4080" s="20"/>
      <c r="B4080" s="20"/>
      <c r="C4080" s="20"/>
      <c r="D4080" s="21"/>
      <c r="E4080" s="21"/>
      <c r="F4080" s="17"/>
      <c r="G4080" s="20"/>
    </row>
    <row r="4081" ht="15">
      <c r="A4081" s="20"/>
      <c r="B4081" s="20"/>
      <c r="C4081" s="20"/>
      <c r="D4081" s="21"/>
      <c r="E4081" s="21"/>
      <c r="F4081" s="17"/>
      <c r="G4081" s="20"/>
    </row>
    <row r="4082" ht="15">
      <c r="A4082" s="20"/>
      <c r="B4082" s="20"/>
      <c r="C4082" s="20"/>
      <c r="D4082" s="21"/>
      <c r="E4082" s="21"/>
      <c r="F4082" s="17"/>
      <c r="G4082" s="20"/>
    </row>
    <row r="4083" ht="15">
      <c r="A4083" s="20"/>
      <c r="B4083" s="20"/>
      <c r="C4083" s="20"/>
      <c r="D4083" s="21"/>
      <c r="E4083" s="21"/>
      <c r="F4083" s="17"/>
      <c r="G4083" s="20"/>
    </row>
    <row r="4084" ht="15">
      <c r="A4084" s="20"/>
      <c r="B4084" s="20"/>
      <c r="C4084" s="20"/>
      <c r="D4084" s="21"/>
      <c r="E4084" s="21"/>
      <c r="F4084" s="17"/>
      <c r="G4084" s="20"/>
    </row>
    <row r="4085" ht="15">
      <c r="A4085" s="20"/>
      <c r="B4085" s="20"/>
      <c r="C4085" s="20"/>
      <c r="D4085" s="21"/>
      <c r="E4085" s="21"/>
      <c r="F4085" s="17"/>
      <c r="G4085" s="20"/>
    </row>
    <row r="4086" ht="15">
      <c r="A4086" s="20"/>
      <c r="B4086" s="20"/>
      <c r="C4086" s="20"/>
      <c r="D4086" s="21"/>
      <c r="E4086" s="21"/>
      <c r="F4086" s="17"/>
      <c r="G4086" s="20"/>
    </row>
    <row r="4087" ht="15">
      <c r="A4087" s="20"/>
      <c r="B4087" s="20"/>
      <c r="C4087" s="20"/>
      <c r="D4087" s="21"/>
      <c r="E4087" s="21"/>
      <c r="F4087" s="17"/>
      <c r="G4087" s="20"/>
    </row>
    <row r="4088" ht="15">
      <c r="A4088" s="20"/>
      <c r="B4088" s="20"/>
      <c r="C4088" s="20"/>
      <c r="D4088" s="21"/>
      <c r="E4088" s="21"/>
      <c r="F4088" s="17"/>
      <c r="G4088" s="20"/>
    </row>
    <row r="4089" ht="15">
      <c r="A4089" s="20"/>
      <c r="B4089" s="20"/>
      <c r="C4089" s="20"/>
      <c r="D4089" s="21"/>
      <c r="E4089" s="21"/>
      <c r="F4089" s="17"/>
      <c r="G4089" s="20"/>
    </row>
    <row r="4090" ht="15">
      <c r="A4090" s="20"/>
      <c r="B4090" s="20"/>
      <c r="C4090" s="20"/>
      <c r="D4090" s="21"/>
      <c r="E4090" s="21"/>
      <c r="F4090" s="17"/>
      <c r="G4090" s="20"/>
    </row>
    <row r="4091" ht="15">
      <c r="A4091" s="20"/>
      <c r="B4091" s="20"/>
      <c r="C4091" s="20"/>
      <c r="D4091" s="21"/>
      <c r="E4091" s="21"/>
      <c r="F4091" s="17"/>
      <c r="G4091" s="20"/>
    </row>
    <row r="4092" ht="15">
      <c r="A4092" s="20"/>
      <c r="B4092" s="20"/>
      <c r="C4092" s="20"/>
      <c r="D4092" s="21"/>
      <c r="E4092" s="21"/>
      <c r="F4092" s="17"/>
      <c r="G4092" s="20"/>
    </row>
    <row r="4093" ht="15">
      <c r="A4093" s="20"/>
      <c r="B4093" s="20"/>
      <c r="C4093" s="20"/>
      <c r="D4093" s="21"/>
      <c r="E4093" s="21"/>
      <c r="F4093" s="17"/>
      <c r="G4093" s="20"/>
    </row>
    <row r="4094" ht="15">
      <c r="A4094" s="20"/>
      <c r="B4094" s="20"/>
      <c r="C4094" s="20"/>
      <c r="D4094" s="21"/>
      <c r="E4094" s="21"/>
      <c r="F4094" s="17"/>
      <c r="G4094" s="20"/>
    </row>
    <row r="4095" ht="15">
      <c r="A4095" s="20"/>
      <c r="B4095" s="20"/>
      <c r="C4095" s="20"/>
      <c r="D4095" s="21"/>
      <c r="E4095" s="21"/>
      <c r="F4095" s="17"/>
      <c r="G4095" s="20"/>
    </row>
    <row r="4096" ht="15">
      <c r="A4096" s="20"/>
      <c r="B4096" s="20"/>
      <c r="C4096" s="20"/>
      <c r="D4096" s="21"/>
      <c r="E4096" s="21"/>
      <c r="F4096" s="17"/>
      <c r="G4096" s="20"/>
    </row>
    <row r="4097" ht="15">
      <c r="A4097" s="20"/>
      <c r="B4097" s="20"/>
      <c r="C4097" s="20"/>
      <c r="D4097" s="21"/>
      <c r="E4097" s="21"/>
      <c r="F4097" s="17"/>
      <c r="G4097" s="20"/>
    </row>
    <row r="4098" ht="15">
      <c r="A4098" s="20"/>
      <c r="B4098" s="20"/>
      <c r="C4098" s="20"/>
      <c r="D4098" s="21"/>
      <c r="E4098" s="21"/>
      <c r="F4098" s="17"/>
      <c r="G4098" s="20"/>
    </row>
    <row r="4099" ht="15">
      <c r="A4099" s="20"/>
      <c r="B4099" s="20"/>
      <c r="C4099" s="20"/>
      <c r="D4099" s="21"/>
      <c r="E4099" s="21"/>
      <c r="F4099" s="17"/>
      <c r="G4099" s="20"/>
    </row>
    <row r="4100" ht="15">
      <c r="A4100" s="20"/>
      <c r="B4100" s="20"/>
      <c r="C4100" s="20"/>
      <c r="D4100" s="21"/>
      <c r="E4100" s="21"/>
      <c r="F4100" s="17"/>
      <c r="G4100" s="20"/>
    </row>
    <row r="4101" ht="15">
      <c r="A4101" s="20"/>
      <c r="B4101" s="20"/>
      <c r="C4101" s="20"/>
      <c r="D4101" s="21"/>
      <c r="E4101" s="21"/>
      <c r="F4101" s="17"/>
      <c r="G4101" s="20"/>
    </row>
    <row r="4102" ht="15">
      <c r="A4102" s="20"/>
      <c r="B4102" s="20"/>
      <c r="C4102" s="20"/>
      <c r="D4102" s="21"/>
      <c r="E4102" s="21"/>
      <c r="F4102" s="17"/>
      <c r="G4102" s="20"/>
    </row>
    <row r="4103" ht="15">
      <c r="A4103" s="20"/>
      <c r="B4103" s="20"/>
      <c r="C4103" s="20"/>
      <c r="D4103" s="21"/>
      <c r="E4103" s="21"/>
      <c r="F4103" s="17"/>
      <c r="G4103" s="20"/>
    </row>
    <row r="4104" ht="15">
      <c r="A4104" s="20"/>
      <c r="B4104" s="20"/>
      <c r="C4104" s="20"/>
      <c r="D4104" s="21"/>
      <c r="E4104" s="21"/>
      <c r="F4104" s="17"/>
      <c r="G4104" s="20"/>
    </row>
    <row r="4105" ht="15">
      <c r="A4105" s="20"/>
      <c r="B4105" s="20"/>
      <c r="C4105" s="20"/>
      <c r="D4105" s="21"/>
      <c r="E4105" s="21"/>
      <c r="F4105" s="17"/>
      <c r="G4105" s="20"/>
    </row>
    <row r="4106" ht="15">
      <c r="A4106" s="20"/>
      <c r="B4106" s="20"/>
      <c r="C4106" s="20"/>
      <c r="D4106" s="21"/>
      <c r="E4106" s="21"/>
      <c r="F4106" s="17"/>
      <c r="G4106" s="20"/>
    </row>
    <row r="4107" ht="15">
      <c r="A4107" s="20"/>
      <c r="B4107" s="20"/>
      <c r="C4107" s="20"/>
      <c r="D4107" s="21"/>
      <c r="E4107" s="21"/>
      <c r="F4107" s="17"/>
      <c r="G4107" s="20"/>
    </row>
    <row r="4108" ht="15">
      <c r="A4108" s="20"/>
      <c r="B4108" s="20"/>
      <c r="C4108" s="20"/>
      <c r="D4108" s="21"/>
      <c r="E4108" s="21"/>
      <c r="F4108" s="17"/>
      <c r="G4108" s="20"/>
    </row>
    <row r="4109" ht="15">
      <c r="A4109" s="20"/>
      <c r="B4109" s="20"/>
      <c r="C4109" s="20"/>
      <c r="D4109" s="21"/>
      <c r="E4109" s="21"/>
      <c r="F4109" s="17"/>
      <c r="G4109" s="20"/>
    </row>
    <row r="4110" ht="15">
      <c r="A4110" s="20"/>
      <c r="B4110" s="20"/>
      <c r="C4110" s="20"/>
      <c r="D4110" s="21"/>
      <c r="E4110" s="21"/>
      <c r="F4110" s="17"/>
      <c r="G4110" s="20"/>
    </row>
    <row r="4111" ht="15">
      <c r="A4111" s="20"/>
      <c r="B4111" s="20"/>
      <c r="C4111" s="20"/>
      <c r="D4111" s="21"/>
      <c r="E4111" s="21"/>
      <c r="F4111" s="17"/>
      <c r="G4111" s="20"/>
    </row>
    <row r="4112" ht="15">
      <c r="A4112" s="20"/>
      <c r="B4112" s="20"/>
      <c r="C4112" s="20"/>
      <c r="D4112" s="21"/>
      <c r="E4112" s="21"/>
      <c r="F4112" s="17"/>
      <c r="G4112" s="20"/>
    </row>
    <row r="4113" ht="15">
      <c r="A4113" s="20"/>
      <c r="B4113" s="20"/>
      <c r="C4113" s="20"/>
      <c r="D4113" s="21"/>
      <c r="E4113" s="21"/>
      <c r="F4113" s="17"/>
      <c r="G4113" s="20"/>
    </row>
    <row r="4114" ht="15">
      <c r="A4114" s="20"/>
      <c r="B4114" s="20"/>
      <c r="C4114" s="20"/>
      <c r="D4114" s="21"/>
      <c r="E4114" s="21"/>
      <c r="F4114" s="17"/>
      <c r="G4114" s="20"/>
    </row>
    <row r="4115" ht="15">
      <c r="A4115" s="20"/>
      <c r="B4115" s="20"/>
      <c r="C4115" s="20"/>
      <c r="D4115" s="21"/>
      <c r="E4115" s="21"/>
      <c r="F4115" s="17"/>
      <c r="G4115" s="20"/>
    </row>
    <row r="4116" ht="15">
      <c r="A4116" s="20"/>
      <c r="B4116" s="20"/>
      <c r="C4116" s="20"/>
      <c r="D4116" s="21"/>
      <c r="E4116" s="21"/>
      <c r="F4116" s="17"/>
      <c r="G4116" s="20"/>
    </row>
    <row r="4117" ht="15">
      <c r="A4117" s="20"/>
      <c r="B4117" s="20"/>
      <c r="C4117" s="20"/>
      <c r="D4117" s="21"/>
      <c r="E4117" s="21"/>
      <c r="F4117" s="17"/>
      <c r="G4117" s="20"/>
    </row>
    <row r="4118" ht="15">
      <c r="A4118" s="20"/>
      <c r="B4118" s="20"/>
      <c r="C4118" s="20"/>
      <c r="D4118" s="21"/>
      <c r="E4118" s="21"/>
      <c r="F4118" s="17"/>
      <c r="G4118" s="20"/>
    </row>
    <row r="4119" ht="15">
      <c r="A4119" s="20"/>
      <c r="B4119" s="20"/>
      <c r="C4119" s="20"/>
      <c r="D4119" s="21"/>
      <c r="E4119" s="21"/>
      <c r="F4119" s="17"/>
      <c r="G4119" s="20"/>
    </row>
    <row r="4120" ht="15">
      <c r="A4120" s="20"/>
      <c r="B4120" s="20"/>
      <c r="C4120" s="20"/>
      <c r="D4120" s="21"/>
      <c r="E4120" s="21"/>
      <c r="F4120" s="17"/>
      <c r="G4120" s="20"/>
    </row>
    <row r="4121" ht="15">
      <c r="A4121" s="20"/>
      <c r="B4121" s="20"/>
      <c r="C4121" s="20"/>
      <c r="D4121" s="21"/>
      <c r="E4121" s="21"/>
      <c r="F4121" s="17"/>
      <c r="G4121" s="20"/>
    </row>
    <row r="4122" ht="15">
      <c r="A4122" s="20"/>
      <c r="B4122" s="20"/>
      <c r="C4122" s="20"/>
      <c r="D4122" s="21"/>
      <c r="E4122" s="21"/>
      <c r="F4122" s="17"/>
      <c r="G4122" s="20"/>
    </row>
    <row r="4123" ht="15">
      <c r="A4123" s="20"/>
      <c r="B4123" s="20"/>
      <c r="C4123" s="20"/>
      <c r="D4123" s="21"/>
      <c r="E4123" s="21"/>
      <c r="F4123" s="17"/>
      <c r="G4123" s="20"/>
    </row>
    <row r="4124" ht="15">
      <c r="A4124" s="20"/>
      <c r="B4124" s="20"/>
      <c r="C4124" s="20"/>
      <c r="D4124" s="21"/>
      <c r="E4124" s="21"/>
      <c r="F4124" s="17"/>
      <c r="G4124" s="20"/>
    </row>
    <row r="4125" ht="15">
      <c r="A4125" s="20"/>
      <c r="B4125" s="20"/>
      <c r="C4125" s="20"/>
      <c r="D4125" s="21"/>
      <c r="E4125" s="21"/>
      <c r="F4125" s="17"/>
      <c r="G4125" s="20"/>
    </row>
    <row r="4126" ht="15">
      <c r="A4126" s="20"/>
      <c r="B4126" s="20"/>
      <c r="C4126" s="20"/>
      <c r="D4126" s="21"/>
      <c r="E4126" s="21"/>
      <c r="F4126" s="17"/>
      <c r="G4126" s="20"/>
    </row>
    <row r="4127" ht="15">
      <c r="A4127" s="20"/>
      <c r="B4127" s="20"/>
      <c r="C4127" s="20"/>
      <c r="D4127" s="21"/>
      <c r="E4127" s="21"/>
      <c r="F4127" s="17"/>
      <c r="G4127" s="20"/>
    </row>
    <row r="4128" ht="15">
      <c r="A4128" s="20"/>
      <c r="B4128" s="20"/>
      <c r="C4128" s="20"/>
      <c r="D4128" s="21"/>
      <c r="E4128" s="21"/>
      <c r="F4128" s="17"/>
      <c r="G4128" s="20"/>
    </row>
    <row r="4129" ht="15">
      <c r="A4129" s="20"/>
      <c r="B4129" s="20"/>
      <c r="C4129" s="20"/>
      <c r="D4129" s="21"/>
      <c r="E4129" s="21"/>
      <c r="F4129" s="17"/>
      <c r="G4129" s="20"/>
    </row>
    <row r="4130" ht="15">
      <c r="A4130" s="20"/>
      <c r="B4130" s="20"/>
      <c r="C4130" s="20"/>
      <c r="D4130" s="21"/>
      <c r="E4130" s="21"/>
      <c r="F4130" s="17"/>
      <c r="G4130" s="20"/>
    </row>
    <row r="4131" ht="15">
      <c r="A4131" s="20"/>
      <c r="B4131" s="20"/>
      <c r="C4131" s="20"/>
      <c r="D4131" s="21"/>
      <c r="E4131" s="21"/>
      <c r="F4131" s="17"/>
      <c r="G4131" s="20"/>
    </row>
    <row r="4132" ht="15">
      <c r="A4132" s="20"/>
      <c r="B4132" s="20"/>
      <c r="C4132" s="20"/>
      <c r="D4132" s="21"/>
      <c r="E4132" s="21"/>
      <c r="F4132" s="17"/>
      <c r="G4132" s="20"/>
    </row>
    <row r="4133" ht="15">
      <c r="A4133" s="20"/>
      <c r="B4133" s="20"/>
      <c r="C4133" s="20"/>
      <c r="D4133" s="21"/>
      <c r="E4133" s="21"/>
      <c r="F4133" s="17"/>
      <c r="G4133" s="20"/>
    </row>
    <row r="4134" ht="15">
      <c r="A4134" s="20"/>
      <c r="B4134" s="20"/>
      <c r="C4134" s="20"/>
      <c r="D4134" s="21"/>
      <c r="E4134" s="21"/>
      <c r="F4134" s="17"/>
      <c r="G4134" s="20"/>
    </row>
    <row r="4135" ht="15">
      <c r="A4135" s="20"/>
      <c r="B4135" s="20"/>
      <c r="C4135" s="20"/>
      <c r="D4135" s="21"/>
      <c r="E4135" s="21"/>
      <c r="F4135" s="17"/>
      <c r="G4135" s="20"/>
    </row>
    <row r="4136" ht="15">
      <c r="A4136" s="20"/>
      <c r="B4136" s="20"/>
      <c r="C4136" s="20"/>
      <c r="D4136" s="21"/>
      <c r="E4136" s="21"/>
      <c r="F4136" s="17"/>
      <c r="G4136" s="20"/>
    </row>
    <row r="4137" ht="15">
      <c r="A4137" s="20"/>
      <c r="B4137" s="20"/>
      <c r="C4137" s="20"/>
      <c r="D4137" s="21"/>
      <c r="E4137" s="21"/>
      <c r="F4137" s="17"/>
      <c r="G4137" s="20"/>
    </row>
    <row r="4138" ht="15">
      <c r="A4138" s="20"/>
      <c r="B4138" s="20"/>
      <c r="C4138" s="20"/>
      <c r="D4138" s="21"/>
      <c r="E4138" s="21"/>
      <c r="F4138" s="17"/>
      <c r="G4138" s="20"/>
    </row>
    <row r="4139" ht="15">
      <c r="A4139" s="20"/>
      <c r="B4139" s="20"/>
      <c r="C4139" s="20"/>
      <c r="D4139" s="21"/>
      <c r="E4139" s="21"/>
      <c r="F4139" s="17"/>
      <c r="G4139" s="20"/>
    </row>
    <row r="4140" ht="15">
      <c r="A4140" s="20"/>
      <c r="B4140" s="20"/>
      <c r="C4140" s="20"/>
      <c r="D4140" s="21"/>
      <c r="E4140" s="21"/>
      <c r="F4140" s="17"/>
      <c r="G4140" s="20"/>
    </row>
    <row r="4141" ht="15">
      <c r="A4141" s="20"/>
      <c r="B4141" s="20"/>
      <c r="C4141" s="20"/>
      <c r="D4141" s="21"/>
      <c r="E4141" s="21"/>
      <c r="F4141" s="17"/>
      <c r="G4141" s="20"/>
    </row>
    <row r="4142" ht="15">
      <c r="A4142" s="20"/>
      <c r="B4142" s="20"/>
      <c r="C4142" s="20"/>
      <c r="D4142" s="21"/>
      <c r="E4142" s="21"/>
      <c r="F4142" s="17"/>
      <c r="G4142" s="20"/>
    </row>
    <row r="4143" ht="15">
      <c r="A4143" s="20"/>
      <c r="B4143" s="20"/>
      <c r="C4143" s="20"/>
      <c r="D4143" s="21"/>
      <c r="E4143" s="21"/>
      <c r="F4143" s="17"/>
      <c r="G4143" s="20"/>
    </row>
    <row r="4144" ht="15">
      <c r="A4144" s="20"/>
      <c r="B4144" s="20"/>
      <c r="C4144" s="20"/>
      <c r="D4144" s="21"/>
      <c r="E4144" s="21"/>
      <c r="F4144" s="17"/>
      <c r="G4144" s="20"/>
    </row>
    <row r="4145" ht="15">
      <c r="A4145" s="20"/>
      <c r="B4145" s="20"/>
      <c r="C4145" s="20"/>
      <c r="D4145" s="21"/>
      <c r="E4145" s="21"/>
      <c r="F4145" s="17"/>
      <c r="G4145" s="20"/>
    </row>
    <row r="4146" ht="15">
      <c r="A4146" s="20"/>
      <c r="B4146" s="20"/>
      <c r="C4146" s="20"/>
      <c r="D4146" s="21"/>
      <c r="E4146" s="21"/>
      <c r="F4146" s="17"/>
      <c r="G4146" s="20"/>
    </row>
    <row r="4147" ht="15">
      <c r="A4147" s="20"/>
      <c r="B4147" s="20"/>
      <c r="C4147" s="20"/>
      <c r="D4147" s="21"/>
      <c r="E4147" s="21"/>
      <c r="F4147" s="17"/>
      <c r="G4147" s="20"/>
    </row>
    <row r="4148" ht="15">
      <c r="A4148" s="20"/>
      <c r="B4148" s="20"/>
      <c r="C4148" s="20"/>
      <c r="D4148" s="21"/>
      <c r="E4148" s="21"/>
      <c r="F4148" s="17"/>
      <c r="G4148" s="20"/>
    </row>
    <row r="4149" ht="15">
      <c r="A4149" s="20"/>
      <c r="B4149" s="20"/>
      <c r="C4149" s="20"/>
      <c r="D4149" s="21"/>
      <c r="E4149" s="21"/>
      <c r="F4149" s="17"/>
      <c r="G4149" s="20"/>
    </row>
    <row r="4150" ht="15">
      <c r="A4150" s="20"/>
      <c r="B4150" s="20"/>
      <c r="C4150" s="20"/>
      <c r="D4150" s="21"/>
      <c r="E4150" s="21"/>
      <c r="F4150" s="17"/>
      <c r="G4150" s="20"/>
    </row>
    <row r="4151" ht="15">
      <c r="A4151" s="20"/>
      <c r="B4151" s="20"/>
      <c r="C4151" s="20"/>
      <c r="D4151" s="21"/>
      <c r="E4151" s="21"/>
      <c r="F4151" s="17"/>
      <c r="G4151" s="20"/>
    </row>
    <row r="4152" ht="15">
      <c r="A4152" s="20"/>
      <c r="B4152" s="20"/>
      <c r="C4152" s="20"/>
      <c r="D4152" s="21"/>
      <c r="E4152" s="21"/>
      <c r="F4152" s="17"/>
      <c r="G4152" s="20"/>
    </row>
    <row r="4153" ht="15">
      <c r="A4153" s="20"/>
      <c r="B4153" s="20"/>
      <c r="C4153" s="20"/>
      <c r="D4153" s="21"/>
      <c r="E4153" s="21"/>
      <c r="F4153" s="17"/>
      <c r="G4153" s="20"/>
    </row>
    <row r="4154" ht="15">
      <c r="A4154" s="20"/>
      <c r="B4154" s="20"/>
      <c r="C4154" s="20"/>
      <c r="D4154" s="21"/>
      <c r="E4154" s="21"/>
      <c r="F4154" s="17"/>
      <c r="G4154" s="20"/>
    </row>
    <row r="4155" ht="15">
      <c r="A4155" s="20"/>
      <c r="B4155" s="20"/>
      <c r="C4155" s="20"/>
      <c r="D4155" s="21"/>
      <c r="E4155" s="21"/>
      <c r="F4155" s="17"/>
      <c r="G4155" s="20"/>
    </row>
    <row r="4156" ht="15">
      <c r="A4156" s="20"/>
      <c r="B4156" s="20"/>
      <c r="C4156" s="20"/>
      <c r="D4156" s="21"/>
      <c r="E4156" s="21"/>
      <c r="F4156" s="17"/>
      <c r="G4156" s="20"/>
    </row>
    <row r="4157" ht="15">
      <c r="A4157" s="20"/>
      <c r="B4157" s="20"/>
      <c r="C4157" s="20"/>
      <c r="D4157" s="21"/>
      <c r="E4157" s="21"/>
      <c r="F4157" s="17"/>
      <c r="G4157" s="20"/>
    </row>
    <row r="4158" ht="15">
      <c r="A4158" s="20"/>
      <c r="B4158" s="20"/>
      <c r="C4158" s="20"/>
      <c r="D4158" s="21"/>
      <c r="E4158" s="21"/>
      <c r="F4158" s="17"/>
      <c r="G4158" s="20"/>
    </row>
    <row r="4159" ht="15">
      <c r="A4159" s="20"/>
      <c r="B4159" s="20"/>
      <c r="C4159" s="20"/>
      <c r="D4159" s="21"/>
      <c r="E4159" s="21"/>
      <c r="F4159" s="17"/>
      <c r="G4159" s="20"/>
    </row>
    <row r="4160" ht="15">
      <c r="A4160" s="20"/>
      <c r="B4160" s="20"/>
      <c r="C4160" s="20"/>
      <c r="D4160" s="21"/>
      <c r="E4160" s="21"/>
      <c r="F4160" s="17"/>
      <c r="G4160" s="20"/>
    </row>
    <row r="4161" ht="15">
      <c r="A4161" s="20"/>
      <c r="B4161" s="20"/>
      <c r="C4161" s="20"/>
      <c r="D4161" s="21"/>
      <c r="E4161" s="21"/>
      <c r="F4161" s="17"/>
      <c r="G4161" s="20"/>
    </row>
    <row r="4162" ht="15">
      <c r="A4162" s="20"/>
      <c r="B4162" s="20"/>
      <c r="C4162" s="20"/>
      <c r="D4162" s="21"/>
      <c r="E4162" s="21"/>
      <c r="F4162" s="17"/>
      <c r="G4162" s="20"/>
    </row>
    <row r="4163" ht="15">
      <c r="A4163" s="20"/>
      <c r="B4163" s="20"/>
      <c r="C4163" s="20"/>
      <c r="D4163" s="21"/>
      <c r="E4163" s="21"/>
      <c r="F4163" s="17"/>
      <c r="G4163" s="20"/>
    </row>
    <row r="4164" ht="15">
      <c r="A4164" s="20"/>
      <c r="B4164" s="20"/>
      <c r="C4164" s="20"/>
      <c r="D4164" s="21"/>
      <c r="E4164" s="21"/>
      <c r="F4164" s="17"/>
      <c r="G4164" s="20"/>
    </row>
    <row r="4165" ht="15">
      <c r="A4165" s="20"/>
      <c r="B4165" s="20"/>
      <c r="C4165" s="20"/>
      <c r="D4165" s="21"/>
      <c r="E4165" s="21"/>
      <c r="F4165" s="17"/>
      <c r="G4165" s="20"/>
    </row>
    <row r="4166" ht="15">
      <c r="A4166" s="20"/>
      <c r="B4166" s="20"/>
      <c r="C4166" s="20"/>
      <c r="D4166" s="21"/>
      <c r="E4166" s="21"/>
      <c r="F4166" s="17"/>
      <c r="G4166" s="20"/>
    </row>
    <row r="4167" ht="15">
      <c r="A4167" s="20"/>
      <c r="B4167" s="20"/>
      <c r="C4167" s="20"/>
      <c r="D4167" s="21"/>
      <c r="E4167" s="21"/>
      <c r="F4167" s="17"/>
      <c r="G4167" s="20"/>
    </row>
    <row r="4168" ht="15">
      <c r="A4168" s="20"/>
      <c r="B4168" s="20"/>
      <c r="C4168" s="20"/>
      <c r="D4168" s="21"/>
      <c r="E4168" s="21"/>
      <c r="F4168" s="17"/>
      <c r="G4168" s="20"/>
    </row>
    <row r="4169" ht="15">
      <c r="A4169" s="20"/>
      <c r="B4169" s="20"/>
      <c r="C4169" s="20"/>
      <c r="D4169" s="21"/>
      <c r="E4169" s="21"/>
      <c r="F4169" s="17"/>
      <c r="G4169" s="20"/>
    </row>
    <row r="4170" ht="15">
      <c r="A4170" s="20"/>
      <c r="B4170" s="20"/>
      <c r="C4170" s="20"/>
      <c r="D4170" s="21"/>
      <c r="E4170" s="21"/>
      <c r="F4170" s="17"/>
      <c r="G4170" s="20"/>
    </row>
    <row r="4171" ht="15">
      <c r="A4171" s="20"/>
      <c r="B4171" s="20"/>
      <c r="C4171" s="20"/>
      <c r="D4171" s="21"/>
      <c r="E4171" s="21"/>
      <c r="F4171" s="17"/>
      <c r="G4171" s="20"/>
    </row>
    <row r="4172" ht="15">
      <c r="A4172" s="20"/>
      <c r="B4172" s="20"/>
      <c r="C4172" s="20"/>
      <c r="D4172" s="21"/>
      <c r="E4172" s="21"/>
      <c r="F4172" s="17"/>
      <c r="G4172" s="20"/>
    </row>
    <row r="4173" ht="15">
      <c r="A4173" s="20"/>
      <c r="B4173" s="20"/>
      <c r="C4173" s="20"/>
      <c r="D4173" s="21"/>
      <c r="E4173" s="21"/>
      <c r="F4173" s="17"/>
      <c r="G4173" s="20"/>
    </row>
    <row r="4174" ht="15">
      <c r="A4174" s="20"/>
      <c r="B4174" s="20"/>
      <c r="C4174" s="20"/>
      <c r="D4174" s="21"/>
      <c r="E4174" s="21"/>
      <c r="F4174" s="17"/>
      <c r="G4174" s="20"/>
    </row>
    <row r="4175" ht="15">
      <c r="A4175" s="20"/>
      <c r="B4175" s="20"/>
      <c r="C4175" s="20"/>
      <c r="D4175" s="21"/>
      <c r="E4175" s="21"/>
      <c r="F4175" s="17"/>
      <c r="G4175" s="20"/>
    </row>
    <row r="4176" ht="15">
      <c r="A4176" s="20"/>
      <c r="B4176" s="20"/>
      <c r="C4176" s="20"/>
      <c r="D4176" s="21"/>
      <c r="E4176" s="21"/>
      <c r="F4176" s="17"/>
      <c r="G4176" s="20"/>
    </row>
    <row r="4177" ht="15">
      <c r="A4177" s="20"/>
      <c r="B4177" s="20"/>
      <c r="C4177" s="20"/>
      <c r="D4177" s="21"/>
      <c r="E4177" s="21"/>
      <c r="F4177" s="17"/>
      <c r="G4177" s="20"/>
    </row>
    <row r="4178" ht="15">
      <c r="A4178" s="20"/>
      <c r="B4178" s="20"/>
      <c r="C4178" s="20"/>
      <c r="D4178" s="21"/>
      <c r="E4178" s="21"/>
      <c r="F4178" s="17"/>
      <c r="G4178" s="20"/>
    </row>
    <row r="4179" ht="15">
      <c r="A4179" s="20"/>
      <c r="B4179" s="20"/>
      <c r="C4179" s="20"/>
      <c r="D4179" s="21"/>
      <c r="E4179" s="21"/>
      <c r="F4179" s="17"/>
      <c r="G4179" s="20"/>
    </row>
    <row r="4180" ht="15">
      <c r="A4180" s="20"/>
      <c r="B4180" s="20"/>
      <c r="C4180" s="20"/>
      <c r="D4180" s="21"/>
      <c r="E4180" s="21"/>
      <c r="F4180" s="17"/>
      <c r="G4180" s="20"/>
    </row>
    <row r="4181" ht="15">
      <c r="A4181" s="20"/>
      <c r="B4181" s="20"/>
      <c r="C4181" s="20"/>
      <c r="D4181" s="21"/>
      <c r="E4181" s="21"/>
      <c r="F4181" s="17"/>
      <c r="G4181" s="20"/>
    </row>
    <row r="4182" ht="15">
      <c r="A4182" s="20"/>
      <c r="B4182" s="20"/>
      <c r="C4182" s="20"/>
      <c r="D4182" s="21"/>
      <c r="E4182" s="21"/>
      <c r="F4182" s="17"/>
      <c r="G4182" s="20"/>
    </row>
    <row r="4183" ht="15">
      <c r="A4183" s="20"/>
      <c r="B4183" s="20"/>
      <c r="C4183" s="20"/>
      <c r="D4183" s="21"/>
      <c r="E4183" s="21"/>
      <c r="F4183" s="17"/>
      <c r="G4183" s="20"/>
    </row>
    <row r="4184" ht="15">
      <c r="A4184" s="20"/>
      <c r="B4184" s="20"/>
      <c r="C4184" s="20"/>
      <c r="D4184" s="21"/>
      <c r="E4184" s="21"/>
      <c r="F4184" s="17"/>
      <c r="G4184" s="20"/>
    </row>
    <row r="4185" ht="15">
      <c r="A4185" s="20"/>
      <c r="B4185" s="20"/>
      <c r="C4185" s="20"/>
      <c r="D4185" s="21"/>
      <c r="E4185" s="21"/>
      <c r="F4185" s="17"/>
      <c r="G4185" s="20"/>
    </row>
    <row r="4186" ht="15">
      <c r="A4186" s="20"/>
      <c r="B4186" s="20"/>
      <c r="C4186" s="20"/>
      <c r="D4186" s="21"/>
      <c r="E4186" s="21"/>
      <c r="F4186" s="17"/>
      <c r="G4186" s="20"/>
    </row>
    <row r="4187" ht="15">
      <c r="A4187" s="20"/>
      <c r="B4187" s="20"/>
      <c r="C4187" s="20"/>
      <c r="D4187" s="21"/>
      <c r="E4187" s="21"/>
      <c r="F4187" s="17"/>
      <c r="G4187" s="20"/>
    </row>
    <row r="4188" ht="15">
      <c r="A4188" s="20"/>
      <c r="B4188" s="20"/>
      <c r="C4188" s="20"/>
      <c r="D4188" s="21"/>
      <c r="E4188" s="21"/>
      <c r="F4188" s="17"/>
      <c r="G4188" s="20"/>
    </row>
    <row r="4189" ht="15">
      <c r="A4189" s="20"/>
      <c r="B4189" s="20"/>
      <c r="C4189" s="20"/>
      <c r="D4189" s="21"/>
      <c r="E4189" s="21"/>
      <c r="F4189" s="17"/>
      <c r="G4189" s="20"/>
    </row>
    <row r="4190" ht="15">
      <c r="A4190" s="20"/>
      <c r="B4190" s="20"/>
      <c r="C4190" s="20"/>
      <c r="D4190" s="21"/>
      <c r="E4190" s="21"/>
      <c r="F4190" s="17"/>
      <c r="G4190" s="20"/>
    </row>
    <row r="4191" ht="15">
      <c r="A4191" s="20"/>
      <c r="B4191" s="20"/>
      <c r="C4191" s="20"/>
      <c r="D4191" s="21"/>
      <c r="E4191" s="21"/>
      <c r="F4191" s="17"/>
      <c r="G4191" s="20"/>
    </row>
    <row r="4192" ht="15">
      <c r="A4192" s="20"/>
      <c r="B4192" s="20"/>
      <c r="C4192" s="20"/>
      <c r="D4192" s="21"/>
      <c r="E4192" s="21"/>
      <c r="F4192" s="17"/>
      <c r="G4192" s="20"/>
    </row>
    <row r="4193" ht="15">
      <c r="A4193" s="20"/>
      <c r="B4193" s="20"/>
      <c r="C4193" s="20"/>
      <c r="D4193" s="21"/>
      <c r="E4193" s="21"/>
      <c r="F4193" s="17"/>
      <c r="G4193" s="20"/>
    </row>
    <row r="4194" ht="15">
      <c r="A4194" s="20"/>
      <c r="B4194" s="20"/>
      <c r="C4194" s="20"/>
      <c r="D4194" s="21"/>
      <c r="E4194" s="21"/>
      <c r="F4194" s="17"/>
      <c r="G4194" s="20"/>
    </row>
    <row r="4195" ht="15">
      <c r="A4195" s="20"/>
      <c r="B4195" s="20"/>
      <c r="C4195" s="20"/>
      <c r="D4195" s="21"/>
      <c r="E4195" s="21"/>
      <c r="F4195" s="17"/>
      <c r="G4195" s="20"/>
    </row>
    <row r="4196" ht="15">
      <c r="A4196" s="20"/>
      <c r="B4196" s="20"/>
      <c r="C4196" s="20"/>
      <c r="D4196" s="21"/>
      <c r="E4196" s="21"/>
      <c r="F4196" s="17"/>
      <c r="G4196" s="20"/>
    </row>
    <row r="4197" ht="15">
      <c r="A4197" s="20"/>
      <c r="B4197" s="20"/>
      <c r="C4197" s="20"/>
      <c r="D4197" s="21"/>
      <c r="E4197" s="21"/>
      <c r="F4197" s="17"/>
      <c r="G4197" s="20"/>
    </row>
    <row r="4198" ht="15">
      <c r="A4198" s="20"/>
      <c r="B4198" s="20"/>
      <c r="C4198" s="20"/>
      <c r="D4198" s="21"/>
      <c r="E4198" s="21"/>
      <c r="F4198" s="17"/>
      <c r="G4198" s="20"/>
    </row>
    <row r="4199" ht="15">
      <c r="A4199" s="20"/>
      <c r="B4199" s="20"/>
      <c r="C4199" s="20"/>
      <c r="D4199" s="21"/>
      <c r="E4199" s="21"/>
      <c r="F4199" s="17"/>
      <c r="G4199" s="20"/>
    </row>
    <row r="4200" ht="15">
      <c r="A4200" s="20"/>
      <c r="B4200" s="20"/>
      <c r="C4200" s="20"/>
      <c r="D4200" s="21"/>
      <c r="E4200" s="21"/>
      <c r="F4200" s="17"/>
      <c r="G4200" s="20"/>
    </row>
    <row r="4201" ht="15">
      <c r="A4201" s="20"/>
      <c r="B4201" s="20"/>
      <c r="C4201" s="20"/>
      <c r="D4201" s="21"/>
      <c r="E4201" s="21"/>
      <c r="F4201" s="17"/>
      <c r="G4201" s="20"/>
    </row>
    <row r="4202" ht="15">
      <c r="A4202" s="20"/>
      <c r="B4202" s="20"/>
      <c r="C4202" s="20"/>
      <c r="D4202" s="21"/>
      <c r="E4202" s="21"/>
      <c r="F4202" s="17"/>
      <c r="G4202" s="20"/>
    </row>
    <row r="4203" ht="15">
      <c r="A4203" s="20"/>
      <c r="B4203" s="20"/>
      <c r="C4203" s="20"/>
      <c r="D4203" s="21"/>
      <c r="E4203" s="21"/>
      <c r="F4203" s="17"/>
      <c r="G4203" s="20"/>
    </row>
    <row r="4204" ht="15">
      <c r="A4204" s="20"/>
      <c r="B4204" s="20"/>
      <c r="C4204" s="20"/>
      <c r="D4204" s="21"/>
      <c r="E4204" s="21"/>
      <c r="F4204" s="17"/>
      <c r="G4204" s="20"/>
    </row>
    <row r="4205" ht="15">
      <c r="A4205" s="20"/>
      <c r="B4205" s="20"/>
      <c r="C4205" s="20"/>
      <c r="D4205" s="21"/>
      <c r="E4205" s="21"/>
      <c r="F4205" s="17"/>
      <c r="G4205" s="20"/>
    </row>
    <row r="4206" ht="15">
      <c r="A4206" s="20"/>
      <c r="B4206" s="20"/>
      <c r="C4206" s="20"/>
      <c r="D4206" s="21"/>
      <c r="E4206" s="21"/>
      <c r="F4206" s="17"/>
      <c r="G4206" s="20"/>
    </row>
    <row r="4207" ht="15">
      <c r="A4207" s="20"/>
      <c r="B4207" s="20"/>
      <c r="C4207" s="20"/>
      <c r="D4207" s="21"/>
      <c r="E4207" s="21"/>
      <c r="F4207" s="17"/>
      <c r="G4207" s="20"/>
    </row>
    <row r="4208" ht="15">
      <c r="A4208" s="20"/>
      <c r="B4208" s="20"/>
      <c r="C4208" s="20"/>
      <c r="D4208" s="21"/>
      <c r="E4208" s="21"/>
      <c r="F4208" s="17"/>
      <c r="G4208" s="20"/>
    </row>
    <row r="4209" ht="15">
      <c r="A4209" s="20"/>
      <c r="B4209" s="20"/>
      <c r="C4209" s="20"/>
      <c r="D4209" s="21"/>
      <c r="E4209" s="21"/>
      <c r="F4209" s="17"/>
      <c r="G4209" s="20"/>
    </row>
    <row r="4210" ht="15">
      <c r="A4210" s="20"/>
      <c r="B4210" s="20"/>
      <c r="C4210" s="20"/>
      <c r="D4210" s="21"/>
      <c r="E4210" s="21"/>
      <c r="F4210" s="17"/>
      <c r="G4210" s="20"/>
    </row>
    <row r="4211" ht="15">
      <c r="A4211" s="20"/>
      <c r="B4211" s="20"/>
      <c r="C4211" s="20"/>
      <c r="D4211" s="21"/>
      <c r="E4211" s="21"/>
      <c r="F4211" s="17"/>
      <c r="G4211" s="20"/>
    </row>
    <row r="4212" ht="15">
      <c r="A4212" s="20"/>
      <c r="B4212" s="20"/>
      <c r="C4212" s="20"/>
      <c r="D4212" s="21"/>
      <c r="E4212" s="21"/>
      <c r="F4212" s="17"/>
    </row>
    <row r="4213" ht="15">
      <c r="A4213" s="20"/>
      <c r="B4213" s="20"/>
      <c r="C4213" s="20"/>
      <c r="D4213" s="21"/>
      <c r="E4213" s="21"/>
      <c r="F4213" s="17"/>
    </row>
    <row r="4214" ht="15">
      <c r="A4214" s="20"/>
      <c r="B4214" s="20"/>
      <c r="C4214" s="20"/>
      <c r="D4214" s="21"/>
      <c r="E4214" s="21"/>
      <c r="F4214" s="17"/>
    </row>
    <row r="4215" ht="15">
      <c r="A4215" s="20"/>
      <c r="B4215" s="20"/>
      <c r="C4215" s="20"/>
      <c r="D4215" s="21"/>
      <c r="E4215" s="21"/>
      <c r="F4215" s="17"/>
    </row>
    <row r="4216" ht="15">
      <c r="A4216" s="21"/>
      <c r="B4216" s="21"/>
      <c r="C4216" s="21"/>
      <c r="D4216" s="21"/>
      <c r="E4216" s="21"/>
    </row>
    <row r="4217" ht="15">
      <c r="A4217" s="21"/>
      <c r="B4217" s="21"/>
      <c r="C4217" s="21"/>
      <c r="D4217" s="21"/>
      <c r="E4217" s="21"/>
    </row>
    <row r="4218" ht="15">
      <c r="A4218" s="21"/>
      <c r="B4218" s="21"/>
      <c r="C4218" s="21"/>
      <c r="D4218" s="21"/>
      <c r="E4218" s="21"/>
    </row>
    <row r="4219" ht="15">
      <c r="A4219" s="21"/>
      <c r="B4219" s="21"/>
      <c r="C4219" s="21"/>
      <c r="D4219" s="21"/>
      <c r="E4219" s="21"/>
    </row>
    <row r="4220" ht="15">
      <c r="A4220" s="21"/>
      <c r="B4220" s="21"/>
      <c r="C4220" s="21"/>
      <c r="D4220" s="21"/>
      <c r="E4220" s="21"/>
    </row>
    <row r="4221">
      <c r="A4221" s="21"/>
      <c r="B4221" s="21"/>
      <c r="C4221" s="21"/>
      <c r="D4221" s="21"/>
      <c r="E4221" s="21"/>
    </row>
    <row r="4222">
      <c r="A4222" s="21"/>
      <c r="B4222" s="21"/>
      <c r="C4222" s="21"/>
      <c r="D4222" s="21"/>
      <c r="E4222" s="21"/>
    </row>
    <row r="4223">
      <c r="A4223" s="21"/>
      <c r="B4223" s="21"/>
      <c r="C4223" s="21"/>
      <c r="D4223" s="21"/>
      <c r="E4223" s="21"/>
    </row>
    <row r="4224">
      <c r="A4224" s="21"/>
      <c r="B4224" s="21"/>
      <c r="C4224" s="21"/>
      <c r="D4224" s="21"/>
      <c r="E4224" s="21"/>
    </row>
    <row r="4225">
      <c r="A4225" s="21"/>
      <c r="B4225" s="21"/>
      <c r="C4225" s="21"/>
      <c r="D4225" s="21"/>
      <c r="E4225" s="21"/>
    </row>
    <row r="4226">
      <c r="A4226" s="21"/>
      <c r="B4226" s="21"/>
      <c r="C4226" s="21"/>
      <c r="D4226" s="21"/>
      <c r="E4226" s="21"/>
    </row>
    <row r="4227">
      <c r="A4227" s="21"/>
      <c r="B4227" s="21"/>
      <c r="C4227" s="21"/>
      <c r="D4227" s="21"/>
      <c r="E4227" s="21"/>
    </row>
    <row r="4228">
      <c r="A4228" s="21"/>
      <c r="B4228" s="21"/>
      <c r="C4228" s="21"/>
      <c r="D4228" s="21"/>
      <c r="E4228" s="21"/>
    </row>
    <row r="4229">
      <c r="A4229" s="21"/>
      <c r="B4229" s="21"/>
      <c r="C4229" s="21"/>
      <c r="D4229" s="21"/>
      <c r="E4229" s="21"/>
    </row>
    <row r="4230">
      <c r="A4230" s="21"/>
      <c r="B4230" s="21"/>
      <c r="C4230" s="21"/>
      <c r="D4230" s="21"/>
      <c r="E4230" s="21"/>
    </row>
    <row r="4231">
      <c r="A4231" s="21"/>
      <c r="B4231" s="21"/>
      <c r="C4231" s="21"/>
      <c r="D4231" s="21"/>
      <c r="E4231" s="21"/>
    </row>
    <row r="4232">
      <c r="A4232" s="21"/>
      <c r="B4232" s="21"/>
      <c r="C4232" s="21"/>
      <c r="D4232" s="21"/>
      <c r="E4232" s="21"/>
    </row>
    <row r="4233">
      <c r="A4233" s="21"/>
      <c r="B4233" s="21"/>
      <c r="C4233" s="21"/>
      <c r="D4233" s="21"/>
      <c r="E4233" s="21"/>
    </row>
    <row r="4234">
      <c r="A4234" s="21"/>
      <c r="B4234" s="21"/>
      <c r="C4234" s="21"/>
      <c r="D4234" s="21"/>
      <c r="E4234" s="21"/>
    </row>
    <row r="4235">
      <c r="A4235" s="21"/>
      <c r="B4235" s="21"/>
      <c r="C4235" s="21"/>
      <c r="D4235" s="21"/>
      <c r="E4235" s="21"/>
    </row>
    <row r="4236">
      <c r="A4236" s="21"/>
      <c r="B4236" s="21"/>
      <c r="C4236" s="21"/>
      <c r="D4236" s="21"/>
      <c r="E4236" s="21"/>
    </row>
    <row r="4237">
      <c r="A4237" s="21"/>
      <c r="B4237" s="21"/>
      <c r="C4237" s="21"/>
      <c r="D4237" s="21"/>
      <c r="E4237" s="21"/>
    </row>
    <row r="4238">
      <c r="A4238" s="21"/>
      <c r="B4238" s="21"/>
      <c r="C4238" s="21"/>
      <c r="D4238" s="21"/>
      <c r="E4238" s="21"/>
    </row>
    <row r="4239">
      <c r="A4239" s="21"/>
      <c r="B4239" s="21"/>
      <c r="C4239" s="21"/>
      <c r="D4239" s="21"/>
      <c r="E4239" s="21"/>
    </row>
    <row r="4240">
      <c r="A4240" s="21"/>
      <c r="B4240" s="21"/>
      <c r="C4240" s="21"/>
      <c r="D4240" s="21"/>
      <c r="E4240" s="21"/>
    </row>
    <row r="4241">
      <c r="A4241" s="21"/>
      <c r="B4241" s="21"/>
      <c r="C4241" s="21"/>
      <c r="D4241" s="21"/>
      <c r="E4241" s="21"/>
    </row>
    <row r="4242">
      <c r="A4242" s="21"/>
      <c r="B4242" s="21"/>
      <c r="C4242" s="21"/>
      <c r="D4242" s="21"/>
      <c r="E4242" s="21"/>
    </row>
    <row r="4243">
      <c r="A4243" s="21"/>
      <c r="B4243" s="21"/>
      <c r="C4243" s="21"/>
      <c r="D4243" s="21"/>
      <c r="E4243" s="21"/>
    </row>
    <row r="4244">
      <c r="A4244" s="21"/>
      <c r="B4244" s="21"/>
      <c r="C4244" s="21"/>
      <c r="D4244" s="21"/>
      <c r="E4244" s="21"/>
    </row>
    <row r="4245">
      <c r="A4245" s="21"/>
      <c r="B4245" s="21"/>
      <c r="C4245" s="21"/>
      <c r="D4245" s="21"/>
      <c r="E4245" s="21"/>
    </row>
    <row r="4246">
      <c r="A4246" s="21"/>
      <c r="B4246" s="21"/>
      <c r="C4246" s="21"/>
      <c r="D4246" s="21"/>
      <c r="E4246" s="21"/>
    </row>
    <row r="4247">
      <c r="A4247" s="21"/>
      <c r="B4247" s="21"/>
      <c r="C4247" s="21"/>
      <c r="D4247" s="21"/>
      <c r="E4247" s="21"/>
    </row>
    <row r="4248">
      <c r="A4248" s="21"/>
      <c r="B4248" s="21"/>
      <c r="C4248" s="21"/>
      <c r="D4248" s="21"/>
      <c r="E4248" s="21"/>
    </row>
    <row r="4249">
      <c r="A4249" s="21"/>
      <c r="B4249" s="21"/>
      <c r="C4249" s="21"/>
      <c r="D4249" s="21"/>
      <c r="E4249" s="21"/>
    </row>
    <row r="4250">
      <c r="A4250" s="21"/>
      <c r="B4250" s="21"/>
      <c r="C4250" s="21"/>
      <c r="D4250" s="21"/>
      <c r="E4250" s="21"/>
    </row>
    <row r="4251">
      <c r="A4251" s="21"/>
      <c r="B4251" s="21"/>
      <c r="C4251" s="21"/>
      <c r="D4251" s="21"/>
      <c r="E4251" s="21"/>
    </row>
    <row r="4252">
      <c r="A4252" s="21"/>
      <c r="B4252" s="21"/>
      <c r="C4252" s="21"/>
      <c r="D4252" s="21"/>
      <c r="E4252" s="21"/>
    </row>
    <row r="4253">
      <c r="A4253" s="21"/>
      <c r="B4253" s="21"/>
      <c r="C4253" s="21"/>
      <c r="D4253" s="21"/>
      <c r="E4253" s="21"/>
    </row>
    <row r="4254">
      <c r="A4254" s="21"/>
      <c r="B4254" s="21"/>
      <c r="C4254" s="21"/>
      <c r="D4254" s="21"/>
      <c r="E4254" s="21"/>
    </row>
    <row r="4255">
      <c r="A4255" s="21"/>
      <c r="B4255" s="21"/>
      <c r="C4255" s="21"/>
      <c r="D4255" s="21"/>
      <c r="E4255" s="21"/>
    </row>
    <row r="4256">
      <c r="A4256" s="21"/>
      <c r="B4256" s="21"/>
      <c r="C4256" s="21"/>
      <c r="D4256" s="21"/>
      <c r="E4256" s="21"/>
    </row>
    <row r="4257">
      <c r="A4257" s="21"/>
      <c r="B4257" s="21"/>
      <c r="C4257" s="21"/>
      <c r="D4257" s="21"/>
      <c r="E4257" s="21"/>
    </row>
    <row r="4258">
      <c r="A4258" s="21"/>
      <c r="B4258" s="21"/>
      <c r="C4258" s="21"/>
      <c r="D4258" s="21"/>
      <c r="E4258" s="21"/>
    </row>
    <row r="4259">
      <c r="A4259" s="21"/>
      <c r="B4259" s="21"/>
      <c r="C4259" s="21"/>
      <c r="D4259" s="21"/>
      <c r="E4259" s="21"/>
    </row>
    <row r="4260">
      <c r="A4260" s="21"/>
      <c r="B4260" s="21"/>
      <c r="C4260" s="21"/>
      <c r="D4260" s="21"/>
      <c r="E4260" s="21"/>
    </row>
    <row r="4261">
      <c r="A4261" s="21"/>
      <c r="B4261" s="21"/>
      <c r="C4261" s="21"/>
      <c r="D4261" s="21"/>
      <c r="E4261" s="21"/>
    </row>
    <row r="4262">
      <c r="A4262" s="21"/>
      <c r="B4262" s="21"/>
      <c r="C4262" s="21"/>
      <c r="D4262" s="21"/>
      <c r="E4262" s="21"/>
    </row>
    <row r="4263">
      <c r="A4263" s="21"/>
      <c r="B4263" s="21"/>
      <c r="C4263" s="21"/>
      <c r="D4263" s="21"/>
      <c r="E4263" s="21"/>
    </row>
    <row r="4264">
      <c r="A4264" s="21"/>
      <c r="B4264" s="21"/>
      <c r="C4264" s="21"/>
      <c r="D4264" s="21"/>
      <c r="E4264" s="21"/>
    </row>
    <row r="4265">
      <c r="A4265" s="21"/>
      <c r="B4265" s="21"/>
      <c r="C4265" s="21"/>
      <c r="D4265" s="21"/>
      <c r="E4265" s="21"/>
    </row>
    <row r="4266">
      <c r="A4266" s="21"/>
      <c r="B4266" s="21"/>
      <c r="C4266" s="21"/>
      <c r="D4266" s="21"/>
      <c r="E4266" s="21"/>
    </row>
    <row r="4267">
      <c r="A4267" s="21"/>
      <c r="B4267" s="21"/>
      <c r="C4267" s="21"/>
      <c r="D4267" s="21"/>
      <c r="E4267" s="21"/>
    </row>
    <row r="4268">
      <c r="A4268" s="21"/>
      <c r="B4268" s="21"/>
      <c r="C4268" s="21"/>
      <c r="D4268" s="21"/>
      <c r="E4268" s="21"/>
    </row>
    <row r="4269">
      <c r="A4269" s="21"/>
      <c r="B4269" s="21"/>
      <c r="C4269" s="21"/>
      <c r="D4269" s="21"/>
      <c r="E4269" s="21"/>
    </row>
    <row r="4270">
      <c r="A4270" s="21"/>
      <c r="B4270" s="21"/>
      <c r="C4270" s="21"/>
      <c r="D4270" s="21"/>
      <c r="E4270" s="21"/>
    </row>
    <row r="4271">
      <c r="A4271" s="21"/>
      <c r="B4271" s="21"/>
      <c r="C4271" s="21"/>
      <c r="D4271" s="21"/>
      <c r="E4271" s="21"/>
    </row>
    <row r="4272">
      <c r="A4272" s="21"/>
      <c r="B4272" s="21"/>
      <c r="C4272" s="21"/>
      <c r="D4272" s="21"/>
      <c r="E4272" s="21"/>
    </row>
    <row r="4273">
      <c r="A4273" s="21"/>
      <c r="B4273" s="21"/>
      <c r="C4273" s="21"/>
      <c r="D4273" s="21"/>
      <c r="E4273" s="21"/>
    </row>
    <row r="4274">
      <c r="A4274" s="21"/>
      <c r="B4274" s="21"/>
      <c r="C4274" s="21"/>
      <c r="D4274" s="21"/>
      <c r="E4274" s="21"/>
    </row>
    <row r="4275">
      <c r="A4275" s="21"/>
      <c r="B4275" s="21"/>
      <c r="C4275" s="21"/>
      <c r="D4275" s="21"/>
      <c r="E4275" s="21"/>
    </row>
    <row r="4276">
      <c r="A4276" s="21"/>
      <c r="B4276" s="21"/>
      <c r="C4276" s="21"/>
      <c r="D4276" s="21"/>
      <c r="E4276" s="21"/>
    </row>
    <row r="4277">
      <c r="A4277" s="21"/>
      <c r="B4277" s="21"/>
      <c r="C4277" s="21"/>
      <c r="D4277" s="21"/>
      <c r="E4277" s="21"/>
    </row>
    <row r="4278">
      <c r="A4278" s="21"/>
      <c r="B4278" s="21"/>
      <c r="C4278" s="21"/>
      <c r="D4278" s="21"/>
      <c r="E4278" s="21"/>
    </row>
    <row r="4279">
      <c r="A4279" s="21"/>
      <c r="B4279" s="21"/>
      <c r="C4279" s="21"/>
      <c r="D4279" s="21"/>
      <c r="E4279" s="21"/>
    </row>
    <row r="4280">
      <c r="A4280" s="21"/>
      <c r="B4280" s="21"/>
      <c r="C4280" s="21"/>
      <c r="D4280" s="21"/>
      <c r="E4280" s="21"/>
    </row>
    <row r="4281">
      <c r="A4281" s="21"/>
      <c r="B4281" s="21"/>
      <c r="C4281" s="21"/>
      <c r="D4281" s="21"/>
      <c r="E4281" s="21"/>
    </row>
    <row r="4282">
      <c r="A4282" s="21"/>
      <c r="B4282" s="21"/>
      <c r="C4282" s="21"/>
      <c r="D4282" s="21"/>
      <c r="E4282" s="21"/>
    </row>
    <row r="4283">
      <c r="A4283" s="21"/>
      <c r="B4283" s="21"/>
      <c r="C4283" s="21"/>
      <c r="D4283" s="21"/>
      <c r="E4283" s="21"/>
    </row>
    <row r="4284">
      <c r="A4284" s="21"/>
      <c r="B4284" s="21"/>
      <c r="C4284" s="21"/>
      <c r="D4284" s="21"/>
      <c r="E4284" s="21"/>
    </row>
    <row r="4285">
      <c r="A4285" s="21"/>
      <c r="B4285" s="21"/>
      <c r="C4285" s="21"/>
      <c r="D4285" s="21"/>
      <c r="E4285" s="21"/>
    </row>
    <row r="4286">
      <c r="A4286" s="21"/>
      <c r="B4286" s="21"/>
      <c r="C4286" s="21"/>
      <c r="D4286" s="21"/>
      <c r="E4286" s="21"/>
    </row>
    <row r="4287">
      <c r="A4287" s="21"/>
      <c r="B4287" s="21"/>
      <c r="C4287" s="21"/>
      <c r="D4287" s="21"/>
      <c r="E4287" s="21"/>
    </row>
    <row r="4288">
      <c r="A4288" s="21"/>
      <c r="B4288" s="21"/>
      <c r="C4288" s="21"/>
      <c r="D4288" s="21"/>
      <c r="E4288" s="21"/>
    </row>
    <row r="4289">
      <c r="A4289" s="21"/>
      <c r="B4289" s="21"/>
      <c r="C4289" s="21"/>
      <c r="D4289" s="21"/>
      <c r="E4289" s="21"/>
    </row>
    <row r="4290">
      <c r="A4290" s="21"/>
      <c r="B4290" s="21"/>
      <c r="C4290" s="21"/>
      <c r="D4290" s="21"/>
      <c r="E4290" s="21"/>
    </row>
    <row r="4291">
      <c r="A4291" s="21"/>
      <c r="B4291" s="21"/>
      <c r="C4291" s="21"/>
      <c r="D4291" s="21"/>
      <c r="E4291" s="21"/>
    </row>
    <row r="4292">
      <c r="A4292" s="21"/>
      <c r="B4292" s="21"/>
      <c r="C4292" s="21"/>
      <c r="D4292" s="21"/>
      <c r="E4292" s="21"/>
    </row>
    <row r="4293">
      <c r="A4293" s="21"/>
      <c r="B4293" s="21"/>
      <c r="C4293" s="21"/>
      <c r="D4293" s="21"/>
      <c r="E4293" s="21"/>
    </row>
    <row r="4294">
      <c r="A4294" s="21"/>
      <c r="B4294" s="21"/>
      <c r="C4294" s="21"/>
      <c r="D4294" s="21"/>
      <c r="E4294" s="21"/>
    </row>
    <row r="4295">
      <c r="A4295" s="21"/>
      <c r="B4295" s="21"/>
      <c r="C4295" s="21"/>
      <c r="D4295" s="21"/>
      <c r="E4295" s="21"/>
    </row>
    <row r="4296">
      <c r="A4296" s="21"/>
      <c r="B4296" s="21"/>
      <c r="C4296" s="21"/>
      <c r="D4296" s="21"/>
      <c r="E4296" s="21"/>
    </row>
    <row r="4297">
      <c r="A4297" s="21"/>
      <c r="B4297" s="21"/>
      <c r="C4297" s="21"/>
      <c r="D4297" s="21"/>
      <c r="E4297" s="21"/>
    </row>
    <row r="4298">
      <c r="A4298" s="21"/>
      <c r="B4298" s="21"/>
      <c r="C4298" s="21"/>
      <c r="D4298" s="21"/>
      <c r="E4298" s="21"/>
    </row>
    <row r="4299">
      <c r="A4299" s="21"/>
      <c r="B4299" s="21"/>
      <c r="C4299" s="21"/>
      <c r="D4299" s="21"/>
      <c r="E4299" s="21"/>
    </row>
    <row r="4300">
      <c r="A4300" s="21"/>
      <c r="B4300" s="21"/>
      <c r="C4300" s="21"/>
      <c r="D4300" s="21"/>
      <c r="E4300" s="21"/>
    </row>
    <row r="4301">
      <c r="A4301" s="21"/>
      <c r="B4301" s="21"/>
      <c r="C4301" s="21"/>
      <c r="D4301" s="21"/>
      <c r="E4301" s="21"/>
    </row>
    <row r="4302">
      <c r="A4302" s="21"/>
      <c r="B4302" s="21"/>
      <c r="C4302" s="21"/>
      <c r="D4302" s="21"/>
      <c r="E4302" s="21"/>
    </row>
    <row r="4303">
      <c r="A4303" s="21"/>
      <c r="B4303" s="21"/>
      <c r="C4303" s="21"/>
      <c r="D4303" s="21"/>
      <c r="E4303" s="21"/>
    </row>
    <row r="4304">
      <c r="A4304" s="21"/>
      <c r="B4304" s="21"/>
      <c r="C4304" s="21"/>
      <c r="D4304" s="21"/>
      <c r="E4304" s="21"/>
    </row>
    <row r="4305">
      <c r="A4305" s="21"/>
      <c r="B4305" s="21"/>
      <c r="C4305" s="21"/>
      <c r="D4305" s="21"/>
      <c r="E4305" s="21"/>
    </row>
    <row r="4306">
      <c r="A4306" s="21"/>
      <c r="B4306" s="21"/>
      <c r="C4306" s="21"/>
      <c r="D4306" s="21"/>
      <c r="E4306" s="21"/>
    </row>
    <row r="4307">
      <c r="A4307" s="21"/>
      <c r="B4307" s="21"/>
      <c r="C4307" s="21"/>
      <c r="D4307" s="21"/>
      <c r="E4307" s="21"/>
    </row>
    <row r="4308">
      <c r="A4308" s="21"/>
      <c r="B4308" s="21"/>
      <c r="C4308" s="21"/>
      <c r="D4308" s="21"/>
      <c r="E4308" s="21"/>
    </row>
    <row r="4309">
      <c r="A4309" s="21"/>
      <c r="B4309" s="21"/>
      <c r="C4309" s="21"/>
      <c r="D4309" s="21"/>
      <c r="E4309" s="21"/>
    </row>
    <row r="4310">
      <c r="A4310" s="21"/>
      <c r="B4310" s="21"/>
      <c r="C4310" s="21"/>
      <c r="D4310" s="21"/>
      <c r="E4310" s="21"/>
    </row>
    <row r="4311">
      <c r="A4311" s="21"/>
      <c r="B4311" s="21"/>
      <c r="C4311" s="21"/>
      <c r="D4311" s="21"/>
      <c r="E4311" s="21"/>
    </row>
    <row r="4312">
      <c r="A4312" s="21"/>
      <c r="B4312" s="21"/>
      <c r="C4312" s="21"/>
      <c r="D4312" s="21"/>
      <c r="E4312" s="21"/>
    </row>
    <row r="4313">
      <c r="A4313" s="21"/>
      <c r="B4313" s="21"/>
      <c r="C4313" s="21"/>
      <c r="D4313" s="21"/>
      <c r="E4313" s="21"/>
    </row>
    <row r="4314">
      <c r="A4314" s="21"/>
      <c r="B4314" s="21"/>
      <c r="C4314" s="21"/>
      <c r="D4314" s="21"/>
      <c r="E4314" s="21"/>
    </row>
    <row r="4315">
      <c r="A4315" s="21"/>
      <c r="B4315" s="21"/>
      <c r="C4315" s="21"/>
      <c r="D4315" s="21"/>
      <c r="E4315" s="21"/>
    </row>
    <row r="4316">
      <c r="A4316" s="21"/>
      <c r="B4316" s="21"/>
      <c r="C4316" s="21"/>
      <c r="D4316" s="21"/>
      <c r="E4316" s="21"/>
    </row>
    <row r="4317">
      <c r="A4317" s="21"/>
      <c r="B4317" s="21"/>
      <c r="C4317" s="21"/>
      <c r="D4317" s="21"/>
      <c r="E4317" s="21"/>
    </row>
    <row r="4318">
      <c r="A4318" s="21"/>
      <c r="B4318" s="21"/>
      <c r="C4318" s="21"/>
      <c r="D4318" s="21"/>
      <c r="E4318" s="21"/>
    </row>
    <row r="4319">
      <c r="A4319" s="21"/>
      <c r="B4319" s="21"/>
      <c r="C4319" s="21"/>
      <c r="D4319" s="21"/>
      <c r="E4319" s="21"/>
    </row>
    <row r="4320">
      <c r="A4320" s="21"/>
      <c r="B4320" s="21"/>
      <c r="C4320" s="21"/>
      <c r="D4320" s="21"/>
      <c r="E4320" s="21"/>
    </row>
    <row r="4321">
      <c r="A4321" s="21"/>
      <c r="B4321" s="21"/>
      <c r="C4321" s="21"/>
      <c r="D4321" s="21"/>
      <c r="E4321" s="21"/>
    </row>
    <row r="4322">
      <c r="A4322" s="21"/>
      <c r="B4322" s="21"/>
      <c r="C4322" s="21"/>
      <c r="D4322" s="21"/>
      <c r="E4322" s="21"/>
    </row>
    <row r="4323">
      <c r="A4323" s="21"/>
      <c r="B4323" s="21"/>
      <c r="C4323" s="21"/>
      <c r="D4323" s="21"/>
      <c r="E4323" s="21"/>
    </row>
    <row r="4324">
      <c r="A4324" s="21"/>
      <c r="B4324" s="21"/>
      <c r="C4324" s="21"/>
      <c r="D4324" s="21"/>
      <c r="E4324" s="21"/>
    </row>
    <row r="4325">
      <c r="A4325" s="21"/>
      <c r="B4325" s="21"/>
      <c r="C4325" s="21"/>
      <c r="D4325" s="21"/>
      <c r="E4325" s="21"/>
    </row>
    <row r="4326">
      <c r="A4326" s="21"/>
      <c r="B4326" s="21"/>
      <c r="C4326" s="21"/>
      <c r="D4326" s="21"/>
      <c r="E4326" s="21"/>
    </row>
    <row r="4327">
      <c r="A4327" s="21"/>
      <c r="B4327" s="21"/>
      <c r="C4327" s="21"/>
      <c r="D4327" s="21"/>
      <c r="E4327" s="21"/>
    </row>
    <row r="4328">
      <c r="A4328" s="21"/>
      <c r="B4328" s="21"/>
      <c r="C4328" s="21"/>
      <c r="D4328" s="21"/>
      <c r="E4328" s="21"/>
    </row>
    <row r="4329">
      <c r="A4329" s="21"/>
      <c r="B4329" s="21"/>
      <c r="C4329" s="21"/>
      <c r="D4329" s="21"/>
      <c r="E4329" s="21"/>
    </row>
    <row r="4330">
      <c r="A4330" s="21"/>
      <c r="B4330" s="21"/>
      <c r="C4330" s="21"/>
      <c r="D4330" s="21"/>
      <c r="E4330" s="21"/>
    </row>
    <row r="4331">
      <c r="A4331" s="21"/>
      <c r="B4331" s="21"/>
      <c r="C4331" s="21"/>
      <c r="D4331" s="21"/>
      <c r="E4331" s="21"/>
    </row>
    <row r="4332">
      <c r="A4332" s="21"/>
      <c r="B4332" s="21"/>
      <c r="C4332" s="21"/>
      <c r="D4332" s="21"/>
      <c r="E4332" s="21"/>
    </row>
    <row r="4333">
      <c r="A4333" s="21"/>
      <c r="B4333" s="21"/>
      <c r="C4333" s="21"/>
      <c r="D4333" s="21"/>
      <c r="E4333" s="21"/>
    </row>
    <row r="4334">
      <c r="A4334" s="21"/>
      <c r="B4334" s="21"/>
      <c r="C4334" s="21"/>
      <c r="D4334" s="21"/>
      <c r="E4334" s="21"/>
    </row>
    <row r="4335">
      <c r="A4335" s="21"/>
      <c r="B4335" s="21"/>
      <c r="C4335" s="21"/>
      <c r="D4335" s="21"/>
      <c r="E4335" s="21"/>
    </row>
    <row r="4336">
      <c r="A4336" s="21"/>
      <c r="B4336" s="21"/>
      <c r="C4336" s="21"/>
      <c r="D4336" s="21"/>
      <c r="E4336" s="21"/>
    </row>
    <row r="4337">
      <c r="A4337" s="21"/>
      <c r="B4337" s="21"/>
      <c r="C4337" s="21"/>
      <c r="D4337" s="21"/>
      <c r="E4337" s="21"/>
    </row>
    <row r="4338">
      <c r="A4338" s="21"/>
      <c r="B4338" s="21"/>
      <c r="C4338" s="21"/>
      <c r="D4338" s="21"/>
      <c r="E4338" s="21"/>
    </row>
    <row r="4339">
      <c r="A4339" s="21"/>
      <c r="B4339" s="21"/>
      <c r="C4339" s="21"/>
      <c r="D4339" s="21"/>
      <c r="E4339" s="21"/>
    </row>
    <row r="4340">
      <c r="A4340" s="21"/>
      <c r="B4340" s="21"/>
      <c r="C4340" s="21"/>
      <c r="D4340" s="21"/>
      <c r="E4340" s="21"/>
    </row>
    <row r="4341">
      <c r="A4341" s="21"/>
      <c r="B4341" s="21"/>
      <c r="C4341" s="21"/>
      <c r="D4341" s="21"/>
      <c r="E4341" s="21"/>
    </row>
    <row r="4342">
      <c r="A4342" s="21"/>
      <c r="B4342" s="21"/>
      <c r="C4342" s="21"/>
      <c r="D4342" s="21"/>
      <c r="E4342" s="21"/>
    </row>
    <row r="4343">
      <c r="A4343" s="21"/>
      <c r="B4343" s="21"/>
      <c r="C4343" s="21"/>
      <c r="D4343" s="21"/>
      <c r="E4343" s="21"/>
    </row>
    <row r="4344">
      <c r="A4344" s="21"/>
      <c r="B4344" s="21"/>
      <c r="C4344" s="21"/>
      <c r="D4344" s="21"/>
      <c r="E4344" s="21"/>
    </row>
    <row r="4345">
      <c r="A4345" s="21"/>
      <c r="B4345" s="21"/>
      <c r="C4345" s="21"/>
      <c r="D4345" s="21"/>
      <c r="E4345" s="21"/>
    </row>
    <row r="4346">
      <c r="A4346" s="21"/>
      <c r="B4346" s="21"/>
      <c r="C4346" s="21"/>
      <c r="D4346" s="21"/>
      <c r="E4346" s="21"/>
    </row>
    <row r="4347">
      <c r="A4347" s="21"/>
      <c r="B4347" s="21"/>
      <c r="C4347" s="21"/>
      <c r="D4347" s="21"/>
      <c r="E4347" s="21"/>
    </row>
    <row r="4348">
      <c r="A4348" s="21"/>
      <c r="B4348" s="21"/>
      <c r="C4348" s="21"/>
      <c r="D4348" s="21"/>
      <c r="E4348" s="21"/>
    </row>
    <row r="4349">
      <c r="A4349" s="21"/>
      <c r="B4349" s="21"/>
      <c r="C4349" s="21"/>
      <c r="D4349" s="21"/>
      <c r="E4349" s="21"/>
    </row>
    <row r="4350">
      <c r="A4350" s="21"/>
      <c r="B4350" s="21"/>
      <c r="C4350" s="21"/>
      <c r="D4350" s="21"/>
      <c r="E4350" s="21"/>
    </row>
    <row r="4351">
      <c r="A4351" s="21"/>
      <c r="B4351" s="21"/>
      <c r="C4351" s="21"/>
      <c r="D4351" s="21"/>
      <c r="E4351" s="21"/>
    </row>
    <row r="4352">
      <c r="A4352" s="21"/>
      <c r="B4352" s="21"/>
      <c r="C4352" s="21"/>
      <c r="D4352" s="21"/>
      <c r="E4352" s="21"/>
    </row>
    <row r="4353">
      <c r="A4353" s="21"/>
      <c r="B4353" s="21"/>
      <c r="C4353" s="21"/>
      <c r="D4353" s="21"/>
      <c r="E4353" s="21"/>
    </row>
    <row r="4354">
      <c r="A4354" s="21"/>
      <c r="B4354" s="21"/>
      <c r="C4354" s="21"/>
      <c r="D4354" s="21"/>
      <c r="E4354" s="21"/>
    </row>
    <row r="4355">
      <c r="A4355" s="21"/>
      <c r="B4355" s="21"/>
      <c r="C4355" s="21"/>
      <c r="D4355" s="21"/>
      <c r="E4355" s="21"/>
    </row>
    <row r="4356">
      <c r="A4356" s="21"/>
      <c r="B4356" s="21"/>
      <c r="C4356" s="21"/>
      <c r="D4356" s="21"/>
      <c r="E4356" s="21"/>
    </row>
    <row r="4357">
      <c r="A4357" s="21"/>
      <c r="B4357" s="21"/>
      <c r="C4357" s="21"/>
      <c r="D4357" s="21"/>
      <c r="E4357" s="21"/>
    </row>
    <row r="4358">
      <c r="A4358" s="21"/>
      <c r="B4358" s="21"/>
      <c r="C4358" s="21"/>
      <c r="D4358" s="21"/>
      <c r="E4358" s="21"/>
    </row>
    <row r="4359">
      <c r="A4359" s="21"/>
      <c r="B4359" s="21"/>
      <c r="C4359" s="21"/>
      <c r="D4359" s="21"/>
      <c r="E4359" s="21"/>
    </row>
    <row r="4360">
      <c r="A4360" s="21"/>
      <c r="B4360" s="21"/>
      <c r="C4360" s="21"/>
      <c r="D4360" s="21"/>
      <c r="E4360" s="21"/>
    </row>
    <row r="4361">
      <c r="A4361" s="21"/>
      <c r="B4361" s="21"/>
      <c r="C4361" s="21"/>
      <c r="D4361" s="21"/>
      <c r="E4361" s="21"/>
    </row>
    <row r="4362">
      <c r="A4362" s="21"/>
      <c r="B4362" s="21"/>
      <c r="C4362" s="21"/>
      <c r="D4362" s="21"/>
      <c r="E4362" s="21"/>
    </row>
    <row r="4363">
      <c r="A4363" s="21"/>
      <c r="B4363" s="21"/>
      <c r="C4363" s="21"/>
      <c r="D4363" s="21"/>
      <c r="E4363" s="21"/>
    </row>
    <row r="4364">
      <c r="A4364" s="21"/>
      <c r="B4364" s="21"/>
      <c r="C4364" s="21"/>
      <c r="D4364" s="21"/>
      <c r="E4364" s="21"/>
    </row>
    <row r="4365">
      <c r="A4365" s="21"/>
      <c r="B4365" s="21"/>
      <c r="C4365" s="21"/>
      <c r="D4365" s="21"/>
      <c r="E4365" s="21"/>
    </row>
    <row r="4366">
      <c r="A4366" s="21"/>
      <c r="B4366" s="21"/>
      <c r="C4366" s="21"/>
      <c r="D4366" s="21"/>
      <c r="E4366" s="21"/>
    </row>
    <row r="4367">
      <c r="A4367" s="21"/>
      <c r="B4367" s="21"/>
      <c r="C4367" s="21"/>
      <c r="D4367" s="21"/>
      <c r="E4367" s="21"/>
    </row>
    <row r="4368">
      <c r="A4368" s="21"/>
      <c r="B4368" s="21"/>
      <c r="C4368" s="21"/>
      <c r="D4368" s="21"/>
      <c r="E4368" s="21"/>
    </row>
    <row r="4369">
      <c r="A4369" s="21"/>
      <c r="B4369" s="21"/>
      <c r="C4369" s="21"/>
      <c r="D4369" s="21"/>
      <c r="E4369" s="21"/>
    </row>
    <row r="4370">
      <c r="A4370" s="21"/>
      <c r="B4370" s="21"/>
      <c r="C4370" s="21"/>
      <c r="D4370" s="21"/>
      <c r="E4370" s="21"/>
    </row>
    <row r="4371">
      <c r="A4371" s="21"/>
      <c r="B4371" s="21"/>
      <c r="C4371" s="21"/>
      <c r="D4371" s="21"/>
      <c r="E4371" s="21"/>
    </row>
    <row r="4372">
      <c r="A4372" s="21"/>
      <c r="B4372" s="21"/>
      <c r="C4372" s="21"/>
      <c r="D4372" s="21"/>
      <c r="E4372" s="21"/>
    </row>
    <row r="4373">
      <c r="A4373" s="21"/>
      <c r="B4373" s="21"/>
      <c r="C4373" s="21"/>
      <c r="D4373" s="21"/>
      <c r="E4373" s="21"/>
    </row>
    <row r="4374">
      <c r="A4374" s="21"/>
      <c r="B4374" s="21"/>
      <c r="C4374" s="21"/>
      <c r="D4374" s="21"/>
      <c r="E4374" s="21"/>
    </row>
    <row r="4375">
      <c r="A4375" s="21"/>
      <c r="B4375" s="21"/>
      <c r="C4375" s="21"/>
      <c r="D4375" s="21"/>
      <c r="E4375" s="21"/>
    </row>
    <row r="4376">
      <c r="A4376" s="21"/>
      <c r="B4376" s="21"/>
      <c r="C4376" s="21"/>
      <c r="D4376" s="21"/>
      <c r="E4376" s="21"/>
    </row>
    <row r="4377">
      <c r="A4377" s="21"/>
      <c r="B4377" s="21"/>
      <c r="C4377" s="21"/>
      <c r="D4377" s="21"/>
      <c r="E4377" s="21"/>
    </row>
    <row r="4378">
      <c r="A4378" s="21"/>
      <c r="B4378" s="21"/>
      <c r="C4378" s="21"/>
      <c r="D4378" s="21"/>
      <c r="E4378" s="21"/>
    </row>
    <row r="4379">
      <c r="A4379" s="21"/>
      <c r="B4379" s="21"/>
      <c r="C4379" s="21"/>
      <c r="D4379" s="21"/>
      <c r="E4379" s="21"/>
    </row>
    <row r="4380">
      <c r="A4380" s="21"/>
      <c r="B4380" s="21"/>
      <c r="C4380" s="21"/>
      <c r="D4380" s="21"/>
      <c r="E4380" s="21"/>
    </row>
    <row r="4381">
      <c r="A4381" s="21"/>
      <c r="B4381" s="21"/>
      <c r="C4381" s="21"/>
      <c r="D4381" s="21"/>
      <c r="E4381" s="21"/>
    </row>
    <row r="4382">
      <c r="A4382" s="21"/>
      <c r="B4382" s="21"/>
      <c r="C4382" s="21"/>
      <c r="D4382" s="21"/>
      <c r="E4382" s="21"/>
    </row>
    <row r="4383">
      <c r="A4383" s="21"/>
      <c r="B4383" s="21"/>
      <c r="C4383" s="21"/>
      <c r="D4383" s="21"/>
      <c r="E4383" s="21"/>
    </row>
    <row r="4384">
      <c r="A4384" s="21"/>
      <c r="B4384" s="21"/>
      <c r="C4384" s="21"/>
      <c r="D4384" s="21"/>
      <c r="E4384" s="21"/>
    </row>
    <row r="4385">
      <c r="A4385" s="21"/>
      <c r="B4385" s="21"/>
      <c r="C4385" s="21"/>
      <c r="D4385" s="21"/>
      <c r="E4385" s="21"/>
    </row>
    <row r="4386">
      <c r="A4386" s="21"/>
      <c r="B4386" s="21"/>
      <c r="C4386" s="21"/>
      <c r="D4386" s="21"/>
      <c r="E4386" s="21"/>
    </row>
    <row r="4387">
      <c r="A4387" s="21"/>
      <c r="B4387" s="21"/>
      <c r="C4387" s="21"/>
      <c r="D4387" s="21"/>
      <c r="E4387" s="21"/>
    </row>
    <row r="4388">
      <c r="A4388" s="21"/>
      <c r="B4388" s="21"/>
      <c r="C4388" s="21"/>
      <c r="D4388" s="21"/>
      <c r="E4388" s="21"/>
    </row>
    <row r="4389">
      <c r="A4389" s="21"/>
      <c r="B4389" s="21"/>
      <c r="C4389" s="21"/>
      <c r="D4389" s="21"/>
      <c r="E4389" s="21"/>
    </row>
    <row r="4390">
      <c r="A4390" s="21"/>
      <c r="B4390" s="21"/>
      <c r="C4390" s="21"/>
      <c r="D4390" s="21"/>
      <c r="E4390" s="21"/>
    </row>
    <row r="4391">
      <c r="A4391" s="21"/>
      <c r="B4391" s="21"/>
      <c r="C4391" s="21"/>
      <c r="D4391" s="21"/>
      <c r="E4391" s="21"/>
    </row>
    <row r="4392">
      <c r="A4392" s="21"/>
      <c r="B4392" s="21"/>
      <c r="C4392" s="21"/>
      <c r="D4392" s="21"/>
      <c r="E4392" s="21"/>
    </row>
    <row r="4393">
      <c r="A4393" s="21"/>
      <c r="B4393" s="21"/>
      <c r="C4393" s="21"/>
      <c r="D4393" s="21"/>
      <c r="E4393" s="21"/>
    </row>
    <row r="4394">
      <c r="A4394" s="21"/>
      <c r="B4394" s="21"/>
      <c r="C4394" s="21"/>
      <c r="D4394" s="21"/>
      <c r="E4394" s="21"/>
    </row>
    <row r="4395">
      <c r="A4395" s="21"/>
      <c r="B4395" s="21"/>
      <c r="C4395" s="21"/>
      <c r="D4395" s="21"/>
      <c r="E4395" s="21"/>
    </row>
    <row r="4396">
      <c r="A4396" s="21"/>
      <c r="B4396" s="21"/>
      <c r="C4396" s="21"/>
      <c r="D4396" s="21"/>
      <c r="E4396" s="21"/>
    </row>
    <row r="4397">
      <c r="A4397" s="21"/>
      <c r="B4397" s="21"/>
      <c r="C4397" s="21"/>
      <c r="D4397" s="21"/>
      <c r="E4397" s="21"/>
    </row>
    <row r="4398">
      <c r="A4398" s="21"/>
      <c r="B4398" s="21"/>
      <c r="C4398" s="21"/>
      <c r="D4398" s="21"/>
      <c r="E4398" s="21"/>
    </row>
    <row r="4399">
      <c r="A4399" s="21"/>
      <c r="B4399" s="21"/>
      <c r="C4399" s="21"/>
      <c r="D4399" s="21"/>
      <c r="E4399" s="21"/>
    </row>
    <row r="4400">
      <c r="A4400" s="21"/>
      <c r="B4400" s="21"/>
      <c r="C4400" s="21"/>
      <c r="D4400" s="21"/>
      <c r="E4400" s="21"/>
    </row>
    <row r="4401">
      <c r="A4401" s="21"/>
      <c r="B4401" s="21"/>
      <c r="C4401" s="21"/>
      <c r="D4401" s="21"/>
      <c r="E4401" s="21"/>
    </row>
    <row r="4402">
      <c r="A4402" s="21"/>
      <c r="B4402" s="21"/>
      <c r="C4402" s="21"/>
      <c r="D4402" s="21"/>
      <c r="E4402" s="21"/>
    </row>
    <row r="4403">
      <c r="A4403" s="21"/>
      <c r="B4403" s="21"/>
      <c r="C4403" s="21"/>
      <c r="D4403" s="21"/>
      <c r="E4403" s="21"/>
    </row>
    <row r="4404">
      <c r="A4404" s="21"/>
      <c r="B4404" s="21"/>
      <c r="C4404" s="21"/>
      <c r="D4404" s="21"/>
      <c r="E4404" s="21"/>
    </row>
    <row r="4405">
      <c r="A4405" s="21"/>
      <c r="B4405" s="21"/>
      <c r="C4405" s="21"/>
      <c r="D4405" s="21"/>
      <c r="E4405" s="21"/>
    </row>
    <row r="4406">
      <c r="A4406" s="21"/>
      <c r="B4406" s="21"/>
      <c r="C4406" s="21"/>
      <c r="D4406" s="21"/>
      <c r="E4406" s="21"/>
    </row>
    <row r="4407">
      <c r="A4407" s="21"/>
      <c r="B4407" s="21"/>
      <c r="C4407" s="21"/>
      <c r="D4407" s="21"/>
      <c r="E4407" s="21"/>
    </row>
    <row r="4408">
      <c r="A4408" s="21"/>
      <c r="B4408" s="21"/>
      <c r="C4408" s="21"/>
      <c r="D4408" s="21"/>
      <c r="E4408" s="21"/>
    </row>
    <row r="4409">
      <c r="A4409" s="21"/>
      <c r="B4409" s="21"/>
      <c r="C4409" s="21"/>
      <c r="D4409" s="21"/>
      <c r="E4409" s="21"/>
    </row>
    <row r="4410">
      <c r="A4410" s="21"/>
      <c r="B4410" s="21"/>
      <c r="C4410" s="21"/>
      <c r="D4410" s="21"/>
      <c r="E4410" s="21"/>
    </row>
    <row r="4411">
      <c r="A4411" s="21"/>
      <c r="B4411" s="21"/>
      <c r="C4411" s="21"/>
      <c r="D4411" s="21"/>
      <c r="E4411" s="21"/>
    </row>
    <row r="4412">
      <c r="A4412" s="21"/>
      <c r="B4412" s="21"/>
      <c r="C4412" s="21"/>
      <c r="D4412" s="21"/>
      <c r="E4412" s="21"/>
    </row>
    <row r="4413">
      <c r="A4413" s="21"/>
      <c r="B4413" s="21"/>
      <c r="C4413" s="21"/>
      <c r="D4413" s="21"/>
      <c r="E4413" s="21"/>
    </row>
    <row r="4414">
      <c r="A4414" s="21"/>
      <c r="B4414" s="21"/>
      <c r="C4414" s="21"/>
      <c r="D4414" s="21"/>
      <c r="E4414" s="21"/>
    </row>
    <row r="4415">
      <c r="A4415" s="21"/>
      <c r="B4415" s="21"/>
      <c r="C4415" s="21"/>
      <c r="D4415" s="21"/>
      <c r="E4415" s="21"/>
    </row>
    <row r="4416">
      <c r="A4416" s="21"/>
      <c r="B4416" s="21"/>
      <c r="C4416" s="21"/>
      <c r="D4416" s="21"/>
      <c r="E4416" s="21"/>
    </row>
    <row r="4417">
      <c r="A4417" s="21"/>
      <c r="B4417" s="21"/>
      <c r="C4417" s="21"/>
      <c r="D4417" s="21"/>
      <c r="E4417" s="21"/>
    </row>
    <row r="4418">
      <c r="A4418" s="21"/>
      <c r="B4418" s="21"/>
      <c r="C4418" s="21"/>
      <c r="D4418" s="21"/>
      <c r="E4418" s="21"/>
    </row>
    <row r="4419">
      <c r="A4419" s="21"/>
      <c r="B4419" s="21"/>
      <c r="C4419" s="21"/>
      <c r="D4419" s="21"/>
      <c r="E4419" s="21"/>
    </row>
    <row r="4420">
      <c r="A4420" s="21"/>
      <c r="B4420" s="21"/>
      <c r="C4420" s="21"/>
      <c r="D4420" s="21"/>
      <c r="E4420" s="21"/>
    </row>
    <row r="4421">
      <c r="A4421" s="21"/>
      <c r="B4421" s="21"/>
      <c r="C4421" s="21"/>
      <c r="D4421" s="21"/>
      <c r="E4421" s="21"/>
    </row>
    <row r="4422">
      <c r="A4422" s="21"/>
      <c r="B4422" s="21"/>
      <c r="C4422" s="21"/>
      <c r="D4422" s="21"/>
      <c r="E4422" s="21"/>
    </row>
    <row r="4423">
      <c r="A4423" s="21"/>
      <c r="B4423" s="21"/>
      <c r="C4423" s="21"/>
      <c r="D4423" s="21"/>
      <c r="E4423" s="21"/>
    </row>
    <row r="4424">
      <c r="A4424" s="21"/>
      <c r="B4424" s="21"/>
      <c r="C4424" s="21"/>
      <c r="D4424" s="21"/>
      <c r="E4424" s="21"/>
    </row>
    <row r="4425">
      <c r="A4425" s="21"/>
      <c r="B4425" s="21"/>
      <c r="C4425" s="21"/>
      <c r="D4425" s="21"/>
      <c r="E4425" s="21"/>
    </row>
    <row r="4426">
      <c r="A4426" s="21"/>
      <c r="B4426" s="21"/>
      <c r="C4426" s="21"/>
      <c r="D4426" s="21"/>
      <c r="E4426" s="21"/>
    </row>
    <row r="4427">
      <c r="A4427" s="21"/>
      <c r="B4427" s="21"/>
      <c r="C4427" s="21"/>
      <c r="D4427" s="21"/>
      <c r="E4427" s="21"/>
    </row>
    <row r="4428">
      <c r="A4428" s="21"/>
      <c r="B4428" s="21"/>
      <c r="C4428" s="21"/>
      <c r="D4428" s="21"/>
      <c r="E4428" s="21"/>
    </row>
    <row r="4429">
      <c r="A4429" s="21"/>
      <c r="B4429" s="21"/>
      <c r="C4429" s="21"/>
      <c r="D4429" s="21"/>
      <c r="E4429" s="21"/>
    </row>
    <row r="4430">
      <c r="A4430" s="21"/>
      <c r="B4430" s="21"/>
      <c r="C4430" s="21"/>
      <c r="D4430" s="21"/>
      <c r="E4430" s="21"/>
    </row>
    <row r="4431">
      <c r="A4431" s="21"/>
      <c r="B4431" s="21"/>
      <c r="C4431" s="21"/>
      <c r="D4431" s="21"/>
      <c r="E4431" s="21"/>
    </row>
    <row r="4432">
      <c r="A4432" s="21"/>
      <c r="B4432" s="21"/>
      <c r="C4432" s="21"/>
      <c r="D4432" s="21"/>
      <c r="E4432" s="21"/>
    </row>
    <row r="4433">
      <c r="A4433" s="21"/>
      <c r="B4433" s="21"/>
      <c r="C4433" s="21"/>
      <c r="D4433" s="21"/>
      <c r="E4433" s="21"/>
    </row>
    <row r="4434">
      <c r="A4434" s="21"/>
      <c r="B4434" s="21"/>
      <c r="C4434" s="21"/>
      <c r="D4434" s="21"/>
      <c r="E4434" s="21"/>
    </row>
    <row r="4435">
      <c r="A4435" s="21"/>
      <c r="B4435" s="21"/>
      <c r="C4435" s="21"/>
      <c r="D4435" s="21"/>
      <c r="E4435" s="21"/>
    </row>
    <row r="4436">
      <c r="A4436" s="21"/>
      <c r="B4436" s="21"/>
      <c r="C4436" s="21"/>
      <c r="D4436" s="21"/>
      <c r="E4436" s="21"/>
    </row>
    <row r="4437">
      <c r="A4437" s="21"/>
      <c r="B4437" s="21"/>
      <c r="C4437" s="21"/>
      <c r="D4437" s="21"/>
      <c r="E4437" s="21"/>
    </row>
    <row r="4438">
      <c r="A4438" s="21"/>
      <c r="B4438" s="21"/>
      <c r="C4438" s="21"/>
      <c r="D4438" s="21"/>
      <c r="E4438" s="21"/>
    </row>
    <row r="4439">
      <c r="A4439" s="21"/>
      <c r="B4439" s="21"/>
      <c r="C4439" s="21"/>
      <c r="D4439" s="21"/>
      <c r="E4439" s="21"/>
    </row>
    <row r="4440">
      <c r="A4440" s="21"/>
      <c r="B4440" s="21"/>
      <c r="C4440" s="21"/>
      <c r="D4440" s="21"/>
      <c r="E4440" s="21"/>
    </row>
    <row r="4441">
      <c r="A4441" s="21"/>
      <c r="B4441" s="21"/>
      <c r="C4441" s="21"/>
      <c r="D4441" s="21"/>
      <c r="E4441" s="21"/>
    </row>
    <row r="4442">
      <c r="A4442" s="21"/>
      <c r="B4442" s="21"/>
      <c r="C4442" s="21"/>
      <c r="D4442" s="21"/>
      <c r="E4442" s="21"/>
    </row>
    <row r="4443">
      <c r="A4443" s="21"/>
      <c r="B4443" s="21"/>
      <c r="C4443" s="21"/>
      <c r="D4443" s="21"/>
      <c r="E4443" s="21"/>
    </row>
    <row r="4444">
      <c r="A4444" s="21"/>
      <c r="B4444" s="21"/>
      <c r="C4444" s="21"/>
      <c r="D4444" s="21"/>
      <c r="E4444" s="21"/>
    </row>
    <row r="4445">
      <c r="A4445" s="21"/>
      <c r="B4445" s="21"/>
      <c r="C4445" s="21"/>
      <c r="D4445" s="21"/>
      <c r="E4445" s="21"/>
    </row>
    <row r="4446">
      <c r="A4446" s="21"/>
      <c r="B4446" s="21"/>
      <c r="C4446" s="21"/>
      <c r="D4446" s="21"/>
      <c r="E4446" s="21"/>
    </row>
    <row r="4447">
      <c r="A4447" s="21"/>
      <c r="B4447" s="21"/>
      <c r="C4447" s="21"/>
      <c r="D4447" s="21"/>
      <c r="E4447" s="21"/>
    </row>
    <row r="4448">
      <c r="A4448" s="21"/>
      <c r="B4448" s="21"/>
      <c r="C4448" s="21"/>
      <c r="D4448" s="21"/>
      <c r="E4448" s="21"/>
    </row>
    <row r="4449">
      <c r="A4449" s="21"/>
      <c r="B4449" s="21"/>
      <c r="C4449" s="21"/>
      <c r="D4449" s="21"/>
      <c r="E4449" s="21"/>
    </row>
    <row r="4450">
      <c r="A4450" s="21"/>
      <c r="B4450" s="21"/>
      <c r="C4450" s="21"/>
      <c r="D4450" s="21"/>
      <c r="E4450" s="21"/>
    </row>
    <row r="4451">
      <c r="A4451" s="21"/>
      <c r="B4451" s="21"/>
      <c r="C4451" s="21"/>
      <c r="D4451" s="21"/>
      <c r="E4451" s="21"/>
    </row>
    <row r="4452">
      <c r="A4452" s="21"/>
      <c r="B4452" s="21"/>
      <c r="C4452" s="21"/>
      <c r="D4452" s="21"/>
      <c r="E4452" s="21"/>
    </row>
    <row r="4453">
      <c r="A4453" s="21"/>
      <c r="B4453" s="21"/>
      <c r="C4453" s="21"/>
      <c r="D4453" s="21"/>
      <c r="E4453" s="21"/>
    </row>
    <row r="4454">
      <c r="A4454" s="21"/>
      <c r="B4454" s="21"/>
      <c r="C4454" s="21"/>
      <c r="D4454" s="21"/>
      <c r="E4454" s="21"/>
    </row>
    <row r="4455">
      <c r="A4455" s="21"/>
      <c r="B4455" s="21"/>
      <c r="C4455" s="21"/>
      <c r="D4455" s="21"/>
      <c r="E4455" s="21"/>
    </row>
    <row r="4456">
      <c r="A4456" s="21"/>
      <c r="B4456" s="21"/>
      <c r="C4456" s="21"/>
      <c r="D4456" s="21"/>
      <c r="E4456" s="21"/>
    </row>
    <row r="4457">
      <c r="A4457" s="21"/>
      <c r="B4457" s="21"/>
      <c r="C4457" s="21"/>
      <c r="D4457" s="21"/>
      <c r="E4457" s="21"/>
    </row>
    <row r="4458">
      <c r="A4458" s="21"/>
      <c r="B4458" s="21"/>
      <c r="C4458" s="21"/>
      <c r="D4458" s="21"/>
      <c r="E4458" s="21"/>
    </row>
    <row r="4459">
      <c r="A4459" s="21"/>
      <c r="B4459" s="21"/>
      <c r="C4459" s="21"/>
      <c r="D4459" s="21"/>
      <c r="E4459" s="21"/>
    </row>
    <row r="4460">
      <c r="A4460" s="21"/>
      <c r="B4460" s="21"/>
      <c r="C4460" s="21"/>
      <c r="D4460" s="21"/>
      <c r="E4460" s="21"/>
    </row>
    <row r="4461">
      <c r="A4461" s="21"/>
      <c r="B4461" s="21"/>
      <c r="C4461" s="21"/>
      <c r="D4461" s="21"/>
      <c r="E4461" s="21"/>
    </row>
    <row r="4462">
      <c r="A4462" s="21"/>
      <c r="B4462" s="21"/>
      <c r="C4462" s="21"/>
      <c r="D4462" s="21"/>
      <c r="E4462" s="21"/>
    </row>
    <row r="4463">
      <c r="A4463" s="21"/>
      <c r="B4463" s="21"/>
      <c r="C4463" s="21"/>
      <c r="D4463" s="21"/>
      <c r="E4463" s="21"/>
    </row>
    <row r="4464">
      <c r="A4464" s="21"/>
      <c r="B4464" s="21"/>
      <c r="C4464" s="21"/>
      <c r="D4464" s="21"/>
      <c r="E4464" s="21"/>
    </row>
    <row r="4465">
      <c r="A4465" s="21"/>
      <c r="B4465" s="21"/>
      <c r="C4465" s="21"/>
      <c r="D4465" s="21"/>
      <c r="E4465" s="21"/>
    </row>
    <row r="4466">
      <c r="A4466" s="21"/>
      <c r="B4466" s="21"/>
      <c r="C4466" s="21"/>
      <c r="D4466" s="21"/>
      <c r="E4466" s="21"/>
    </row>
    <row r="4467">
      <c r="A4467" s="21"/>
      <c r="B4467" s="21"/>
      <c r="C4467" s="21"/>
      <c r="D4467" s="21"/>
      <c r="E4467" s="21"/>
    </row>
    <row r="4468">
      <c r="A4468" s="21"/>
      <c r="B4468" s="21"/>
      <c r="C4468" s="21"/>
      <c r="D4468" s="21"/>
      <c r="E4468" s="21"/>
    </row>
    <row r="4469">
      <c r="A4469" s="21"/>
      <c r="B4469" s="21"/>
      <c r="C4469" s="21"/>
      <c r="D4469" s="21"/>
      <c r="E4469" s="21"/>
    </row>
    <row r="4470">
      <c r="A4470" s="21"/>
      <c r="B4470" s="21"/>
      <c r="C4470" s="21"/>
      <c r="D4470" s="21"/>
      <c r="E4470" s="21"/>
    </row>
    <row r="4471">
      <c r="A4471" s="21"/>
      <c r="B4471" s="21"/>
      <c r="C4471" s="21"/>
      <c r="D4471" s="21"/>
      <c r="E4471" s="21"/>
    </row>
    <row r="4472">
      <c r="A4472" s="21"/>
      <c r="B4472" s="21"/>
      <c r="C4472" s="21"/>
      <c r="D4472" s="21"/>
      <c r="E4472" s="21"/>
    </row>
    <row r="4473">
      <c r="A4473" s="21"/>
      <c r="B4473" s="21"/>
      <c r="C4473" s="21"/>
      <c r="D4473" s="21"/>
      <c r="E4473" s="21"/>
    </row>
    <row r="4474">
      <c r="A4474" s="21"/>
      <c r="B4474" s="21"/>
      <c r="C4474" s="21"/>
      <c r="D4474" s="21"/>
      <c r="E4474" s="21"/>
    </row>
    <row r="4475">
      <c r="A4475" s="21"/>
      <c r="B4475" s="21"/>
      <c r="C4475" s="21"/>
      <c r="D4475" s="21"/>
      <c r="E4475" s="21"/>
    </row>
    <row r="4476">
      <c r="A4476" s="21"/>
      <c r="B4476" s="21"/>
      <c r="C4476" s="21"/>
      <c r="D4476" s="21"/>
      <c r="E4476" s="21"/>
    </row>
    <row r="4477">
      <c r="A4477" s="21"/>
      <c r="B4477" s="21"/>
      <c r="C4477" s="21"/>
      <c r="D4477" s="21"/>
      <c r="E4477" s="21"/>
    </row>
    <row r="4478">
      <c r="A4478" s="21"/>
      <c r="B4478" s="21"/>
      <c r="C4478" s="21"/>
      <c r="D4478" s="21"/>
      <c r="E4478" s="21"/>
    </row>
    <row r="4479">
      <c r="A4479" s="21"/>
      <c r="B4479" s="21"/>
      <c r="C4479" s="21"/>
      <c r="D4479" s="21"/>
      <c r="E4479" s="21"/>
    </row>
    <row r="4480">
      <c r="A4480" s="21"/>
      <c r="B4480" s="21"/>
      <c r="C4480" s="21"/>
      <c r="D4480" s="21"/>
      <c r="E4480" s="21"/>
    </row>
    <row r="4481">
      <c r="A4481" s="21"/>
      <c r="B4481" s="21"/>
      <c r="C4481" s="21"/>
      <c r="D4481" s="21"/>
      <c r="E4481" s="21"/>
    </row>
    <row r="4482">
      <c r="A4482" s="21"/>
      <c r="B4482" s="21"/>
      <c r="C4482" s="21"/>
      <c r="D4482" s="21"/>
      <c r="E4482" s="21"/>
    </row>
    <row r="4483">
      <c r="A4483" s="21"/>
      <c r="B4483" s="21"/>
      <c r="C4483" s="21"/>
      <c r="D4483" s="21"/>
      <c r="E4483" s="21"/>
    </row>
    <row r="4484">
      <c r="A4484" s="21"/>
      <c r="B4484" s="21"/>
      <c r="C4484" s="21"/>
      <c r="D4484" s="21"/>
      <c r="E4484" s="21"/>
    </row>
    <row r="4485">
      <c r="A4485" s="21"/>
      <c r="B4485" s="21"/>
      <c r="C4485" s="21"/>
      <c r="D4485" s="21"/>
      <c r="E4485" s="21"/>
    </row>
    <row r="4486">
      <c r="A4486" s="21"/>
      <c r="B4486" s="21"/>
      <c r="C4486" s="21"/>
      <c r="D4486" s="21"/>
      <c r="E4486" s="21"/>
    </row>
    <row r="4487">
      <c r="A4487" s="21"/>
      <c r="B4487" s="21"/>
      <c r="C4487" s="21"/>
      <c r="D4487" s="21"/>
      <c r="E4487" s="21"/>
    </row>
    <row r="4488">
      <c r="A4488" s="21"/>
      <c r="B4488" s="21"/>
      <c r="C4488" s="21"/>
      <c r="D4488" s="21"/>
      <c r="E4488" s="21"/>
    </row>
    <row r="4489">
      <c r="A4489" s="21"/>
      <c r="B4489" s="21"/>
      <c r="C4489" s="21"/>
      <c r="D4489" s="21"/>
      <c r="E4489" s="21"/>
    </row>
    <row r="4490">
      <c r="A4490" s="21"/>
      <c r="B4490" s="21"/>
      <c r="C4490" s="21"/>
      <c r="D4490" s="21"/>
      <c r="E4490" s="21"/>
    </row>
    <row r="4491">
      <c r="A4491" s="21"/>
      <c r="B4491" s="21"/>
      <c r="C4491" s="21"/>
      <c r="D4491" s="21"/>
      <c r="E4491" s="21"/>
    </row>
    <row r="4492">
      <c r="A4492" s="21"/>
      <c r="B4492" s="21"/>
      <c r="C4492" s="21"/>
      <c r="D4492" s="21"/>
      <c r="E4492" s="21"/>
    </row>
    <row r="4493">
      <c r="A4493" s="21"/>
      <c r="B4493" s="21"/>
      <c r="C4493" s="21"/>
      <c r="D4493" s="21"/>
      <c r="E4493" s="21"/>
    </row>
    <row r="4494">
      <c r="A4494" s="21"/>
      <c r="B4494" s="21"/>
      <c r="C4494" s="21"/>
      <c r="D4494" s="21"/>
      <c r="E4494" s="21"/>
    </row>
    <row r="4495">
      <c r="A4495" s="21"/>
      <c r="B4495" s="21"/>
      <c r="C4495" s="21"/>
      <c r="D4495" s="21"/>
      <c r="E4495" s="21"/>
    </row>
    <row r="4496">
      <c r="A4496" s="21"/>
      <c r="B4496" s="21"/>
      <c r="C4496" s="21"/>
      <c r="D4496" s="21"/>
      <c r="E4496" s="21"/>
    </row>
    <row r="4497">
      <c r="A4497" s="21"/>
      <c r="B4497" s="21"/>
      <c r="C4497" s="21"/>
      <c r="D4497" s="21"/>
      <c r="E4497" s="21"/>
    </row>
    <row r="4498">
      <c r="A4498" s="21"/>
      <c r="B4498" s="21"/>
      <c r="C4498" s="21"/>
      <c r="D4498" s="21"/>
      <c r="E4498" s="21"/>
    </row>
    <row r="4499">
      <c r="A4499" s="21"/>
      <c r="B4499" s="21"/>
      <c r="C4499" s="21"/>
      <c r="D4499" s="21"/>
      <c r="E4499" s="21"/>
    </row>
    <row r="4500">
      <c r="A4500" s="21"/>
      <c r="B4500" s="21"/>
      <c r="C4500" s="21"/>
      <c r="D4500" s="21"/>
      <c r="E4500" s="21"/>
    </row>
    <row r="4501">
      <c r="A4501" s="21"/>
      <c r="B4501" s="21"/>
      <c r="C4501" s="21"/>
      <c r="D4501" s="21"/>
      <c r="E4501" s="21"/>
    </row>
    <row r="4502">
      <c r="A4502" s="21"/>
      <c r="B4502" s="21"/>
      <c r="C4502" s="21"/>
      <c r="D4502" s="21"/>
      <c r="E4502" s="21"/>
    </row>
    <row r="4503">
      <c r="A4503" s="21"/>
      <c r="B4503" s="21"/>
      <c r="C4503" s="21"/>
      <c r="D4503" s="21"/>
      <c r="E4503" s="21"/>
    </row>
    <row r="4504">
      <c r="A4504" s="21"/>
      <c r="B4504" s="21"/>
      <c r="C4504" s="21"/>
      <c r="D4504" s="21"/>
      <c r="E4504" s="21"/>
    </row>
    <row r="4505">
      <c r="A4505" s="21"/>
      <c r="B4505" s="21"/>
      <c r="C4505" s="21"/>
      <c r="D4505" s="21"/>
      <c r="E4505" s="21"/>
    </row>
    <row r="4506">
      <c r="A4506" s="21"/>
      <c r="B4506" s="21"/>
      <c r="C4506" s="21"/>
      <c r="D4506" s="21"/>
      <c r="E4506" s="21"/>
    </row>
    <row r="4507">
      <c r="A4507" s="21"/>
      <c r="B4507" s="21"/>
      <c r="C4507" s="21"/>
      <c r="D4507" s="21"/>
      <c r="E4507" s="21"/>
    </row>
    <row r="4508">
      <c r="A4508" s="21"/>
      <c r="B4508" s="21"/>
      <c r="C4508" s="21"/>
      <c r="D4508" s="21"/>
      <c r="E4508" s="21"/>
    </row>
    <row r="4509">
      <c r="A4509" s="21"/>
      <c r="B4509" s="21"/>
      <c r="C4509" s="21"/>
      <c r="D4509" s="21"/>
      <c r="E4509" s="21"/>
    </row>
    <row r="4510">
      <c r="A4510" s="21"/>
      <c r="B4510" s="21"/>
      <c r="C4510" s="21"/>
      <c r="D4510" s="21"/>
      <c r="E4510" s="21"/>
    </row>
    <row r="4511">
      <c r="A4511" s="21"/>
      <c r="B4511" s="21"/>
      <c r="C4511" s="21"/>
      <c r="D4511" s="21"/>
      <c r="E4511" s="21"/>
    </row>
    <row r="4512">
      <c r="A4512" s="21"/>
      <c r="B4512" s="21"/>
      <c r="C4512" s="21"/>
      <c r="D4512" s="21"/>
      <c r="E4512" s="21"/>
    </row>
    <row r="4513">
      <c r="A4513" s="21"/>
      <c r="B4513" s="21"/>
      <c r="C4513" s="21"/>
      <c r="D4513" s="21"/>
      <c r="E4513" s="21"/>
    </row>
    <row r="4514">
      <c r="A4514" s="21"/>
      <c r="B4514" s="21"/>
      <c r="C4514" s="21"/>
      <c r="D4514" s="21"/>
      <c r="E4514" s="21"/>
    </row>
    <row r="4515">
      <c r="A4515" s="21"/>
      <c r="B4515" s="21"/>
      <c r="C4515" s="21"/>
      <c r="D4515" s="21"/>
      <c r="E4515" s="21"/>
    </row>
    <row r="4516">
      <c r="A4516" s="21"/>
      <c r="B4516" s="21"/>
      <c r="C4516" s="21"/>
      <c r="D4516" s="21"/>
      <c r="E4516" s="21"/>
    </row>
    <row r="4517">
      <c r="A4517" s="21"/>
      <c r="B4517" s="21"/>
      <c r="C4517" s="21"/>
      <c r="D4517" s="21"/>
      <c r="E4517" s="21"/>
    </row>
    <row r="4518">
      <c r="A4518" s="21"/>
      <c r="B4518" s="21"/>
      <c r="C4518" s="21"/>
      <c r="D4518" s="21"/>
      <c r="E4518" s="21"/>
    </row>
    <row r="4519">
      <c r="A4519" s="21"/>
      <c r="B4519" s="21"/>
      <c r="C4519" s="21"/>
      <c r="D4519" s="21"/>
      <c r="E4519" s="21"/>
    </row>
    <row r="4520">
      <c r="A4520" s="21"/>
      <c r="B4520" s="21"/>
      <c r="C4520" s="21"/>
      <c r="D4520" s="21"/>
      <c r="E4520" s="21"/>
    </row>
    <row r="4521">
      <c r="A4521" s="21"/>
      <c r="B4521" s="21"/>
      <c r="C4521" s="21"/>
      <c r="D4521" s="21"/>
      <c r="E4521" s="21"/>
    </row>
    <row r="4522">
      <c r="A4522" s="21"/>
      <c r="B4522" s="21"/>
      <c r="C4522" s="21"/>
      <c r="D4522" s="21"/>
      <c r="E4522" s="21"/>
    </row>
    <row r="4523">
      <c r="A4523" s="21"/>
      <c r="B4523" s="21"/>
      <c r="C4523" s="21"/>
      <c r="D4523" s="21"/>
      <c r="E4523" s="21"/>
    </row>
    <row r="4524">
      <c r="A4524" s="21"/>
      <c r="B4524" s="21"/>
      <c r="C4524" s="21"/>
      <c r="D4524" s="21"/>
      <c r="E4524" s="21"/>
    </row>
    <row r="4525">
      <c r="A4525" s="21"/>
      <c r="B4525" s="21"/>
      <c r="C4525" s="21"/>
      <c r="D4525" s="21"/>
      <c r="E4525" s="21"/>
    </row>
    <row r="4526">
      <c r="A4526" s="21"/>
      <c r="B4526" s="21"/>
      <c r="C4526" s="21"/>
      <c r="D4526" s="21"/>
      <c r="E4526" s="21"/>
    </row>
    <row r="4527">
      <c r="A4527" s="21"/>
      <c r="B4527" s="21"/>
      <c r="C4527" s="21"/>
      <c r="D4527" s="21"/>
      <c r="E4527" s="21"/>
    </row>
    <row r="4528">
      <c r="A4528" s="21"/>
      <c r="B4528" s="21"/>
      <c r="C4528" s="21"/>
      <c r="D4528" s="21"/>
      <c r="E4528" s="21"/>
    </row>
    <row r="4529">
      <c r="A4529" s="21"/>
      <c r="B4529" s="21"/>
      <c r="C4529" s="21"/>
      <c r="D4529" s="21"/>
      <c r="E4529" s="21"/>
    </row>
    <row r="4530">
      <c r="A4530" s="21"/>
      <c r="B4530" s="21"/>
      <c r="C4530" s="21"/>
      <c r="D4530" s="21"/>
      <c r="E4530" s="21"/>
    </row>
    <row r="4531">
      <c r="A4531" s="21"/>
      <c r="B4531" s="21"/>
      <c r="C4531" s="21"/>
      <c r="D4531" s="21"/>
      <c r="E4531" s="21"/>
    </row>
    <row r="4532">
      <c r="A4532" s="21"/>
      <c r="B4532" s="21"/>
      <c r="C4532" s="21"/>
      <c r="D4532" s="21"/>
      <c r="E4532" s="21"/>
    </row>
    <row r="4533">
      <c r="A4533" s="21"/>
      <c r="B4533" s="21"/>
      <c r="C4533" s="21"/>
      <c r="D4533" s="21"/>
      <c r="E4533" s="21"/>
    </row>
    <row r="4534">
      <c r="A4534" s="21"/>
      <c r="B4534" s="21"/>
      <c r="C4534" s="21"/>
      <c r="D4534" s="21"/>
      <c r="E4534" s="21"/>
    </row>
    <row r="4535">
      <c r="A4535" s="21"/>
      <c r="B4535" s="21"/>
      <c r="C4535" s="21"/>
      <c r="D4535" s="21"/>
      <c r="E4535" s="21"/>
    </row>
    <row r="4536">
      <c r="A4536" s="21"/>
      <c r="B4536" s="21"/>
      <c r="C4536" s="21"/>
      <c r="D4536" s="21"/>
      <c r="E4536" s="21"/>
    </row>
    <row r="4537">
      <c r="A4537" s="21"/>
      <c r="B4537" s="21"/>
      <c r="C4537" s="21"/>
      <c r="D4537" s="21"/>
      <c r="E4537" s="21"/>
    </row>
    <row r="4538">
      <c r="A4538" s="21"/>
      <c r="B4538" s="21"/>
      <c r="C4538" s="21"/>
      <c r="D4538" s="21"/>
      <c r="E4538" s="21"/>
    </row>
    <row r="4539">
      <c r="A4539" s="21"/>
      <c r="B4539" s="21"/>
      <c r="C4539" s="21"/>
      <c r="D4539" s="21"/>
      <c r="E4539" s="21"/>
    </row>
    <row r="4540">
      <c r="A4540" s="21"/>
      <c r="B4540" s="21"/>
      <c r="C4540" s="21"/>
      <c r="D4540" s="21"/>
      <c r="E4540" s="21"/>
    </row>
    <row r="4541">
      <c r="A4541" s="21"/>
      <c r="B4541" s="21"/>
      <c r="C4541" s="21"/>
      <c r="D4541" s="21"/>
      <c r="E4541" s="21"/>
    </row>
    <row r="4542">
      <c r="A4542" s="21"/>
      <c r="B4542" s="21"/>
      <c r="C4542" s="21"/>
      <c r="D4542" s="21"/>
      <c r="E4542" s="21"/>
    </row>
    <row r="4543">
      <c r="A4543" s="21"/>
      <c r="B4543" s="21"/>
      <c r="C4543" s="21"/>
      <c r="D4543" s="21"/>
      <c r="E4543" s="21"/>
    </row>
    <row r="4544">
      <c r="A4544" s="21"/>
      <c r="B4544" s="21"/>
      <c r="C4544" s="21"/>
      <c r="D4544" s="21"/>
      <c r="E4544" s="21"/>
    </row>
    <row r="4545">
      <c r="A4545" s="21"/>
      <c r="B4545" s="21"/>
      <c r="C4545" s="21"/>
      <c r="D4545" s="21"/>
      <c r="E4545" s="21"/>
    </row>
    <row r="4546">
      <c r="A4546" s="21"/>
      <c r="B4546" s="21"/>
      <c r="C4546" s="21"/>
      <c r="D4546" s="21"/>
      <c r="E4546" s="21"/>
    </row>
    <row r="4547">
      <c r="A4547" s="21"/>
      <c r="B4547" s="21"/>
      <c r="C4547" s="21"/>
      <c r="D4547" s="21"/>
      <c r="E4547" s="21"/>
    </row>
    <row r="4548">
      <c r="A4548" s="21"/>
      <c r="B4548" s="21"/>
      <c r="C4548" s="21"/>
      <c r="D4548" s="21"/>
      <c r="E4548" s="21"/>
    </row>
    <row r="4549">
      <c r="A4549" s="21"/>
      <c r="B4549" s="21"/>
      <c r="C4549" s="21"/>
      <c r="D4549" s="21"/>
      <c r="E4549" s="21"/>
    </row>
    <row r="4550">
      <c r="A4550" s="21"/>
      <c r="B4550" s="21"/>
      <c r="C4550" s="21"/>
      <c r="D4550" s="21"/>
      <c r="E4550" s="21"/>
    </row>
    <row r="4551">
      <c r="A4551" s="21"/>
      <c r="B4551" s="21"/>
      <c r="C4551" s="21"/>
      <c r="D4551" s="21"/>
      <c r="E4551" s="21"/>
    </row>
    <row r="4552">
      <c r="A4552" s="21"/>
      <c r="B4552" s="21"/>
      <c r="C4552" s="21"/>
      <c r="D4552" s="21"/>
      <c r="E4552" s="21"/>
    </row>
    <row r="4553">
      <c r="A4553" s="21"/>
      <c r="B4553" s="21"/>
      <c r="C4553" s="21"/>
      <c r="D4553" s="21"/>
      <c r="E4553" s="21"/>
    </row>
    <row r="4554">
      <c r="A4554" s="21"/>
      <c r="B4554" s="21"/>
      <c r="C4554" s="21"/>
      <c r="D4554" s="21"/>
      <c r="E4554" s="21"/>
    </row>
    <row r="4555">
      <c r="A4555" s="21"/>
      <c r="B4555" s="21"/>
      <c r="C4555" s="21"/>
      <c r="D4555" s="21"/>
      <c r="E4555" s="21"/>
    </row>
    <row r="4556">
      <c r="A4556" s="21"/>
      <c r="B4556" s="21"/>
      <c r="C4556" s="21"/>
      <c r="D4556" s="21"/>
      <c r="E4556" s="21"/>
    </row>
    <row r="4557">
      <c r="A4557" s="21"/>
      <c r="B4557" s="21"/>
      <c r="C4557" s="21"/>
      <c r="D4557" s="21"/>
      <c r="E4557" s="21"/>
    </row>
    <row r="4558">
      <c r="A4558" s="21"/>
      <c r="B4558" s="21"/>
      <c r="C4558" s="21"/>
      <c r="D4558" s="21"/>
      <c r="E4558" s="21"/>
    </row>
    <row r="4559">
      <c r="A4559" s="21"/>
      <c r="B4559" s="21"/>
      <c r="C4559" s="21"/>
      <c r="D4559" s="21"/>
      <c r="E4559" s="21"/>
    </row>
    <row r="4560">
      <c r="A4560" s="21"/>
      <c r="B4560" s="21"/>
      <c r="C4560" s="21"/>
      <c r="D4560" s="21"/>
      <c r="E4560" s="21"/>
    </row>
    <row r="4561">
      <c r="A4561" s="21"/>
      <c r="B4561" s="21"/>
      <c r="C4561" s="21"/>
      <c r="D4561" s="21"/>
      <c r="E4561" s="21"/>
    </row>
    <row r="4562">
      <c r="A4562" s="21"/>
      <c r="B4562" s="21"/>
      <c r="C4562" s="21"/>
      <c r="D4562" s="21"/>
      <c r="E4562" s="21"/>
    </row>
    <row r="4563">
      <c r="A4563" s="21"/>
      <c r="B4563" s="21"/>
      <c r="C4563" s="21"/>
      <c r="D4563" s="21"/>
      <c r="E4563" s="21"/>
    </row>
    <row r="4564">
      <c r="A4564" s="21"/>
      <c r="B4564" s="21"/>
      <c r="C4564" s="21"/>
      <c r="D4564" s="21"/>
      <c r="E4564" s="21"/>
    </row>
    <row r="4565">
      <c r="A4565" s="21"/>
      <c r="B4565" s="21"/>
      <c r="C4565" s="21"/>
      <c r="D4565" s="21"/>
      <c r="E4565" s="21"/>
    </row>
    <row r="4566">
      <c r="A4566" s="21"/>
      <c r="B4566" s="21"/>
      <c r="C4566" s="21"/>
      <c r="D4566" s="21"/>
      <c r="E4566" s="21"/>
    </row>
    <row r="4567">
      <c r="A4567" s="21"/>
      <c r="B4567" s="21"/>
      <c r="C4567" s="21"/>
      <c r="D4567" s="21"/>
      <c r="E4567" s="21"/>
    </row>
    <row r="4568">
      <c r="A4568" s="21"/>
      <c r="B4568" s="21"/>
      <c r="C4568" s="21"/>
      <c r="D4568" s="21"/>
      <c r="E4568" s="21"/>
    </row>
    <row r="4569">
      <c r="A4569" s="21"/>
      <c r="B4569" s="21"/>
      <c r="C4569" s="21"/>
      <c r="D4569" s="21"/>
      <c r="E4569" s="21"/>
    </row>
    <row r="4570">
      <c r="A4570" s="21"/>
      <c r="B4570" s="21"/>
      <c r="C4570" s="21"/>
      <c r="D4570" s="21"/>
      <c r="E4570" s="21"/>
    </row>
    <row r="4571">
      <c r="A4571" s="21"/>
      <c r="B4571" s="21"/>
      <c r="C4571" s="21"/>
      <c r="D4571" s="21"/>
      <c r="E4571" s="21"/>
    </row>
    <row r="4572">
      <c r="A4572" s="21"/>
      <c r="B4572" s="21"/>
      <c r="C4572" s="21"/>
      <c r="D4572" s="21"/>
      <c r="E4572" s="21"/>
    </row>
    <row r="4573">
      <c r="A4573" s="21"/>
      <c r="B4573" s="21"/>
      <c r="C4573" s="21"/>
      <c r="D4573" s="21"/>
      <c r="E4573" s="21"/>
    </row>
    <row r="4574">
      <c r="A4574" s="21"/>
      <c r="B4574" s="21"/>
      <c r="C4574" s="21"/>
      <c r="D4574" s="21"/>
      <c r="E4574" s="21"/>
    </row>
    <row r="4575">
      <c r="A4575" s="21"/>
      <c r="B4575" s="21"/>
      <c r="C4575" s="21"/>
      <c r="D4575" s="21"/>
      <c r="E4575" s="21"/>
    </row>
    <row r="4576">
      <c r="A4576" s="21"/>
      <c r="B4576" s="21"/>
      <c r="C4576" s="21"/>
      <c r="D4576" s="21"/>
      <c r="E4576" s="21"/>
    </row>
    <row r="4577">
      <c r="A4577" s="21"/>
      <c r="B4577" s="21"/>
      <c r="C4577" s="21"/>
      <c r="D4577" s="21"/>
      <c r="E4577" s="21"/>
    </row>
    <row r="4578">
      <c r="A4578" s="21"/>
      <c r="B4578" s="21"/>
      <c r="C4578" s="21"/>
      <c r="D4578" s="21"/>
      <c r="E4578" s="21"/>
    </row>
    <row r="4579">
      <c r="A4579" s="21"/>
      <c r="B4579" s="21"/>
      <c r="C4579" s="21"/>
      <c r="D4579" s="21"/>
      <c r="E4579" s="21"/>
    </row>
    <row r="4580">
      <c r="A4580" s="21"/>
      <c r="B4580" s="21"/>
      <c r="C4580" s="21"/>
      <c r="D4580" s="21"/>
      <c r="E4580" s="21"/>
    </row>
    <row r="4581">
      <c r="A4581" s="21"/>
      <c r="B4581" s="21"/>
      <c r="C4581" s="21"/>
      <c r="D4581" s="21"/>
      <c r="E4581" s="21"/>
    </row>
    <row r="4582">
      <c r="A4582" s="21"/>
      <c r="B4582" s="21"/>
      <c r="C4582" s="21"/>
      <c r="D4582" s="21"/>
      <c r="E4582" s="21"/>
    </row>
    <row r="4583">
      <c r="A4583" s="21"/>
      <c r="B4583" s="21"/>
      <c r="C4583" s="21"/>
      <c r="D4583" s="21"/>
      <c r="E4583" s="21"/>
    </row>
    <row r="4584">
      <c r="A4584" s="21"/>
      <c r="B4584" s="21"/>
      <c r="C4584" s="21"/>
      <c r="D4584" s="21"/>
      <c r="E4584" s="21"/>
    </row>
    <row r="4585">
      <c r="A4585" s="21"/>
      <c r="B4585" s="21"/>
      <c r="C4585" s="21"/>
      <c r="D4585" s="21"/>
      <c r="E4585" s="21"/>
    </row>
    <row r="4586">
      <c r="A4586" s="21"/>
      <c r="B4586" s="21"/>
      <c r="C4586" s="21"/>
      <c r="D4586" s="21"/>
      <c r="E4586" s="21"/>
    </row>
    <row r="4587">
      <c r="A4587" s="21"/>
      <c r="B4587" s="21"/>
      <c r="C4587" s="21"/>
      <c r="D4587" s="21"/>
      <c r="E4587" s="21"/>
    </row>
    <row r="4588">
      <c r="A4588" s="21"/>
      <c r="B4588" s="21"/>
      <c r="C4588" s="21"/>
      <c r="D4588" s="21"/>
      <c r="E4588" s="21"/>
    </row>
    <row r="4589">
      <c r="A4589" s="21"/>
      <c r="B4589" s="21"/>
      <c r="C4589" s="21"/>
      <c r="D4589" s="21"/>
      <c r="E4589" s="21"/>
    </row>
    <row r="4590">
      <c r="A4590" s="21"/>
      <c r="B4590" s="21"/>
      <c r="C4590" s="21"/>
      <c r="D4590" s="21"/>
      <c r="E4590" s="21"/>
    </row>
    <row r="4591">
      <c r="A4591" s="21"/>
      <c r="B4591" s="21"/>
      <c r="C4591" s="21"/>
      <c r="D4591" s="21"/>
      <c r="E4591" s="21"/>
    </row>
    <row r="4592">
      <c r="A4592" s="21"/>
      <c r="B4592" s="21"/>
      <c r="C4592" s="21"/>
      <c r="D4592" s="21"/>
      <c r="E4592" s="21"/>
    </row>
    <row r="4593">
      <c r="A4593" s="21"/>
      <c r="B4593" s="21"/>
      <c r="C4593" s="21"/>
      <c r="D4593" s="21"/>
      <c r="E4593" s="21"/>
    </row>
    <row r="4594">
      <c r="A4594" s="21"/>
      <c r="B4594" s="21"/>
      <c r="C4594" s="21"/>
      <c r="D4594" s="21"/>
      <c r="E4594" s="21"/>
    </row>
    <row r="4595">
      <c r="A4595" s="21"/>
      <c r="B4595" s="21"/>
      <c r="C4595" s="21"/>
      <c r="D4595" s="21"/>
      <c r="E4595" s="21"/>
    </row>
    <row r="4596">
      <c r="A4596" s="21"/>
      <c r="B4596" s="21"/>
      <c r="C4596" s="21"/>
      <c r="D4596" s="21"/>
      <c r="E4596" s="21"/>
    </row>
    <row r="4597">
      <c r="A4597" s="21"/>
      <c r="B4597" s="21"/>
      <c r="C4597" s="21"/>
      <c r="D4597" s="21"/>
      <c r="E4597" s="21"/>
    </row>
    <row r="4598">
      <c r="A4598" s="21"/>
      <c r="B4598" s="21"/>
      <c r="C4598" s="21"/>
      <c r="D4598" s="21"/>
      <c r="E4598" s="21"/>
    </row>
    <row r="4599">
      <c r="A4599" s="21"/>
      <c r="B4599" s="21"/>
      <c r="C4599" s="21"/>
      <c r="D4599" s="21"/>
      <c r="E4599" s="21"/>
    </row>
    <row r="4600">
      <c r="A4600" s="21"/>
      <c r="B4600" s="21"/>
      <c r="C4600" s="21"/>
      <c r="D4600" s="21"/>
      <c r="E4600" s="21"/>
    </row>
    <row r="4601">
      <c r="A4601" s="21"/>
      <c r="B4601" s="21"/>
      <c r="C4601" s="21"/>
      <c r="D4601" s="21"/>
      <c r="E4601" s="21"/>
    </row>
    <row r="4602">
      <c r="A4602" s="21"/>
      <c r="B4602" s="21"/>
      <c r="C4602" s="21"/>
      <c r="D4602" s="21"/>
      <c r="E4602" s="21"/>
    </row>
    <row r="4603">
      <c r="A4603" s="21"/>
      <c r="B4603" s="21"/>
      <c r="C4603" s="21"/>
      <c r="D4603" s="21"/>
      <c r="E4603" s="21"/>
    </row>
    <row r="4604">
      <c r="A4604" s="21"/>
      <c r="B4604" s="21"/>
      <c r="C4604" s="21"/>
      <c r="D4604" s="21"/>
      <c r="E4604" s="21"/>
    </row>
    <row r="4605">
      <c r="A4605" s="21"/>
      <c r="B4605" s="21"/>
      <c r="C4605" s="21"/>
      <c r="D4605" s="21"/>
      <c r="E4605" s="21"/>
    </row>
    <row r="4606">
      <c r="A4606" s="21"/>
      <c r="B4606" s="21"/>
      <c r="C4606" s="21"/>
      <c r="D4606" s="21"/>
      <c r="E4606" s="21"/>
    </row>
    <row r="4607">
      <c r="A4607" s="21"/>
      <c r="B4607" s="21"/>
      <c r="C4607" s="21"/>
      <c r="D4607" s="21"/>
      <c r="E4607" s="21"/>
    </row>
    <row r="4608">
      <c r="A4608" s="21"/>
      <c r="B4608" s="21"/>
      <c r="C4608" s="21"/>
      <c r="D4608" s="21"/>
      <c r="E4608" s="21"/>
    </row>
    <row r="4609">
      <c r="A4609" s="21"/>
      <c r="B4609" s="21"/>
      <c r="C4609" s="21"/>
      <c r="D4609" s="21"/>
      <c r="E4609" s="21"/>
    </row>
    <row r="4610">
      <c r="A4610" s="21"/>
      <c r="B4610" s="21"/>
      <c r="C4610" s="21"/>
      <c r="D4610" s="21"/>
      <c r="E4610" s="21"/>
    </row>
    <row r="4611">
      <c r="A4611" s="21"/>
      <c r="B4611" s="21"/>
      <c r="C4611" s="21"/>
      <c r="D4611" s="21"/>
      <c r="E4611" s="21"/>
    </row>
    <row r="4612">
      <c r="A4612" s="21"/>
      <c r="B4612" s="21"/>
      <c r="C4612" s="21"/>
      <c r="D4612" s="21"/>
      <c r="E4612" s="21"/>
    </row>
    <row r="4613">
      <c r="A4613" s="21"/>
      <c r="B4613" s="21"/>
      <c r="C4613" s="21"/>
      <c r="D4613" s="21"/>
      <c r="E4613" s="21"/>
    </row>
    <row r="4614">
      <c r="A4614" s="21"/>
      <c r="B4614" s="21"/>
      <c r="C4614" s="21"/>
      <c r="D4614" s="21"/>
      <c r="E4614" s="21"/>
    </row>
    <row r="4615">
      <c r="A4615" s="21"/>
      <c r="B4615" s="21"/>
      <c r="C4615" s="21"/>
      <c r="D4615" s="21"/>
      <c r="E4615" s="21"/>
    </row>
    <row r="4616">
      <c r="A4616" s="21"/>
      <c r="B4616" s="21"/>
      <c r="C4616" s="21"/>
      <c r="D4616" s="21"/>
      <c r="E4616" s="21"/>
    </row>
    <row r="4617">
      <c r="A4617" s="21"/>
      <c r="B4617" s="21"/>
      <c r="C4617" s="21"/>
      <c r="D4617" s="21"/>
      <c r="E4617" s="21"/>
    </row>
    <row r="4618">
      <c r="A4618" s="21"/>
      <c r="B4618" s="21"/>
      <c r="C4618" s="21"/>
      <c r="D4618" s="21"/>
      <c r="E4618" s="21"/>
    </row>
    <row r="4619">
      <c r="A4619" s="21"/>
      <c r="B4619" s="21"/>
      <c r="C4619" s="21"/>
      <c r="D4619" s="21"/>
      <c r="E4619" s="21"/>
    </row>
    <row r="4620">
      <c r="A4620" s="21"/>
      <c r="B4620" s="21"/>
      <c r="C4620" s="21"/>
      <c r="D4620" s="21"/>
      <c r="E4620" s="21"/>
    </row>
    <row r="4621">
      <c r="A4621" s="21"/>
      <c r="B4621" s="21"/>
      <c r="C4621" s="21"/>
      <c r="D4621" s="21"/>
      <c r="E4621" s="21"/>
    </row>
    <row r="4622">
      <c r="A4622" s="21"/>
      <c r="B4622" s="21"/>
      <c r="C4622" s="21"/>
      <c r="D4622" s="21"/>
      <c r="E4622" s="21"/>
    </row>
    <row r="4623">
      <c r="A4623" s="21"/>
      <c r="B4623" s="21"/>
      <c r="C4623" s="21"/>
      <c r="D4623" s="21"/>
      <c r="E4623" s="21"/>
    </row>
    <row r="4624">
      <c r="A4624" s="21"/>
      <c r="B4624" s="21"/>
      <c r="C4624" s="21"/>
      <c r="D4624" s="21"/>
      <c r="E4624" s="21"/>
    </row>
    <row r="4625">
      <c r="A4625" s="21"/>
      <c r="B4625" s="21"/>
      <c r="C4625" s="21"/>
      <c r="D4625" s="21"/>
      <c r="E4625" s="21"/>
    </row>
    <row r="4626">
      <c r="A4626" s="21"/>
      <c r="B4626" s="21"/>
      <c r="C4626" s="21"/>
      <c r="D4626" s="21"/>
      <c r="E4626" s="21"/>
    </row>
    <row r="4627">
      <c r="A4627" s="21"/>
      <c r="B4627" s="21"/>
      <c r="C4627" s="21"/>
      <c r="D4627" s="21"/>
      <c r="E4627" s="21"/>
    </row>
    <row r="4628">
      <c r="A4628" s="21"/>
      <c r="B4628" s="21"/>
      <c r="C4628" s="21"/>
      <c r="D4628" s="21"/>
      <c r="E4628" s="21"/>
    </row>
    <row r="4629">
      <c r="A4629" s="21"/>
      <c r="B4629" s="21"/>
      <c r="C4629" s="21"/>
      <c r="D4629" s="21"/>
      <c r="E4629" s="21"/>
    </row>
    <row r="4630">
      <c r="A4630" s="21"/>
      <c r="B4630" s="21"/>
      <c r="C4630" s="21"/>
      <c r="D4630" s="21"/>
      <c r="E4630" s="21"/>
    </row>
    <row r="4631">
      <c r="A4631" s="21"/>
      <c r="B4631" s="21"/>
      <c r="C4631" s="21"/>
      <c r="D4631" s="21"/>
      <c r="E4631" s="21"/>
    </row>
    <row r="4632">
      <c r="A4632" s="21"/>
      <c r="B4632" s="21"/>
      <c r="C4632" s="21"/>
      <c r="D4632" s="21"/>
      <c r="E4632" s="21"/>
    </row>
    <row r="4633">
      <c r="A4633" s="21"/>
      <c r="B4633" s="21"/>
      <c r="C4633" s="21"/>
      <c r="D4633" s="21"/>
      <c r="E4633" s="21"/>
    </row>
    <row r="4634">
      <c r="A4634" s="21"/>
      <c r="B4634" s="21"/>
      <c r="C4634" s="21"/>
      <c r="D4634" s="21"/>
      <c r="E4634" s="21"/>
    </row>
    <row r="4635">
      <c r="A4635" s="21"/>
      <c r="B4635" s="21"/>
      <c r="C4635" s="21"/>
      <c r="D4635" s="21"/>
      <c r="E4635" s="21"/>
    </row>
    <row r="4636">
      <c r="A4636" s="21"/>
      <c r="B4636" s="21"/>
      <c r="C4636" s="21"/>
      <c r="D4636" s="21"/>
      <c r="E4636" s="21"/>
    </row>
    <row r="4637">
      <c r="A4637" s="21"/>
      <c r="B4637" s="21"/>
      <c r="C4637" s="21"/>
      <c r="D4637" s="21"/>
      <c r="E4637" s="21"/>
    </row>
    <row r="4638">
      <c r="A4638" s="21"/>
      <c r="B4638" s="21"/>
      <c r="C4638" s="21"/>
      <c r="D4638" s="21"/>
      <c r="E4638" s="21"/>
    </row>
    <row r="4639">
      <c r="A4639" s="21"/>
      <c r="B4639" s="21"/>
      <c r="C4639" s="21"/>
      <c r="D4639" s="21"/>
      <c r="E4639" s="21"/>
    </row>
    <row r="4640">
      <c r="A4640" s="21"/>
      <c r="B4640" s="21"/>
      <c r="C4640" s="21"/>
      <c r="D4640" s="21"/>
      <c r="E4640" s="21"/>
    </row>
    <row r="4641">
      <c r="A4641" s="21"/>
      <c r="B4641" s="21"/>
      <c r="C4641" s="21"/>
      <c r="D4641" s="21"/>
      <c r="E4641" s="21"/>
    </row>
    <row r="4642">
      <c r="A4642" s="21"/>
      <c r="B4642" s="21"/>
      <c r="C4642" s="21"/>
      <c r="D4642" s="21"/>
      <c r="E4642" s="21"/>
    </row>
    <row r="4643">
      <c r="A4643" s="21"/>
      <c r="B4643" s="21"/>
      <c r="C4643" s="21"/>
      <c r="D4643" s="21"/>
      <c r="E4643" s="21"/>
    </row>
    <row r="4644">
      <c r="A4644" s="21"/>
      <c r="B4644" s="21"/>
      <c r="C4644" s="21"/>
      <c r="D4644" s="21"/>
      <c r="E4644" s="21"/>
    </row>
    <row r="4645">
      <c r="A4645" s="21"/>
      <c r="B4645" s="21"/>
      <c r="C4645" s="21"/>
      <c r="D4645" s="21"/>
      <c r="E4645" s="21"/>
    </row>
    <row r="4646">
      <c r="A4646" s="21"/>
      <c r="B4646" s="21"/>
      <c r="C4646" s="21"/>
      <c r="D4646" s="21"/>
      <c r="E4646" s="21"/>
    </row>
    <row r="4647">
      <c r="A4647" s="21"/>
      <c r="B4647" s="21"/>
      <c r="C4647" s="21"/>
      <c r="D4647" s="21"/>
      <c r="E4647" s="21"/>
    </row>
    <row r="4648">
      <c r="A4648" s="21"/>
      <c r="B4648" s="21"/>
      <c r="C4648" s="21"/>
      <c r="D4648" s="21"/>
      <c r="E4648" s="21"/>
    </row>
    <row r="4649">
      <c r="A4649" s="21"/>
      <c r="B4649" s="21"/>
      <c r="C4649" s="21"/>
      <c r="D4649" s="21"/>
      <c r="E4649" s="21"/>
    </row>
    <row r="4650">
      <c r="A4650" s="21"/>
      <c r="B4650" s="21"/>
      <c r="C4650" s="21"/>
      <c r="D4650" s="21"/>
      <c r="E4650" s="21"/>
    </row>
    <row r="4651">
      <c r="A4651" s="21"/>
      <c r="B4651" s="21"/>
      <c r="C4651" s="21"/>
      <c r="D4651" s="21"/>
      <c r="E4651" s="21"/>
    </row>
    <row r="4652">
      <c r="A4652" s="21"/>
      <c r="B4652" s="21"/>
      <c r="C4652" s="21"/>
      <c r="D4652" s="21"/>
      <c r="E4652" s="21"/>
    </row>
    <row r="4653">
      <c r="A4653" s="21"/>
      <c r="B4653" s="21"/>
      <c r="C4653" s="21"/>
      <c r="D4653" s="21"/>
      <c r="E4653" s="21"/>
    </row>
    <row r="4654">
      <c r="A4654" s="21"/>
      <c r="B4654" s="21"/>
      <c r="C4654" s="21"/>
      <c r="D4654" s="21"/>
      <c r="E4654" s="21"/>
    </row>
    <row r="4655">
      <c r="A4655" s="21"/>
      <c r="B4655" s="21"/>
      <c r="C4655" s="21"/>
      <c r="D4655" s="21"/>
      <c r="E4655" s="21"/>
    </row>
    <row r="4656">
      <c r="A4656" s="21"/>
      <c r="B4656" s="21"/>
      <c r="C4656" s="21"/>
      <c r="D4656" s="21"/>
      <c r="E4656" s="21"/>
    </row>
    <row r="4657">
      <c r="A4657" s="21"/>
      <c r="B4657" s="21"/>
      <c r="C4657" s="21"/>
      <c r="D4657" s="21"/>
      <c r="E4657" s="21"/>
    </row>
    <row r="4658">
      <c r="A4658" s="21"/>
      <c r="B4658" s="21"/>
      <c r="C4658" s="21"/>
      <c r="D4658" s="21"/>
      <c r="E4658" s="21"/>
    </row>
    <row r="4659">
      <c r="A4659" s="21"/>
      <c r="B4659" s="21"/>
      <c r="C4659" s="21"/>
      <c r="D4659" s="21"/>
      <c r="E4659" s="21"/>
    </row>
    <row r="4660">
      <c r="A4660" s="21"/>
      <c r="B4660" s="21"/>
      <c r="C4660" s="21"/>
      <c r="D4660" s="21"/>
      <c r="E4660" s="21"/>
    </row>
    <row r="4661">
      <c r="A4661" s="21"/>
      <c r="B4661" s="21"/>
      <c r="C4661" s="21"/>
      <c r="D4661" s="21"/>
      <c r="E4661" s="21"/>
    </row>
    <row r="4662">
      <c r="A4662" s="21"/>
      <c r="B4662" s="21"/>
      <c r="C4662" s="21"/>
      <c r="D4662" s="21"/>
      <c r="E4662" s="21"/>
    </row>
    <row r="4663">
      <c r="A4663" s="21"/>
      <c r="B4663" s="21"/>
      <c r="C4663" s="21"/>
      <c r="D4663" s="21"/>
      <c r="E4663" s="21"/>
    </row>
    <row r="4664">
      <c r="A4664" s="21"/>
      <c r="B4664" s="21"/>
      <c r="C4664" s="21"/>
      <c r="D4664" s="21"/>
      <c r="E4664" s="21"/>
    </row>
    <row r="4665">
      <c r="A4665" s="21"/>
      <c r="B4665" s="21"/>
      <c r="C4665" s="21"/>
      <c r="D4665" s="21"/>
      <c r="E4665" s="21"/>
    </row>
    <row r="4666">
      <c r="A4666" s="21"/>
      <c r="B4666" s="21"/>
      <c r="C4666" s="21"/>
      <c r="D4666" s="21"/>
      <c r="E4666" s="21"/>
    </row>
    <row r="4667">
      <c r="A4667" s="21"/>
      <c r="B4667" s="21"/>
      <c r="C4667" s="21"/>
      <c r="D4667" s="21"/>
      <c r="E4667" s="21"/>
    </row>
    <row r="4668">
      <c r="A4668" s="21"/>
      <c r="B4668" s="21"/>
      <c r="C4668" s="21"/>
      <c r="D4668" s="21"/>
      <c r="E4668" s="21"/>
    </row>
    <row r="4669">
      <c r="A4669" s="21"/>
      <c r="B4669" s="21"/>
      <c r="C4669" s="21"/>
      <c r="D4669" s="21"/>
      <c r="E4669" s="21"/>
    </row>
    <row r="4670">
      <c r="A4670" s="21"/>
      <c r="B4670" s="21"/>
      <c r="C4670" s="21"/>
      <c r="D4670" s="21"/>
      <c r="E4670" s="21"/>
    </row>
    <row r="4671">
      <c r="A4671" s="21"/>
      <c r="B4671" s="21"/>
      <c r="C4671" s="21"/>
      <c r="D4671" s="21"/>
      <c r="E4671" s="21"/>
    </row>
    <row r="4672">
      <c r="A4672" s="21"/>
      <c r="B4672" s="21"/>
      <c r="C4672" s="21"/>
      <c r="D4672" s="21"/>
      <c r="E4672" s="21"/>
    </row>
    <row r="4673">
      <c r="A4673" s="21"/>
      <c r="B4673" s="21"/>
      <c r="C4673" s="21"/>
      <c r="D4673" s="21"/>
      <c r="E4673" s="21"/>
    </row>
    <row r="4674">
      <c r="A4674" s="21"/>
      <c r="B4674" s="21"/>
      <c r="C4674" s="21"/>
      <c r="D4674" s="21"/>
      <c r="E4674" s="21"/>
    </row>
    <row r="4675">
      <c r="A4675" s="21"/>
      <c r="B4675" s="21"/>
      <c r="C4675" s="21"/>
      <c r="D4675" s="21"/>
      <c r="E4675" s="21"/>
    </row>
    <row r="4676">
      <c r="A4676" s="21"/>
      <c r="B4676" s="21"/>
      <c r="C4676" s="21"/>
      <c r="D4676" s="21"/>
      <c r="E4676" s="21"/>
    </row>
    <row r="4677">
      <c r="A4677" s="21"/>
      <c r="B4677" s="21"/>
      <c r="C4677" s="21"/>
      <c r="D4677" s="21"/>
      <c r="E4677" s="21"/>
    </row>
    <row r="4678">
      <c r="A4678" s="21"/>
      <c r="B4678" s="21"/>
      <c r="C4678" s="21"/>
      <c r="D4678" s="21"/>
      <c r="E4678" s="21"/>
    </row>
    <row r="4679">
      <c r="A4679" s="21"/>
      <c r="B4679" s="21"/>
      <c r="C4679" s="21"/>
      <c r="D4679" s="21"/>
      <c r="E4679" s="21"/>
    </row>
    <row r="4680">
      <c r="A4680" s="21"/>
      <c r="B4680" s="21"/>
      <c r="C4680" s="21"/>
      <c r="D4680" s="21"/>
      <c r="E4680" s="21"/>
    </row>
    <row r="4681">
      <c r="A4681" s="21"/>
      <c r="B4681" s="21"/>
      <c r="C4681" s="21"/>
      <c r="D4681" s="21"/>
      <c r="E4681" s="21"/>
    </row>
    <row r="4682">
      <c r="A4682" s="21"/>
      <c r="B4682" s="21"/>
      <c r="C4682" s="21"/>
      <c r="D4682" s="21"/>
      <c r="E4682" s="21"/>
    </row>
    <row r="4683">
      <c r="A4683" s="21"/>
      <c r="B4683" s="21"/>
      <c r="C4683" s="21"/>
      <c r="D4683" s="21"/>
      <c r="E4683" s="21"/>
    </row>
    <row r="4684">
      <c r="A4684" s="21"/>
      <c r="B4684" s="21"/>
      <c r="C4684" s="21"/>
      <c r="D4684" s="21"/>
      <c r="E4684" s="21"/>
    </row>
    <row r="4685">
      <c r="A4685" s="21"/>
      <c r="B4685" s="21"/>
      <c r="C4685" s="21"/>
      <c r="D4685" s="21"/>
      <c r="E4685" s="21"/>
    </row>
    <row r="4686">
      <c r="A4686" s="21"/>
      <c r="B4686" s="21"/>
      <c r="C4686" s="21"/>
      <c r="D4686" s="21"/>
      <c r="E4686" s="21"/>
    </row>
    <row r="4687">
      <c r="A4687" s="21"/>
      <c r="B4687" s="21"/>
      <c r="C4687" s="21"/>
      <c r="D4687" s="21"/>
      <c r="E4687" s="21"/>
    </row>
    <row r="4688">
      <c r="A4688" s="21"/>
      <c r="B4688" s="21"/>
      <c r="C4688" s="21"/>
      <c r="D4688" s="21"/>
      <c r="E4688" s="21"/>
    </row>
    <row r="4689">
      <c r="A4689" s="21"/>
      <c r="B4689" s="21"/>
      <c r="C4689" s="21"/>
      <c r="D4689" s="21"/>
      <c r="E4689" s="21"/>
    </row>
    <row r="4690">
      <c r="A4690" s="21"/>
      <c r="B4690" s="21"/>
      <c r="C4690" s="21"/>
      <c r="D4690" s="21"/>
      <c r="E4690" s="21"/>
    </row>
    <row r="4691">
      <c r="A4691" s="21"/>
      <c r="B4691" s="21"/>
      <c r="C4691" s="21"/>
      <c r="D4691" s="21"/>
      <c r="E4691" s="21"/>
    </row>
    <row r="4692">
      <c r="A4692" s="21"/>
      <c r="B4692" s="21"/>
      <c r="C4692" s="21"/>
      <c r="D4692" s="21"/>
      <c r="E4692" s="21"/>
    </row>
    <row r="4693">
      <c r="A4693" s="21"/>
      <c r="B4693" s="21"/>
      <c r="C4693" s="21"/>
      <c r="D4693" s="21"/>
      <c r="E4693" s="21"/>
    </row>
    <row r="4694">
      <c r="A4694" s="21"/>
      <c r="B4694" s="21"/>
      <c r="C4694" s="21"/>
      <c r="D4694" s="21"/>
      <c r="E4694" s="21"/>
    </row>
    <row r="4695">
      <c r="A4695" s="21"/>
      <c r="B4695" s="21"/>
      <c r="C4695" s="21"/>
      <c r="D4695" s="21"/>
      <c r="E4695" s="21"/>
    </row>
    <row r="4696">
      <c r="A4696" s="21"/>
      <c r="B4696" s="21"/>
      <c r="C4696" s="21"/>
      <c r="D4696" s="21"/>
      <c r="E4696" s="21"/>
    </row>
    <row r="4697">
      <c r="A4697" s="21"/>
      <c r="B4697" s="21"/>
      <c r="C4697" s="21"/>
      <c r="D4697" s="21"/>
      <c r="E4697" s="21"/>
    </row>
    <row r="4698">
      <c r="A4698" s="21"/>
      <c r="B4698" s="21"/>
      <c r="C4698" s="21"/>
      <c r="D4698" s="21"/>
      <c r="E4698" s="21"/>
    </row>
    <row r="4699">
      <c r="A4699" s="21"/>
      <c r="B4699" s="21"/>
      <c r="C4699" s="21"/>
      <c r="D4699" s="21"/>
      <c r="E4699" s="21"/>
    </row>
    <row r="4700">
      <c r="A4700" s="21"/>
      <c r="B4700" s="21"/>
      <c r="C4700" s="21"/>
      <c r="D4700" s="21"/>
      <c r="E4700" s="21"/>
    </row>
    <row r="4701">
      <c r="A4701" s="21"/>
      <c r="B4701" s="21"/>
      <c r="C4701" s="21"/>
      <c r="D4701" s="21"/>
      <c r="E4701" s="21"/>
    </row>
    <row r="4702">
      <c r="A4702" s="21"/>
      <c r="B4702" s="21"/>
      <c r="C4702" s="21"/>
      <c r="D4702" s="21"/>
      <c r="E4702" s="21"/>
    </row>
    <row r="4703">
      <c r="A4703" s="21"/>
      <c r="B4703" s="21"/>
      <c r="C4703" s="21"/>
      <c r="D4703" s="21"/>
      <c r="E4703" s="21"/>
    </row>
    <row r="4704">
      <c r="A4704" s="21"/>
      <c r="B4704" s="21"/>
      <c r="C4704" s="21"/>
      <c r="D4704" s="21"/>
      <c r="E4704" s="21"/>
    </row>
    <row r="4705">
      <c r="A4705" s="21"/>
      <c r="B4705" s="21"/>
      <c r="C4705" s="21"/>
      <c r="D4705" s="21"/>
      <c r="E4705" s="21"/>
    </row>
    <row r="4706">
      <c r="A4706" s="21"/>
      <c r="B4706" s="21"/>
      <c r="C4706" s="21"/>
      <c r="D4706" s="21"/>
      <c r="E4706" s="21"/>
    </row>
    <row r="4707">
      <c r="A4707" s="21"/>
      <c r="B4707" s="21"/>
      <c r="C4707" s="21"/>
      <c r="D4707" s="21"/>
      <c r="E4707" s="21"/>
    </row>
    <row r="4708">
      <c r="A4708" s="21"/>
      <c r="B4708" s="21"/>
      <c r="C4708" s="21"/>
      <c r="D4708" s="21"/>
      <c r="E4708" s="21"/>
    </row>
    <row r="4709">
      <c r="A4709" s="21"/>
      <c r="B4709" s="21"/>
      <c r="C4709" s="21"/>
      <c r="D4709" s="21"/>
      <c r="E4709" s="21"/>
    </row>
    <row r="4710">
      <c r="A4710" s="21"/>
      <c r="B4710" s="21"/>
      <c r="C4710" s="21"/>
      <c r="D4710" s="21"/>
      <c r="E4710" s="21"/>
    </row>
    <row r="4711">
      <c r="A4711" s="21"/>
      <c r="B4711" s="21"/>
      <c r="C4711" s="21"/>
      <c r="D4711" s="21"/>
      <c r="E4711" s="21"/>
    </row>
    <row r="4712">
      <c r="A4712" s="21"/>
      <c r="B4712" s="21"/>
      <c r="C4712" s="21"/>
      <c r="D4712" s="21"/>
      <c r="E4712" s="21"/>
    </row>
    <row r="4713">
      <c r="A4713" s="21"/>
      <c r="B4713" s="21"/>
      <c r="C4713" s="21"/>
      <c r="D4713" s="21"/>
      <c r="E4713" s="21"/>
    </row>
    <row r="4714">
      <c r="A4714" s="21"/>
      <c r="B4714" s="21"/>
      <c r="C4714" s="21"/>
      <c r="D4714" s="21"/>
      <c r="E4714" s="21"/>
    </row>
    <row r="4715">
      <c r="A4715" s="21"/>
      <c r="B4715" s="21"/>
      <c r="C4715" s="21"/>
      <c r="D4715" s="21"/>
      <c r="E4715" s="21"/>
    </row>
    <row r="4716">
      <c r="A4716" s="21"/>
      <c r="B4716" s="21"/>
      <c r="C4716" s="21"/>
      <c r="D4716" s="21"/>
      <c r="E4716" s="21"/>
    </row>
    <row r="4717">
      <c r="A4717" s="21"/>
      <c r="B4717" s="21"/>
      <c r="C4717" s="21"/>
      <c r="D4717" s="21"/>
      <c r="E4717" s="21"/>
    </row>
    <row r="4718">
      <c r="A4718" s="21"/>
      <c r="B4718" s="21"/>
      <c r="C4718" s="21"/>
      <c r="D4718" s="21"/>
      <c r="E4718" s="21"/>
    </row>
    <row r="4719">
      <c r="A4719" s="21"/>
      <c r="B4719" s="21"/>
      <c r="C4719" s="21"/>
      <c r="D4719" s="21"/>
      <c r="E4719" s="21"/>
    </row>
    <row r="4720">
      <c r="A4720" s="21"/>
      <c r="B4720" s="21"/>
      <c r="C4720" s="21"/>
      <c r="D4720" s="21"/>
      <c r="E4720" s="21"/>
    </row>
    <row r="4721">
      <c r="A4721" s="21"/>
      <c r="B4721" s="21"/>
      <c r="C4721" s="21"/>
      <c r="D4721" s="21"/>
      <c r="E4721" s="21"/>
    </row>
    <row r="4722">
      <c r="A4722" s="21"/>
      <c r="B4722" s="21"/>
      <c r="C4722" s="21"/>
      <c r="D4722" s="21"/>
      <c r="E4722" s="21"/>
    </row>
    <row r="4723">
      <c r="A4723" s="21"/>
      <c r="B4723" s="21"/>
      <c r="C4723" s="21"/>
      <c r="D4723" s="21"/>
      <c r="E4723" s="21"/>
    </row>
    <row r="4724">
      <c r="A4724" s="21"/>
      <c r="B4724" s="21"/>
      <c r="C4724" s="21"/>
      <c r="D4724" s="21"/>
      <c r="E4724" s="21"/>
    </row>
    <row r="4725">
      <c r="A4725" s="21"/>
      <c r="B4725" s="21"/>
      <c r="C4725" s="21"/>
      <c r="D4725" s="21"/>
      <c r="E4725" s="21"/>
    </row>
    <row r="4726">
      <c r="A4726" s="21"/>
      <c r="B4726" s="21"/>
      <c r="C4726" s="21"/>
      <c r="D4726" s="21"/>
      <c r="E4726" s="21"/>
    </row>
    <row r="4727">
      <c r="A4727" s="21"/>
      <c r="B4727" s="21"/>
      <c r="C4727" s="21"/>
      <c r="D4727" s="21"/>
      <c r="E4727" s="21"/>
    </row>
    <row r="4728">
      <c r="A4728" s="21"/>
      <c r="B4728" s="21"/>
      <c r="C4728" s="21"/>
      <c r="D4728" s="21"/>
      <c r="E4728" s="21"/>
    </row>
    <row r="4729">
      <c r="A4729" s="21"/>
      <c r="B4729" s="21"/>
      <c r="C4729" s="21"/>
      <c r="D4729" s="21"/>
      <c r="E4729" s="21"/>
    </row>
    <row r="4730">
      <c r="A4730" s="21"/>
      <c r="B4730" s="21"/>
      <c r="C4730" s="21"/>
      <c r="D4730" s="21"/>
      <c r="E4730" s="21"/>
    </row>
    <row r="4731">
      <c r="A4731" s="21"/>
      <c r="B4731" s="21"/>
      <c r="C4731" s="21"/>
      <c r="D4731" s="21"/>
      <c r="E4731" s="21"/>
    </row>
    <row r="4732">
      <c r="A4732" s="21"/>
      <c r="B4732" s="21"/>
      <c r="C4732" s="21"/>
      <c r="D4732" s="21"/>
      <c r="E4732" s="21"/>
    </row>
    <row r="4733">
      <c r="A4733" s="21"/>
      <c r="B4733" s="21"/>
      <c r="C4733" s="21"/>
      <c r="D4733" s="21"/>
      <c r="E4733" s="21"/>
    </row>
    <row r="4734">
      <c r="A4734" s="21"/>
      <c r="B4734" s="21"/>
      <c r="C4734" s="21"/>
      <c r="D4734" s="21"/>
      <c r="E4734" s="21"/>
    </row>
    <row r="4735">
      <c r="A4735" s="21"/>
      <c r="B4735" s="21"/>
      <c r="C4735" s="21"/>
      <c r="D4735" s="21"/>
      <c r="E4735" s="21"/>
    </row>
    <row r="4736">
      <c r="A4736" s="21"/>
      <c r="B4736" s="21"/>
      <c r="C4736" s="21"/>
      <c r="D4736" s="21"/>
      <c r="E4736" s="21"/>
    </row>
    <row r="4737">
      <c r="A4737" s="21"/>
      <c r="B4737" s="21"/>
      <c r="C4737" s="21"/>
      <c r="D4737" s="21"/>
      <c r="E4737" s="21"/>
    </row>
    <row r="4738">
      <c r="A4738" s="21"/>
      <c r="B4738" s="21"/>
      <c r="C4738" s="21"/>
      <c r="D4738" s="21"/>
      <c r="E4738" s="21"/>
    </row>
    <row r="4739">
      <c r="A4739" s="21"/>
      <c r="B4739" s="21"/>
      <c r="C4739" s="21"/>
      <c r="D4739" s="21"/>
      <c r="E4739" s="21"/>
    </row>
    <row r="4740">
      <c r="A4740" s="21"/>
      <c r="B4740" s="21"/>
      <c r="C4740" s="21"/>
      <c r="D4740" s="21"/>
      <c r="E4740" s="21"/>
    </row>
    <row r="4741">
      <c r="A4741" s="21"/>
      <c r="B4741" s="21"/>
      <c r="C4741" s="21"/>
      <c r="D4741" s="21"/>
      <c r="E4741" s="21"/>
    </row>
    <row r="4742">
      <c r="A4742" s="21"/>
      <c r="B4742" s="21"/>
      <c r="C4742" s="21"/>
      <c r="D4742" s="21"/>
      <c r="E4742" s="21"/>
    </row>
    <row r="4743">
      <c r="A4743" s="21"/>
      <c r="B4743" s="21"/>
      <c r="C4743" s="21"/>
      <c r="D4743" s="21"/>
      <c r="E4743" s="21"/>
    </row>
    <row r="4744">
      <c r="A4744" s="21"/>
      <c r="B4744" s="21"/>
      <c r="C4744" s="21"/>
      <c r="D4744" s="21"/>
      <c r="E4744" s="21"/>
    </row>
    <row r="4745">
      <c r="A4745" s="21"/>
      <c r="B4745" s="21"/>
      <c r="C4745" s="21"/>
      <c r="D4745" s="21"/>
      <c r="E4745" s="21"/>
    </row>
    <row r="4746">
      <c r="A4746" s="21"/>
      <c r="B4746" s="21"/>
      <c r="C4746" s="21"/>
      <c r="D4746" s="21"/>
      <c r="E4746" s="21"/>
    </row>
    <row r="4747">
      <c r="A4747" s="21"/>
      <c r="B4747" s="21"/>
      <c r="C4747" s="21"/>
      <c r="D4747" s="21"/>
      <c r="E4747" s="21"/>
    </row>
    <row r="4748">
      <c r="A4748" s="21"/>
      <c r="B4748" s="21"/>
      <c r="C4748" s="21"/>
      <c r="D4748" s="21"/>
      <c r="E4748" s="21"/>
    </row>
    <row r="4749">
      <c r="A4749" s="21"/>
      <c r="B4749" s="21"/>
      <c r="C4749" s="21"/>
      <c r="D4749" s="21"/>
      <c r="E4749" s="21"/>
    </row>
    <row r="4750">
      <c r="A4750" s="21"/>
      <c r="B4750" s="21"/>
      <c r="C4750" s="21"/>
      <c r="D4750" s="21"/>
      <c r="E4750" s="21"/>
    </row>
    <row r="4751">
      <c r="A4751" s="21"/>
      <c r="B4751" s="21"/>
      <c r="C4751" s="21"/>
      <c r="D4751" s="21"/>
      <c r="E4751" s="21"/>
    </row>
    <row r="4752">
      <c r="A4752" s="21"/>
      <c r="B4752" s="21"/>
      <c r="C4752" s="21"/>
      <c r="D4752" s="21"/>
      <c r="E4752" s="21"/>
    </row>
    <row r="4753">
      <c r="A4753" s="21"/>
      <c r="B4753" s="21"/>
      <c r="C4753" s="21"/>
      <c r="D4753" s="21"/>
      <c r="E4753" s="21"/>
    </row>
    <row r="4754">
      <c r="A4754" s="21"/>
      <c r="B4754" s="21"/>
      <c r="C4754" s="21"/>
      <c r="D4754" s="21"/>
      <c r="E4754" s="21"/>
    </row>
    <row r="4755">
      <c r="A4755" s="21"/>
      <c r="B4755" s="21"/>
      <c r="C4755" s="21"/>
      <c r="D4755" s="21"/>
      <c r="E4755" s="21"/>
    </row>
    <row r="4756">
      <c r="A4756" s="21"/>
      <c r="B4756" s="21"/>
      <c r="C4756" s="21"/>
      <c r="D4756" s="21"/>
      <c r="E4756" s="21"/>
    </row>
    <row r="4757">
      <c r="A4757" s="21"/>
      <c r="B4757" s="21"/>
      <c r="C4757" s="21"/>
      <c r="D4757" s="21"/>
      <c r="E4757" s="21"/>
    </row>
    <row r="4758">
      <c r="A4758" s="21"/>
      <c r="B4758" s="21"/>
      <c r="C4758" s="21"/>
      <c r="D4758" s="21"/>
      <c r="E4758" s="21"/>
    </row>
    <row r="4759">
      <c r="A4759" s="21"/>
      <c r="B4759" s="21"/>
      <c r="C4759" s="21"/>
      <c r="D4759" s="21"/>
      <c r="E4759" s="21"/>
    </row>
    <row r="4760">
      <c r="A4760" s="21"/>
      <c r="B4760" s="21"/>
      <c r="C4760" s="21"/>
      <c r="D4760" s="21"/>
      <c r="E4760" s="21"/>
    </row>
    <row r="4761">
      <c r="A4761" s="21"/>
      <c r="B4761" s="21"/>
      <c r="C4761" s="21"/>
      <c r="D4761" s="21"/>
      <c r="E4761" s="21"/>
    </row>
    <row r="4762">
      <c r="A4762" s="21"/>
      <c r="B4762" s="21"/>
      <c r="C4762" s="21"/>
      <c r="D4762" s="21"/>
      <c r="E4762" s="21"/>
    </row>
    <row r="4763">
      <c r="A4763" s="21"/>
      <c r="B4763" s="21"/>
      <c r="C4763" s="21"/>
      <c r="D4763" s="21"/>
      <c r="E4763" s="21"/>
    </row>
    <row r="4764">
      <c r="A4764" s="21"/>
      <c r="B4764" s="21"/>
      <c r="C4764" s="21"/>
      <c r="D4764" s="21"/>
      <c r="E4764" s="21"/>
    </row>
    <row r="4765">
      <c r="A4765" s="21"/>
      <c r="B4765" s="21"/>
      <c r="C4765" s="21"/>
      <c r="D4765" s="21"/>
      <c r="E4765" s="21"/>
    </row>
    <row r="4766">
      <c r="A4766" s="21"/>
      <c r="B4766" s="21"/>
      <c r="C4766" s="21"/>
      <c r="D4766" s="21"/>
      <c r="E4766" s="21"/>
    </row>
    <row r="4767">
      <c r="A4767" s="21"/>
      <c r="B4767" s="21"/>
      <c r="C4767" s="21"/>
      <c r="D4767" s="21"/>
      <c r="E4767" s="21"/>
    </row>
    <row r="4768">
      <c r="A4768" s="21"/>
      <c r="B4768" s="21"/>
      <c r="C4768" s="21"/>
      <c r="D4768" s="21"/>
      <c r="E4768" s="21"/>
    </row>
    <row r="4769">
      <c r="A4769" s="21"/>
      <c r="B4769" s="21"/>
      <c r="C4769" s="21"/>
      <c r="D4769" s="21"/>
      <c r="E4769" s="21"/>
    </row>
    <row r="4770">
      <c r="A4770" s="21"/>
      <c r="B4770" s="21"/>
      <c r="C4770" s="21"/>
      <c r="D4770" s="21"/>
      <c r="E4770" s="21"/>
    </row>
    <row r="4771">
      <c r="A4771" s="21"/>
      <c r="B4771" s="21"/>
      <c r="C4771" s="21"/>
      <c r="D4771" s="21"/>
      <c r="E4771" s="21"/>
    </row>
    <row r="4772">
      <c r="A4772" s="21"/>
      <c r="B4772" s="21"/>
      <c r="C4772" s="21"/>
      <c r="D4772" s="21"/>
      <c r="E4772" s="21"/>
    </row>
    <row r="4773">
      <c r="A4773" s="21"/>
      <c r="B4773" s="21"/>
      <c r="C4773" s="21"/>
      <c r="D4773" s="21"/>
      <c r="E4773" s="21"/>
    </row>
    <row r="4774">
      <c r="A4774" s="21"/>
      <c r="B4774" s="21"/>
      <c r="C4774" s="21"/>
      <c r="D4774" s="21"/>
      <c r="E4774" s="21"/>
    </row>
    <row r="4775">
      <c r="A4775" s="21"/>
      <c r="B4775" s="21"/>
      <c r="C4775" s="21"/>
      <c r="D4775" s="21"/>
      <c r="E4775" s="21"/>
    </row>
    <row r="4776">
      <c r="A4776" s="21"/>
      <c r="B4776" s="21"/>
      <c r="C4776" s="21"/>
      <c r="D4776" s="21"/>
      <c r="E4776" s="21"/>
    </row>
    <row r="4777">
      <c r="A4777" s="21"/>
      <c r="B4777" s="21"/>
      <c r="C4777" s="21"/>
      <c r="D4777" s="21"/>
      <c r="E4777" s="21"/>
    </row>
    <row r="4778">
      <c r="A4778" s="21"/>
      <c r="B4778" s="21"/>
      <c r="C4778" s="21"/>
      <c r="D4778" s="21"/>
      <c r="E4778" s="21"/>
    </row>
    <row r="4779">
      <c r="A4779" s="21"/>
      <c r="B4779" s="21"/>
      <c r="C4779" s="21"/>
      <c r="D4779" s="21"/>
      <c r="E4779" s="21"/>
    </row>
    <row r="4780">
      <c r="A4780" s="21"/>
      <c r="B4780" s="21"/>
      <c r="C4780" s="21"/>
      <c r="D4780" s="21"/>
      <c r="E4780" s="21"/>
    </row>
    <row r="4781">
      <c r="A4781" s="21"/>
      <c r="B4781" s="21"/>
      <c r="C4781" s="21"/>
      <c r="D4781" s="21"/>
      <c r="E4781" s="21"/>
    </row>
    <row r="4782">
      <c r="A4782" s="21"/>
      <c r="B4782" s="21"/>
      <c r="C4782" s="21"/>
      <c r="D4782" s="21"/>
      <c r="E4782" s="21"/>
    </row>
    <row r="4783">
      <c r="A4783" s="21"/>
      <c r="B4783" s="21"/>
      <c r="C4783" s="21"/>
      <c r="D4783" s="21"/>
      <c r="E4783" s="21"/>
    </row>
    <row r="4784">
      <c r="A4784" s="21"/>
      <c r="B4784" s="21"/>
      <c r="C4784" s="21"/>
      <c r="D4784" s="21"/>
      <c r="E4784" s="21"/>
    </row>
    <row r="4785">
      <c r="A4785" s="21"/>
      <c r="B4785" s="21"/>
      <c r="C4785" s="21"/>
      <c r="D4785" s="21"/>
      <c r="E4785" s="21"/>
    </row>
    <row r="4786">
      <c r="A4786" s="21"/>
      <c r="B4786" s="21"/>
      <c r="C4786" s="21"/>
      <c r="D4786" s="21"/>
      <c r="E4786" s="21"/>
    </row>
    <row r="4787">
      <c r="A4787" s="21"/>
      <c r="B4787" s="21"/>
      <c r="C4787" s="21"/>
      <c r="D4787" s="21"/>
      <c r="E4787" s="21"/>
    </row>
    <row r="4788">
      <c r="A4788" s="21"/>
      <c r="B4788" s="21"/>
      <c r="C4788" s="21"/>
      <c r="D4788" s="21"/>
      <c r="E4788" s="21"/>
    </row>
    <row r="4789">
      <c r="A4789" s="21"/>
      <c r="B4789" s="21"/>
      <c r="C4789" s="21"/>
      <c r="D4789" s="21"/>
      <c r="E4789" s="21"/>
    </row>
    <row r="4790">
      <c r="A4790" s="21"/>
      <c r="B4790" s="21"/>
      <c r="C4790" s="21"/>
      <c r="D4790" s="21"/>
      <c r="E4790" s="21"/>
    </row>
    <row r="4791">
      <c r="A4791" s="21"/>
      <c r="B4791" s="21"/>
      <c r="C4791" s="21"/>
      <c r="D4791" s="21"/>
      <c r="E4791" s="21"/>
    </row>
    <row r="4792">
      <c r="A4792" s="21"/>
      <c r="B4792" s="21"/>
      <c r="C4792" s="21"/>
      <c r="D4792" s="21"/>
      <c r="E4792" s="21"/>
    </row>
    <row r="4793">
      <c r="A4793" s="21"/>
      <c r="B4793" s="21"/>
      <c r="C4793" s="21"/>
      <c r="D4793" s="21"/>
      <c r="E4793" s="21"/>
    </row>
    <row r="4794">
      <c r="A4794" s="21"/>
      <c r="B4794" s="21"/>
      <c r="C4794" s="21"/>
      <c r="D4794" s="21"/>
      <c r="E4794" s="21"/>
    </row>
    <row r="4795">
      <c r="A4795" s="21"/>
      <c r="B4795" s="21"/>
      <c r="C4795" s="21"/>
      <c r="D4795" s="21"/>
      <c r="E4795" s="21"/>
    </row>
    <row r="4796">
      <c r="A4796" s="21"/>
      <c r="B4796" s="21"/>
      <c r="C4796" s="21"/>
      <c r="D4796" s="21"/>
      <c r="E4796" s="21"/>
    </row>
    <row r="4797">
      <c r="A4797" s="21"/>
      <c r="B4797" s="21"/>
      <c r="C4797" s="21"/>
      <c r="D4797" s="21"/>
      <c r="E4797" s="21"/>
    </row>
    <row r="4798">
      <c r="A4798" s="21"/>
      <c r="B4798" s="21"/>
      <c r="C4798" s="21"/>
      <c r="D4798" s="21"/>
      <c r="E4798" s="21"/>
    </row>
    <row r="4799">
      <c r="A4799" s="21"/>
      <c r="B4799" s="21"/>
      <c r="C4799" s="21"/>
      <c r="D4799" s="21"/>
      <c r="E4799" s="21"/>
    </row>
    <row r="4800">
      <c r="A4800" s="21"/>
      <c r="B4800" s="21"/>
      <c r="C4800" s="21"/>
      <c r="D4800" s="21"/>
      <c r="E4800" s="21"/>
    </row>
    <row r="4801">
      <c r="A4801" s="21"/>
      <c r="B4801" s="21"/>
      <c r="C4801" s="21"/>
      <c r="D4801" s="21"/>
      <c r="E4801" s="21"/>
    </row>
    <row r="4802">
      <c r="A4802" s="21"/>
      <c r="B4802" s="21"/>
      <c r="C4802" s="21"/>
      <c r="D4802" s="21"/>
      <c r="E4802" s="21"/>
    </row>
    <row r="4803">
      <c r="A4803" s="21"/>
      <c r="B4803" s="21"/>
      <c r="C4803" s="21"/>
      <c r="D4803" s="21"/>
      <c r="E4803" s="21"/>
    </row>
    <row r="4804">
      <c r="A4804" s="21"/>
      <c r="B4804" s="21"/>
      <c r="C4804" s="21"/>
      <c r="D4804" s="21"/>
      <c r="E4804" s="21"/>
    </row>
    <row r="4805">
      <c r="A4805" s="21"/>
      <c r="B4805" s="21"/>
      <c r="C4805" s="21"/>
      <c r="D4805" s="21"/>
      <c r="E4805" s="21"/>
    </row>
    <row r="4806">
      <c r="A4806" s="21"/>
      <c r="B4806" s="21"/>
      <c r="C4806" s="21"/>
      <c r="D4806" s="21"/>
      <c r="E4806" s="21"/>
    </row>
    <row r="4807">
      <c r="A4807" s="21"/>
      <c r="B4807" s="21"/>
      <c r="C4807" s="21"/>
      <c r="D4807" s="21"/>
      <c r="E4807" s="21"/>
    </row>
    <row r="4808">
      <c r="A4808" s="21"/>
      <c r="B4808" s="21"/>
      <c r="C4808" s="21"/>
      <c r="D4808" s="21"/>
      <c r="E4808" s="21"/>
    </row>
    <row r="4809">
      <c r="A4809" s="21"/>
      <c r="B4809" s="21"/>
      <c r="C4809" s="21"/>
      <c r="D4809" s="21"/>
      <c r="E4809" s="21"/>
    </row>
    <row r="4810">
      <c r="A4810" s="21"/>
      <c r="B4810" s="21"/>
      <c r="C4810" s="21"/>
      <c r="D4810" s="21"/>
      <c r="E4810" s="21"/>
    </row>
    <row r="4811">
      <c r="A4811" s="21"/>
      <c r="B4811" s="21"/>
      <c r="C4811" s="21"/>
      <c r="D4811" s="21"/>
      <c r="E4811" s="21"/>
    </row>
    <row r="4812">
      <c r="A4812" s="21"/>
      <c r="B4812" s="21"/>
      <c r="C4812" s="21"/>
      <c r="D4812" s="21"/>
      <c r="E4812" s="21"/>
    </row>
    <row r="4813">
      <c r="A4813" s="21"/>
      <c r="B4813" s="21"/>
      <c r="C4813" s="21"/>
      <c r="D4813" s="21"/>
      <c r="E4813" s="21"/>
    </row>
    <row r="4814">
      <c r="A4814" s="21"/>
      <c r="B4814" s="21"/>
      <c r="C4814" s="21"/>
      <c r="D4814" s="21"/>
      <c r="E4814" s="21"/>
    </row>
    <row r="4815">
      <c r="A4815" s="21"/>
      <c r="B4815" s="21"/>
      <c r="C4815" s="21"/>
      <c r="D4815" s="21"/>
      <c r="E4815" s="21"/>
    </row>
    <row r="4816">
      <c r="A4816" s="21"/>
      <c r="B4816" s="21"/>
      <c r="C4816" s="21"/>
      <c r="D4816" s="21"/>
      <c r="E4816" s="21"/>
    </row>
    <row r="4817">
      <c r="A4817" s="21"/>
      <c r="B4817" s="21"/>
      <c r="C4817" s="21"/>
      <c r="D4817" s="21"/>
      <c r="E4817" s="21"/>
    </row>
    <row r="4818">
      <c r="A4818" s="21"/>
      <c r="B4818" s="21"/>
      <c r="C4818" s="21"/>
      <c r="D4818" s="21"/>
      <c r="E4818" s="21"/>
    </row>
    <row r="4819">
      <c r="A4819" s="21"/>
      <c r="B4819" s="21"/>
      <c r="C4819" s="21"/>
      <c r="D4819" s="21"/>
      <c r="E4819" s="21"/>
    </row>
    <row r="4820">
      <c r="A4820" s="21"/>
      <c r="B4820" s="21"/>
      <c r="C4820" s="21"/>
      <c r="D4820" s="21"/>
      <c r="E4820" s="21"/>
    </row>
    <row r="4821">
      <c r="A4821" s="21"/>
      <c r="B4821" s="21"/>
      <c r="C4821" s="21"/>
      <c r="D4821" s="21"/>
      <c r="E4821" s="21"/>
    </row>
    <row r="4822">
      <c r="A4822" s="21"/>
      <c r="B4822" s="21"/>
      <c r="C4822" s="21"/>
      <c r="D4822" s="21"/>
      <c r="E4822" s="21"/>
    </row>
    <row r="4823">
      <c r="A4823" s="21"/>
      <c r="B4823" s="21"/>
      <c r="C4823" s="21"/>
      <c r="D4823" s="21"/>
      <c r="E4823" s="21"/>
    </row>
    <row r="4824">
      <c r="A4824" s="21"/>
      <c r="B4824" s="21"/>
      <c r="C4824" s="21"/>
      <c r="D4824" s="21"/>
      <c r="E4824" s="21"/>
    </row>
    <row r="4825">
      <c r="A4825" s="21"/>
      <c r="B4825" s="21"/>
      <c r="C4825" s="21"/>
      <c r="D4825" s="21"/>
      <c r="E4825" s="21"/>
    </row>
    <row r="4826">
      <c r="A4826" s="21"/>
      <c r="B4826" s="21"/>
      <c r="C4826" s="21"/>
      <c r="D4826" s="21"/>
      <c r="E4826" s="21"/>
    </row>
    <row r="4827">
      <c r="A4827" s="21"/>
      <c r="B4827" s="21"/>
      <c r="C4827" s="21"/>
      <c r="D4827" s="21"/>
      <c r="E4827" s="21"/>
    </row>
    <row r="4828">
      <c r="A4828" s="21"/>
      <c r="B4828" s="21"/>
      <c r="C4828" s="21"/>
      <c r="D4828" s="21"/>
      <c r="E4828" s="21"/>
    </row>
    <row r="4829">
      <c r="A4829" s="21"/>
      <c r="B4829" s="21"/>
      <c r="C4829" s="21"/>
      <c r="D4829" s="21"/>
      <c r="E4829" s="21"/>
    </row>
    <row r="4830">
      <c r="A4830" s="21"/>
      <c r="B4830" s="21"/>
      <c r="C4830" s="21"/>
      <c r="D4830" s="21"/>
      <c r="E4830" s="21"/>
    </row>
    <row r="4831">
      <c r="A4831" s="21"/>
      <c r="B4831" s="21"/>
      <c r="C4831" s="21"/>
      <c r="D4831" s="21"/>
      <c r="E4831" s="21"/>
    </row>
    <row r="4832">
      <c r="A4832" s="21"/>
      <c r="B4832" s="21"/>
      <c r="C4832" s="21"/>
      <c r="D4832" s="21"/>
      <c r="E4832" s="21"/>
    </row>
    <row r="4833">
      <c r="A4833" s="21"/>
      <c r="B4833" s="21"/>
      <c r="C4833" s="21"/>
      <c r="D4833" s="21"/>
      <c r="E4833" s="21"/>
    </row>
    <row r="4834">
      <c r="A4834" s="21"/>
      <c r="B4834" s="21"/>
      <c r="C4834" s="21"/>
      <c r="D4834" s="21"/>
      <c r="E4834" s="21"/>
    </row>
    <row r="4835">
      <c r="A4835" s="21"/>
      <c r="B4835" s="21"/>
      <c r="C4835" s="21"/>
      <c r="D4835" s="21"/>
      <c r="E4835" s="21"/>
    </row>
    <row r="4836">
      <c r="A4836" s="21"/>
      <c r="B4836" s="21"/>
      <c r="C4836" s="21"/>
      <c r="D4836" s="21"/>
      <c r="E4836" s="21"/>
    </row>
    <row r="4837">
      <c r="A4837" s="21"/>
      <c r="B4837" s="21"/>
      <c r="C4837" s="21"/>
      <c r="D4837" s="21"/>
      <c r="E4837" s="21"/>
    </row>
    <row r="4838">
      <c r="A4838" s="21"/>
      <c r="B4838" s="21"/>
      <c r="C4838" s="21"/>
      <c r="D4838" s="21"/>
      <c r="E4838" s="21"/>
    </row>
    <row r="4839">
      <c r="A4839" s="21"/>
      <c r="B4839" s="21"/>
      <c r="C4839" s="21"/>
      <c r="D4839" s="21"/>
      <c r="E4839" s="21"/>
    </row>
    <row r="4840">
      <c r="A4840" s="21"/>
      <c r="B4840" s="21"/>
      <c r="C4840" s="21"/>
      <c r="D4840" s="21"/>
      <c r="E4840" s="21"/>
    </row>
    <row r="4841">
      <c r="A4841" s="21"/>
      <c r="B4841" s="21"/>
      <c r="C4841" s="21"/>
      <c r="D4841" s="21"/>
      <c r="E4841" s="21"/>
    </row>
    <row r="4842">
      <c r="A4842" s="21"/>
      <c r="B4842" s="21"/>
      <c r="C4842" s="21"/>
      <c r="D4842" s="21"/>
      <c r="E4842" s="21"/>
    </row>
    <row r="4843">
      <c r="A4843" s="21"/>
      <c r="B4843" s="21"/>
      <c r="C4843" s="21"/>
      <c r="D4843" s="21"/>
      <c r="E4843" s="21"/>
    </row>
    <row r="4844">
      <c r="A4844" s="21"/>
      <c r="B4844" s="21"/>
      <c r="C4844" s="21"/>
      <c r="D4844" s="21"/>
      <c r="E4844" s="21"/>
    </row>
    <row r="4845">
      <c r="A4845" s="21"/>
      <c r="B4845" s="21"/>
      <c r="C4845" s="21"/>
      <c r="D4845" s="21"/>
      <c r="E4845" s="21"/>
    </row>
    <row r="4846">
      <c r="A4846" s="21"/>
      <c r="B4846" s="21"/>
      <c r="C4846" s="21"/>
      <c r="D4846" s="21"/>
      <c r="E4846" s="21"/>
    </row>
    <row r="4847">
      <c r="A4847" s="21"/>
      <c r="B4847" s="21"/>
      <c r="C4847" s="21"/>
      <c r="D4847" s="21"/>
      <c r="E4847" s="21"/>
    </row>
    <row r="4848">
      <c r="A4848" s="21"/>
      <c r="B4848" s="21"/>
      <c r="C4848" s="21"/>
      <c r="D4848" s="21"/>
      <c r="E4848" s="21"/>
    </row>
    <row r="4849">
      <c r="A4849" s="21"/>
      <c r="B4849" s="21"/>
      <c r="C4849" s="21"/>
      <c r="D4849" s="21"/>
      <c r="E4849" s="21"/>
    </row>
    <row r="4850">
      <c r="A4850" s="21"/>
      <c r="B4850" s="21"/>
      <c r="C4850" s="21"/>
      <c r="D4850" s="21"/>
      <c r="E4850" s="21"/>
    </row>
    <row r="4851">
      <c r="A4851" s="21"/>
      <c r="B4851" s="21"/>
      <c r="C4851" s="21"/>
      <c r="D4851" s="21"/>
      <c r="E4851" s="21"/>
    </row>
    <row r="4852">
      <c r="A4852" s="21"/>
      <c r="B4852" s="21"/>
      <c r="C4852" s="21"/>
      <c r="D4852" s="21"/>
      <c r="E4852" s="21"/>
    </row>
    <row r="4853">
      <c r="A4853" s="21"/>
      <c r="B4853" s="21"/>
      <c r="C4853" s="21"/>
      <c r="D4853" s="21"/>
      <c r="E4853" s="21"/>
    </row>
    <row r="4854">
      <c r="A4854" s="21"/>
      <c r="B4854" s="21"/>
      <c r="C4854" s="21"/>
      <c r="D4854" s="21"/>
      <c r="E4854" s="21"/>
    </row>
    <row r="4855">
      <c r="A4855" s="21"/>
      <c r="B4855" s="21"/>
      <c r="C4855" s="21"/>
      <c r="D4855" s="21"/>
      <c r="E4855" s="21"/>
    </row>
    <row r="4856">
      <c r="A4856" s="21"/>
      <c r="B4856" s="21"/>
      <c r="C4856" s="21"/>
      <c r="D4856" s="21"/>
      <c r="E4856" s="21"/>
    </row>
    <row r="4857">
      <c r="A4857" s="21"/>
      <c r="B4857" s="21"/>
      <c r="C4857" s="21"/>
      <c r="D4857" s="21"/>
      <c r="E4857" s="21"/>
    </row>
    <row r="4858">
      <c r="A4858" s="21"/>
      <c r="B4858" s="21"/>
      <c r="C4858" s="21"/>
      <c r="D4858" s="21"/>
      <c r="E4858" s="21"/>
    </row>
    <row r="4859">
      <c r="A4859" s="21"/>
      <c r="B4859" s="21"/>
      <c r="C4859" s="21"/>
      <c r="D4859" s="21"/>
      <c r="E4859" s="21"/>
    </row>
    <row r="4860">
      <c r="A4860" s="21"/>
      <c r="B4860" s="21"/>
      <c r="C4860" s="21"/>
      <c r="D4860" s="21"/>
      <c r="E4860" s="21"/>
    </row>
    <row r="4861">
      <c r="A4861" s="21"/>
      <c r="B4861" s="21"/>
      <c r="C4861" s="21"/>
      <c r="D4861" s="21"/>
      <c r="E4861" s="21"/>
    </row>
    <row r="4862">
      <c r="A4862" s="21"/>
      <c r="B4862" s="21"/>
      <c r="C4862" s="21"/>
      <c r="D4862" s="21"/>
      <c r="E4862" s="21"/>
    </row>
    <row r="4863">
      <c r="A4863" s="21"/>
      <c r="B4863" s="21"/>
      <c r="C4863" s="21"/>
      <c r="D4863" s="21"/>
      <c r="E4863" s="21"/>
    </row>
    <row r="4864">
      <c r="A4864" s="21"/>
      <c r="B4864" s="21"/>
      <c r="C4864" s="21"/>
      <c r="D4864" s="21"/>
      <c r="E4864" s="21"/>
    </row>
    <row r="4865">
      <c r="A4865" s="21"/>
      <c r="B4865" s="21"/>
      <c r="C4865" s="21"/>
      <c r="D4865" s="21"/>
      <c r="E4865" s="21"/>
    </row>
    <row r="4866">
      <c r="A4866" s="21"/>
      <c r="B4866" s="21"/>
      <c r="C4866" s="21"/>
      <c r="D4866" s="21"/>
      <c r="E4866" s="21"/>
    </row>
    <row r="4867">
      <c r="A4867" s="21"/>
      <c r="B4867" s="21"/>
      <c r="C4867" s="21"/>
      <c r="D4867" s="21"/>
      <c r="E4867" s="21"/>
    </row>
    <row r="4868">
      <c r="A4868" s="21"/>
      <c r="B4868" s="21"/>
      <c r="C4868" s="21"/>
      <c r="D4868" s="21"/>
      <c r="E4868" s="21"/>
    </row>
    <row r="4869">
      <c r="A4869" s="21"/>
      <c r="B4869" s="21"/>
      <c r="C4869" s="21"/>
      <c r="D4869" s="21"/>
      <c r="E4869" s="21"/>
    </row>
    <row r="4870">
      <c r="A4870" s="21"/>
      <c r="B4870" s="21"/>
      <c r="C4870" s="21"/>
      <c r="D4870" s="21"/>
      <c r="E4870" s="21"/>
    </row>
    <row r="4871">
      <c r="A4871" s="21"/>
      <c r="B4871" s="21"/>
      <c r="C4871" s="21"/>
      <c r="D4871" s="21"/>
      <c r="E4871" s="21"/>
    </row>
    <row r="4872">
      <c r="A4872" s="21"/>
      <c r="B4872" s="21"/>
      <c r="C4872" s="21"/>
      <c r="D4872" s="21"/>
      <c r="E4872" s="21"/>
    </row>
    <row r="4873">
      <c r="A4873" s="21"/>
      <c r="B4873" s="21"/>
      <c r="C4873" s="21"/>
      <c r="D4873" s="21"/>
      <c r="E4873" s="21"/>
    </row>
    <row r="4874">
      <c r="A4874" s="21"/>
      <c r="B4874" s="21"/>
      <c r="C4874" s="21"/>
      <c r="D4874" s="21"/>
      <c r="E4874" s="21"/>
    </row>
    <row r="4875">
      <c r="A4875" s="21"/>
      <c r="B4875" s="21"/>
      <c r="C4875" s="21"/>
      <c r="D4875" s="21"/>
      <c r="E4875" s="21"/>
    </row>
    <row r="4876">
      <c r="A4876" s="21"/>
      <c r="B4876" s="21"/>
      <c r="C4876" s="21"/>
      <c r="D4876" s="21"/>
      <c r="E4876" s="21"/>
    </row>
    <row r="4877">
      <c r="A4877" s="21"/>
      <c r="B4877" s="21"/>
      <c r="C4877" s="21"/>
      <c r="D4877" s="21"/>
      <c r="E4877" s="21"/>
    </row>
    <row r="4878">
      <c r="A4878" s="21"/>
      <c r="B4878" s="21"/>
      <c r="C4878" s="21"/>
      <c r="D4878" s="21"/>
      <c r="E4878" s="21"/>
    </row>
    <row r="4879">
      <c r="A4879" s="21"/>
      <c r="B4879" s="21"/>
      <c r="C4879" s="21"/>
      <c r="D4879" s="21"/>
      <c r="E4879" s="21"/>
    </row>
    <row r="4880">
      <c r="A4880" s="21"/>
      <c r="B4880" s="21"/>
      <c r="C4880" s="21"/>
      <c r="D4880" s="21"/>
      <c r="E4880" s="21"/>
    </row>
    <row r="4881">
      <c r="A4881" s="21"/>
      <c r="B4881" s="21"/>
      <c r="C4881" s="21"/>
      <c r="D4881" s="21"/>
      <c r="E4881" s="21"/>
    </row>
    <row r="4882">
      <c r="A4882" s="21"/>
      <c r="B4882" s="21"/>
      <c r="C4882" s="21"/>
      <c r="D4882" s="21"/>
      <c r="E4882" s="21"/>
    </row>
    <row r="4883">
      <c r="A4883" s="21"/>
      <c r="B4883" s="21"/>
      <c r="C4883" s="21"/>
      <c r="D4883" s="21"/>
      <c r="E4883" s="21"/>
    </row>
    <row r="4884">
      <c r="A4884" s="21"/>
      <c r="B4884" s="21"/>
      <c r="C4884" s="21"/>
      <c r="D4884" s="21"/>
      <c r="E4884" s="21"/>
    </row>
    <row r="4885">
      <c r="A4885" s="21"/>
      <c r="B4885" s="21"/>
      <c r="C4885" s="21"/>
      <c r="D4885" s="21"/>
      <c r="E4885" s="21"/>
    </row>
    <row r="4886">
      <c r="A4886" s="21"/>
      <c r="B4886" s="21"/>
      <c r="C4886" s="21"/>
      <c r="D4886" s="21"/>
      <c r="E4886" s="21"/>
    </row>
    <row r="4887">
      <c r="A4887" s="21"/>
      <c r="B4887" s="21"/>
      <c r="C4887" s="21"/>
      <c r="D4887" s="21"/>
      <c r="E4887" s="21"/>
    </row>
    <row r="4888">
      <c r="A4888" s="21"/>
      <c r="B4888" s="21"/>
      <c r="C4888" s="21"/>
      <c r="D4888" s="21"/>
      <c r="E4888" s="21"/>
    </row>
    <row r="4889">
      <c r="A4889" s="21"/>
      <c r="B4889" s="21"/>
      <c r="C4889" s="21"/>
      <c r="D4889" s="21"/>
      <c r="E4889" s="21"/>
    </row>
    <row r="4890">
      <c r="A4890" s="21"/>
      <c r="B4890" s="21"/>
      <c r="C4890" s="21"/>
      <c r="D4890" s="21"/>
      <c r="E4890" s="21"/>
    </row>
    <row r="4891">
      <c r="A4891" s="21"/>
      <c r="B4891" s="21"/>
      <c r="C4891" s="21"/>
      <c r="D4891" s="21"/>
      <c r="E4891" s="21"/>
    </row>
    <row r="4892">
      <c r="A4892" s="21"/>
      <c r="B4892" s="21"/>
      <c r="C4892" s="21"/>
      <c r="D4892" s="21"/>
      <c r="E4892" s="21"/>
    </row>
    <row r="4893">
      <c r="A4893" s="21"/>
      <c r="B4893" s="21"/>
      <c r="C4893" s="21"/>
      <c r="D4893" s="21"/>
      <c r="E4893" s="21"/>
    </row>
    <row r="4894">
      <c r="A4894" s="21"/>
      <c r="B4894" s="21"/>
      <c r="C4894" s="21"/>
      <c r="D4894" s="21"/>
      <c r="E4894" s="21"/>
    </row>
    <row r="4895">
      <c r="A4895" s="21"/>
      <c r="B4895" s="21"/>
      <c r="C4895" s="21"/>
      <c r="D4895" s="21"/>
      <c r="E4895" s="21"/>
    </row>
    <row r="4896">
      <c r="A4896" s="21"/>
      <c r="B4896" s="21"/>
      <c r="C4896" s="21"/>
      <c r="D4896" s="21"/>
      <c r="E4896" s="21"/>
    </row>
    <row r="4897">
      <c r="A4897" s="21"/>
      <c r="B4897" s="21"/>
      <c r="C4897" s="21"/>
      <c r="D4897" s="21"/>
      <c r="E4897" s="21"/>
    </row>
    <row r="4898">
      <c r="A4898" s="21"/>
      <c r="B4898" s="21"/>
      <c r="C4898" s="21"/>
      <c r="D4898" s="21"/>
      <c r="E4898" s="21"/>
    </row>
    <row r="4899">
      <c r="A4899" s="21"/>
      <c r="B4899" s="21"/>
      <c r="C4899" s="21"/>
      <c r="D4899" s="21"/>
      <c r="E4899" s="21"/>
    </row>
    <row r="4900">
      <c r="A4900" s="21"/>
      <c r="B4900" s="21"/>
      <c r="C4900" s="21"/>
      <c r="D4900" s="21"/>
      <c r="E4900" s="21"/>
    </row>
    <row r="4901">
      <c r="A4901" s="21"/>
      <c r="B4901" s="21"/>
      <c r="C4901" s="21"/>
      <c r="D4901" s="21"/>
      <c r="E4901" s="21"/>
    </row>
    <row r="4902">
      <c r="A4902" s="21"/>
      <c r="B4902" s="21"/>
      <c r="C4902" s="21"/>
      <c r="D4902" s="21"/>
      <c r="E4902" s="21"/>
    </row>
    <row r="4903">
      <c r="A4903" s="21"/>
      <c r="B4903" s="21"/>
      <c r="C4903" s="21"/>
      <c r="D4903" s="21"/>
      <c r="E4903" s="21"/>
    </row>
    <row r="4904">
      <c r="A4904" s="21"/>
      <c r="B4904" s="21"/>
      <c r="C4904" s="21"/>
      <c r="D4904" s="21"/>
      <c r="E4904" s="21"/>
    </row>
    <row r="4905">
      <c r="A4905" s="21"/>
      <c r="B4905" s="21"/>
      <c r="C4905" s="21"/>
      <c r="D4905" s="21"/>
      <c r="E4905" s="21"/>
    </row>
    <row r="4906">
      <c r="A4906" s="21"/>
      <c r="B4906" s="21"/>
      <c r="C4906" s="21"/>
      <c r="D4906" s="21"/>
      <c r="E4906" s="21"/>
    </row>
    <row r="4907">
      <c r="A4907" s="21"/>
      <c r="B4907" s="21"/>
      <c r="C4907" s="21"/>
      <c r="D4907" s="21"/>
      <c r="E4907" s="21"/>
    </row>
    <row r="4908">
      <c r="A4908" s="21"/>
      <c r="B4908" s="21"/>
      <c r="C4908" s="21"/>
      <c r="D4908" s="21"/>
      <c r="E4908" s="21"/>
    </row>
    <row r="4909">
      <c r="A4909" s="21"/>
      <c r="B4909" s="21"/>
      <c r="C4909" s="21"/>
      <c r="D4909" s="21"/>
      <c r="E4909" s="21"/>
    </row>
    <row r="4910">
      <c r="A4910" s="21"/>
      <c r="B4910" s="21"/>
      <c r="C4910" s="21"/>
      <c r="D4910" s="21"/>
      <c r="E4910" s="21"/>
    </row>
    <row r="4911">
      <c r="A4911" s="21"/>
      <c r="B4911" s="21"/>
      <c r="C4911" s="21"/>
      <c r="D4911" s="21"/>
      <c r="E4911" s="21"/>
    </row>
    <row r="4912">
      <c r="A4912" s="21"/>
      <c r="B4912" s="21"/>
      <c r="C4912" s="21"/>
      <c r="D4912" s="21"/>
      <c r="E4912" s="21"/>
    </row>
    <row r="4913">
      <c r="A4913" s="21"/>
      <c r="B4913" s="21"/>
      <c r="C4913" s="21"/>
      <c r="D4913" s="21"/>
      <c r="E4913" s="21"/>
    </row>
    <row r="4914">
      <c r="A4914" s="21"/>
      <c r="B4914" s="21"/>
      <c r="C4914" s="21"/>
      <c r="D4914" s="21"/>
      <c r="E4914" s="21"/>
    </row>
    <row r="4915">
      <c r="A4915" s="21"/>
      <c r="B4915" s="21"/>
      <c r="C4915" s="21"/>
      <c r="D4915" s="21"/>
      <c r="E4915" s="21"/>
    </row>
    <row r="4916">
      <c r="A4916" s="21"/>
      <c r="B4916" s="21"/>
      <c r="C4916" s="21"/>
      <c r="D4916" s="21"/>
      <c r="E4916" s="21"/>
    </row>
    <row r="4917">
      <c r="A4917" s="21"/>
      <c r="B4917" s="21"/>
      <c r="C4917" s="21"/>
      <c r="D4917" s="21"/>
      <c r="E4917" s="21"/>
    </row>
    <row r="4918">
      <c r="A4918" s="21"/>
      <c r="B4918" s="21"/>
      <c r="C4918" s="21"/>
      <c r="D4918" s="21"/>
      <c r="E4918" s="21"/>
    </row>
    <row r="4919">
      <c r="A4919" s="21"/>
      <c r="B4919" s="21"/>
      <c r="C4919" s="21"/>
      <c r="D4919" s="21"/>
      <c r="E4919" s="21"/>
    </row>
    <row r="4920">
      <c r="A4920" s="21"/>
      <c r="B4920" s="21"/>
      <c r="C4920" s="21"/>
      <c r="D4920" s="21"/>
      <c r="E4920" s="21"/>
    </row>
    <row r="4921">
      <c r="A4921" s="21"/>
      <c r="B4921" s="21"/>
      <c r="C4921" s="21"/>
      <c r="D4921" s="21"/>
      <c r="E4921" s="21"/>
    </row>
    <row r="4922">
      <c r="A4922" s="21"/>
      <c r="B4922" s="21"/>
      <c r="C4922" s="21"/>
      <c r="D4922" s="21"/>
      <c r="E4922" s="21"/>
    </row>
    <row r="4923">
      <c r="A4923" s="21"/>
      <c r="B4923" s="21"/>
      <c r="C4923" s="21"/>
      <c r="D4923" s="21"/>
      <c r="E4923" s="21"/>
    </row>
    <row r="4924">
      <c r="A4924" s="21"/>
      <c r="B4924" s="21"/>
      <c r="C4924" s="21"/>
      <c r="D4924" s="21"/>
      <c r="E4924" s="21"/>
    </row>
    <row r="4925">
      <c r="A4925" s="21"/>
      <c r="B4925" s="21"/>
      <c r="C4925" s="21"/>
      <c r="D4925" s="21"/>
      <c r="E4925" s="21"/>
    </row>
    <row r="4926">
      <c r="A4926" s="21"/>
      <c r="B4926" s="21"/>
      <c r="C4926" s="21"/>
      <c r="D4926" s="21"/>
      <c r="E4926" s="21"/>
    </row>
    <row r="4927">
      <c r="A4927" s="21"/>
      <c r="B4927" s="21"/>
      <c r="C4927" s="21"/>
      <c r="D4927" s="21"/>
      <c r="E4927" s="21"/>
    </row>
    <row r="4928">
      <c r="A4928" s="21"/>
      <c r="B4928" s="21"/>
      <c r="C4928" s="21"/>
      <c r="D4928" s="21"/>
      <c r="E4928" s="21"/>
    </row>
    <row r="4929">
      <c r="A4929" s="21"/>
      <c r="B4929" s="21"/>
      <c r="C4929" s="21"/>
      <c r="D4929" s="21"/>
      <c r="E4929" s="21"/>
    </row>
    <row r="4930">
      <c r="A4930" s="21"/>
      <c r="B4930" s="21"/>
      <c r="C4930" s="21"/>
      <c r="D4930" s="21"/>
      <c r="E4930" s="21"/>
    </row>
    <row r="4931">
      <c r="A4931" s="21"/>
      <c r="B4931" s="21"/>
      <c r="C4931" s="21"/>
      <c r="D4931" s="21"/>
      <c r="E4931" s="21"/>
    </row>
    <row r="4932">
      <c r="A4932" s="21"/>
      <c r="B4932" s="21"/>
      <c r="C4932" s="21"/>
      <c r="D4932" s="21"/>
      <c r="E4932" s="21"/>
    </row>
    <row r="4933">
      <c r="A4933" s="21"/>
      <c r="B4933" s="21"/>
      <c r="C4933" s="21"/>
      <c r="D4933" s="21"/>
      <c r="E4933" s="21"/>
    </row>
    <row r="4934">
      <c r="A4934" s="21"/>
      <c r="B4934" s="21"/>
      <c r="C4934" s="21"/>
      <c r="D4934" s="21"/>
      <c r="E4934" s="21"/>
    </row>
    <row r="4935">
      <c r="A4935" s="21"/>
      <c r="B4935" s="21"/>
      <c r="C4935" s="21"/>
      <c r="D4935" s="21"/>
      <c r="E4935" s="21"/>
    </row>
    <row r="4936">
      <c r="A4936" s="21"/>
      <c r="B4936" s="21"/>
      <c r="C4936" s="21"/>
      <c r="D4936" s="21"/>
      <c r="E4936" s="21"/>
    </row>
    <row r="4937">
      <c r="A4937" s="21"/>
      <c r="B4937" s="21"/>
      <c r="C4937" s="21"/>
      <c r="D4937" s="21"/>
      <c r="E4937" s="21"/>
    </row>
    <row r="4938">
      <c r="A4938" s="21"/>
      <c r="B4938" s="21"/>
      <c r="C4938" s="21"/>
      <c r="D4938" s="21"/>
      <c r="E4938" s="21"/>
    </row>
    <row r="4939">
      <c r="A4939" s="21"/>
      <c r="B4939" s="21"/>
      <c r="C4939" s="21"/>
      <c r="D4939" s="21"/>
      <c r="E4939" s="21"/>
    </row>
    <row r="4940">
      <c r="A4940" s="21"/>
      <c r="B4940" s="21"/>
      <c r="C4940" s="21"/>
      <c r="D4940" s="21"/>
      <c r="E4940" s="21"/>
    </row>
    <row r="4941">
      <c r="A4941" s="21"/>
      <c r="B4941" s="21"/>
      <c r="C4941" s="21"/>
      <c r="D4941" s="21"/>
      <c r="E4941" s="21"/>
    </row>
    <row r="4942">
      <c r="A4942" s="21"/>
      <c r="B4942" s="21"/>
      <c r="C4942" s="21"/>
      <c r="D4942" s="21"/>
      <c r="E4942" s="21"/>
    </row>
    <row r="4943">
      <c r="A4943" s="21"/>
      <c r="B4943" s="21"/>
      <c r="C4943" s="21"/>
      <c r="D4943" s="21"/>
      <c r="E4943" s="21"/>
    </row>
    <row r="4944">
      <c r="A4944" s="21"/>
      <c r="B4944" s="21"/>
      <c r="C4944" s="21"/>
      <c r="D4944" s="21"/>
      <c r="E4944" s="21"/>
    </row>
    <row r="4945">
      <c r="A4945" s="21"/>
      <c r="B4945" s="21"/>
      <c r="C4945" s="21"/>
      <c r="D4945" s="21"/>
      <c r="E4945" s="21"/>
    </row>
    <row r="4946">
      <c r="A4946" s="21"/>
      <c r="B4946" s="21"/>
      <c r="C4946" s="21"/>
      <c r="D4946" s="21"/>
      <c r="E4946" s="21"/>
    </row>
    <row r="4947">
      <c r="A4947" s="21"/>
      <c r="B4947" s="21"/>
      <c r="C4947" s="21"/>
      <c r="D4947" s="21"/>
      <c r="E4947" s="21"/>
    </row>
    <row r="4948">
      <c r="A4948" s="21"/>
      <c r="B4948" s="21"/>
      <c r="C4948" s="21"/>
      <c r="D4948" s="21"/>
      <c r="E4948" s="21"/>
    </row>
    <row r="4949">
      <c r="A4949" s="21"/>
      <c r="B4949" s="21"/>
      <c r="C4949" s="21"/>
      <c r="D4949" s="21"/>
      <c r="E4949" s="21"/>
    </row>
    <row r="4950">
      <c r="A4950" s="21"/>
      <c r="B4950" s="21"/>
      <c r="C4950" s="21"/>
      <c r="D4950" s="21"/>
      <c r="E4950" s="21"/>
    </row>
    <row r="4951">
      <c r="A4951" s="21"/>
      <c r="B4951" s="21"/>
      <c r="C4951" s="21"/>
      <c r="D4951" s="21"/>
      <c r="E4951" s="21"/>
    </row>
    <row r="4952">
      <c r="A4952" s="21"/>
      <c r="B4952" s="21"/>
      <c r="C4952" s="21"/>
      <c r="D4952" s="21"/>
      <c r="E4952" s="21"/>
    </row>
    <row r="4953">
      <c r="A4953" s="21"/>
      <c r="B4953" s="21"/>
      <c r="C4953" s="21"/>
      <c r="D4953" s="21"/>
      <c r="E4953" s="21"/>
    </row>
    <row r="4954">
      <c r="A4954" s="21"/>
      <c r="B4954" s="21"/>
      <c r="C4954" s="21"/>
      <c r="D4954" s="21"/>
      <c r="E4954" s="21"/>
    </row>
    <row r="4955">
      <c r="A4955" s="21"/>
      <c r="B4955" s="21"/>
      <c r="C4955" s="21"/>
      <c r="D4955" s="21"/>
      <c r="E4955" s="21"/>
    </row>
    <row r="4956">
      <c r="A4956" s="21"/>
      <c r="B4956" s="21"/>
      <c r="C4956" s="21"/>
      <c r="D4956" s="21"/>
      <c r="E4956" s="21"/>
    </row>
    <row r="4957">
      <c r="A4957" s="21"/>
      <c r="B4957" s="21"/>
      <c r="C4957" s="21"/>
      <c r="D4957" s="21"/>
      <c r="E4957" s="21"/>
    </row>
    <row r="4958">
      <c r="A4958" s="21"/>
      <c r="B4958" s="21"/>
      <c r="C4958" s="21"/>
      <c r="D4958" s="21"/>
      <c r="E4958" s="21"/>
    </row>
    <row r="4959">
      <c r="A4959" s="21"/>
      <c r="B4959" s="21"/>
      <c r="C4959" s="21"/>
      <c r="D4959" s="21"/>
      <c r="E4959" s="21"/>
    </row>
    <row r="4960">
      <c r="A4960" s="21"/>
      <c r="B4960" s="21"/>
      <c r="C4960" s="21"/>
      <c r="D4960" s="21"/>
      <c r="E4960" s="21"/>
    </row>
    <row r="4961">
      <c r="A4961" s="21"/>
      <c r="B4961" s="21"/>
      <c r="C4961" s="21"/>
      <c r="D4961" s="21"/>
      <c r="E4961" s="21"/>
    </row>
    <row r="4962">
      <c r="A4962" s="21"/>
      <c r="B4962" s="21"/>
      <c r="C4962" s="21"/>
      <c r="D4962" s="21"/>
      <c r="E4962" s="21"/>
    </row>
    <row r="4963">
      <c r="A4963" s="21"/>
      <c r="B4963" s="21"/>
      <c r="C4963" s="21"/>
      <c r="D4963" s="21"/>
      <c r="E4963" s="21"/>
    </row>
    <row r="4964">
      <c r="A4964" s="21"/>
      <c r="B4964" s="21"/>
      <c r="C4964" s="21"/>
      <c r="D4964" s="21"/>
      <c r="E4964" s="21"/>
    </row>
    <row r="4965">
      <c r="A4965" s="21"/>
      <c r="B4965" s="21"/>
      <c r="C4965" s="21"/>
      <c r="D4965" s="21"/>
      <c r="E4965" s="21"/>
    </row>
    <row r="4966">
      <c r="B4966" s="15"/>
    </row>
    <row r="4967">
      <c r="B4967" s="15"/>
    </row>
    <row r="4968">
      <c r="B4968" s="15"/>
    </row>
    <row r="4969">
      <c r="B4969" s="15"/>
    </row>
    <row r="4970">
      <c r="B4970" s="15"/>
    </row>
    <row r="4971">
      <c r="B4971" s="15"/>
    </row>
    <row r="4972">
      <c r="B4972" s="15"/>
    </row>
    <row r="4973">
      <c r="B4973" s="15"/>
    </row>
    <row r="4974">
      <c r="B4974" s="15"/>
    </row>
    <row r="4975">
      <c r="B4975" s="15"/>
    </row>
    <row r="4976">
      <c r="B4976" s="15"/>
    </row>
    <row r="4977">
      <c r="B4977" s="15"/>
    </row>
    <row r="4978">
      <c r="B4978" s="15"/>
    </row>
    <row r="4979">
      <c r="B4979" s="15"/>
    </row>
    <row r="4980">
      <c r="B4980" s="15"/>
    </row>
    <row r="4981">
      <c r="B4981" s="15"/>
    </row>
    <row r="4982">
      <c r="B4982" s="15"/>
    </row>
    <row r="4983">
      <c r="B4983" s="15"/>
    </row>
    <row r="4984">
      <c r="B4984" s="15"/>
    </row>
    <row r="4985">
      <c r="B4985" s="15"/>
    </row>
    <row r="4986">
      <c r="B4986" s="15"/>
    </row>
    <row r="4987">
      <c r="B4987" s="15"/>
    </row>
    <row r="4988">
      <c r="B4988" s="15"/>
    </row>
    <row r="4989">
      <c r="B4989" s="15"/>
    </row>
    <row r="4990">
      <c r="B4990" s="15"/>
    </row>
    <row r="4991">
      <c r="B4991" s="15"/>
    </row>
    <row r="4992">
      <c r="B4992" s="15"/>
    </row>
    <row r="4993">
      <c r="B4993" s="15"/>
    </row>
    <row r="4994">
      <c r="B4994" s="15"/>
    </row>
    <row r="4995">
      <c r="B4995" s="15"/>
    </row>
    <row r="4996">
      <c r="B4996" s="15"/>
    </row>
    <row r="4997">
      <c r="B4997" s="15"/>
    </row>
    <row r="4998">
      <c r="B4998" s="15"/>
    </row>
    <row r="4999">
      <c r="B4999" s="15"/>
    </row>
    <row r="5000">
      <c r="B5000" s="15"/>
    </row>
    <row r="5001">
      <c r="B5001" s="15"/>
    </row>
    <row r="5002">
      <c r="B5002" s="15"/>
    </row>
    <row r="5003">
      <c r="B5003" s="15"/>
    </row>
    <row r="5004">
      <c r="B5004" s="15"/>
    </row>
    <row r="5005">
      <c r="B5005" s="15"/>
    </row>
    <row r="5006">
      <c r="B5006" s="15"/>
    </row>
    <row r="5007">
      <c r="B5007" s="15"/>
    </row>
    <row r="5008">
      <c r="B5008" s="15"/>
    </row>
    <row r="5009">
      <c r="B5009" s="15"/>
    </row>
    <row r="5010">
      <c r="B5010" s="15"/>
    </row>
    <row r="5011">
      <c r="B5011" s="15"/>
    </row>
    <row r="5012">
      <c r="B5012" s="15"/>
    </row>
    <row r="5013">
      <c r="B5013" s="15"/>
    </row>
    <row r="5014">
      <c r="B5014" s="15"/>
    </row>
    <row r="5015">
      <c r="B5015" s="15"/>
    </row>
    <row r="5016">
      <c r="B5016" s="15"/>
    </row>
    <row r="5017">
      <c r="B5017" s="15"/>
    </row>
    <row r="5018">
      <c r="B5018" s="15"/>
    </row>
    <row r="5019">
      <c r="B5019" s="15"/>
    </row>
    <row r="5020">
      <c r="B5020" s="15"/>
    </row>
    <row r="5021">
      <c r="B5021" s="15"/>
    </row>
    <row r="5022">
      <c r="B5022" s="15"/>
    </row>
    <row r="5023">
      <c r="B5023" s="15"/>
    </row>
    <row r="5024">
      <c r="B5024" s="15"/>
    </row>
    <row r="5025">
      <c r="B5025" s="15"/>
    </row>
    <row r="5026">
      <c r="B5026" s="15"/>
    </row>
    <row r="5027">
      <c r="B5027" s="15"/>
    </row>
    <row r="5028">
      <c r="B5028" s="15"/>
    </row>
    <row r="5029">
      <c r="B5029" s="15"/>
    </row>
    <row r="5030">
      <c r="B5030" s="15"/>
    </row>
    <row r="5031">
      <c r="B5031" s="15"/>
    </row>
    <row r="5032">
      <c r="B5032" s="15"/>
    </row>
    <row r="5033">
      <c r="B5033" s="15"/>
    </row>
    <row r="5034">
      <c r="B5034" s="15"/>
    </row>
    <row r="5035">
      <c r="B5035" s="15"/>
    </row>
    <row r="5036">
      <c r="B5036" s="15"/>
    </row>
    <row r="5037">
      <c r="B5037" s="15"/>
    </row>
    <row r="5038">
      <c r="B5038" s="15"/>
    </row>
    <row r="5039">
      <c r="B5039" s="15"/>
    </row>
    <row r="5040">
      <c r="B5040" s="15"/>
    </row>
    <row r="5041">
      <c r="B5041" s="15"/>
    </row>
    <row r="5042">
      <c r="B5042" s="15"/>
    </row>
    <row r="5043">
      <c r="B5043" s="15"/>
    </row>
    <row r="5044">
      <c r="B5044" s="15"/>
    </row>
    <row r="5045">
      <c r="B5045" s="15"/>
    </row>
    <row r="5046">
      <c r="B5046" s="15"/>
    </row>
    <row r="5047">
      <c r="B5047" s="15"/>
    </row>
    <row r="5048">
      <c r="B5048" s="15"/>
    </row>
    <row r="5049">
      <c r="B5049" s="15"/>
    </row>
    <row r="5050">
      <c r="B5050" s="15"/>
    </row>
    <row r="5051">
      <c r="B5051" s="15"/>
    </row>
    <row r="5052">
      <c r="B5052" s="15"/>
    </row>
    <row r="5053">
      <c r="B5053" s="15"/>
    </row>
    <row r="5054">
      <c r="B5054" s="15"/>
    </row>
    <row r="5055">
      <c r="B5055" s="15"/>
    </row>
    <row r="5056">
      <c r="B5056" s="15"/>
    </row>
    <row r="5057">
      <c r="B5057" s="15"/>
    </row>
    <row r="5058">
      <c r="B5058" s="15"/>
    </row>
    <row r="5059">
      <c r="B5059" s="15"/>
    </row>
    <row r="5060">
      <c r="B5060" s="15"/>
    </row>
    <row r="5061">
      <c r="B5061" s="15"/>
    </row>
    <row r="5062">
      <c r="B5062" s="15"/>
    </row>
    <row r="5063">
      <c r="B5063" s="15"/>
    </row>
    <row r="5064">
      <c r="B5064" s="15"/>
    </row>
    <row r="5065">
      <c r="B5065" s="15"/>
    </row>
    <row r="5066">
      <c r="B5066" s="15"/>
    </row>
    <row r="5067">
      <c r="B5067" s="15"/>
    </row>
    <row r="5068">
      <c r="B5068" s="15"/>
    </row>
    <row r="5069">
      <c r="B5069" s="15"/>
    </row>
    <row r="5070">
      <c r="B5070" s="15"/>
    </row>
    <row r="5071">
      <c r="B5071" s="15"/>
    </row>
    <row r="5072">
      <c r="B5072" s="15"/>
    </row>
    <row r="5073">
      <c r="B5073" s="15"/>
    </row>
    <row r="5074">
      <c r="B5074" s="15"/>
    </row>
    <row r="5075">
      <c r="B5075" s="15"/>
    </row>
    <row r="5076">
      <c r="B5076" s="15"/>
    </row>
    <row r="5077">
      <c r="B5077" s="15"/>
    </row>
    <row r="5078">
      <c r="B5078" s="15"/>
    </row>
    <row r="5079">
      <c r="B5079" s="15"/>
    </row>
    <row r="5080">
      <c r="B5080" s="15"/>
    </row>
    <row r="5081">
      <c r="B5081" s="15"/>
    </row>
    <row r="5082">
      <c r="B5082" s="15"/>
    </row>
    <row r="5083">
      <c r="B5083" s="15"/>
    </row>
    <row r="5084">
      <c r="B5084" s="15"/>
    </row>
    <row r="5085">
      <c r="B5085" s="15"/>
    </row>
    <row r="5086">
      <c r="B5086" s="15"/>
    </row>
    <row r="5087">
      <c r="B5087" s="15"/>
    </row>
    <row r="5088">
      <c r="B5088" s="15"/>
    </row>
    <row r="5089">
      <c r="B5089" s="15"/>
    </row>
    <row r="5090">
      <c r="B5090" s="15"/>
    </row>
    <row r="5091">
      <c r="B5091" s="15"/>
    </row>
    <row r="5092">
      <c r="B5092" s="15"/>
    </row>
    <row r="5093">
      <c r="B5093" s="15"/>
    </row>
    <row r="5094">
      <c r="B5094" s="15"/>
    </row>
    <row r="5095">
      <c r="B5095" s="15"/>
    </row>
    <row r="5096">
      <c r="B5096" s="15"/>
    </row>
    <row r="5097">
      <c r="B5097" s="15"/>
    </row>
    <row r="5098">
      <c r="B5098" s="15"/>
    </row>
    <row r="5099">
      <c r="B5099" s="15"/>
    </row>
    <row r="5100">
      <c r="B5100" s="15"/>
    </row>
    <row r="5101">
      <c r="B5101" s="15"/>
    </row>
    <row r="5102">
      <c r="B5102" s="15"/>
    </row>
    <row r="5103">
      <c r="B5103" s="15"/>
    </row>
    <row r="5104">
      <c r="B5104" s="15"/>
    </row>
    <row r="5105">
      <c r="B5105" s="15"/>
    </row>
    <row r="5106">
      <c r="B5106" s="15"/>
    </row>
    <row r="5107">
      <c r="B5107" s="15"/>
    </row>
    <row r="5108">
      <c r="B5108" s="15"/>
    </row>
    <row r="5109">
      <c r="B5109" s="15"/>
    </row>
    <row r="5110">
      <c r="B5110" s="15"/>
    </row>
    <row r="5111">
      <c r="B5111" s="15"/>
    </row>
    <row r="5112">
      <c r="B5112" s="15"/>
    </row>
    <row r="5113">
      <c r="B5113" s="15"/>
    </row>
    <row r="5114">
      <c r="B5114" s="15"/>
    </row>
    <row r="5115">
      <c r="B5115" s="15"/>
    </row>
    <row r="5116">
      <c r="B5116" s="15"/>
    </row>
    <row r="5117">
      <c r="B5117" s="15"/>
    </row>
    <row r="5118">
      <c r="B5118" s="15"/>
    </row>
    <row r="5119">
      <c r="B5119" s="15"/>
    </row>
    <row r="5120">
      <c r="B5120" s="15"/>
    </row>
    <row r="5121">
      <c r="B5121" s="15"/>
    </row>
    <row r="5122">
      <c r="B5122" s="15"/>
    </row>
    <row r="5123">
      <c r="B5123" s="15"/>
    </row>
    <row r="5124">
      <c r="B5124" s="15"/>
    </row>
    <row r="5125">
      <c r="B5125" s="15"/>
    </row>
    <row r="5126">
      <c r="B5126" s="15"/>
    </row>
    <row r="5127">
      <c r="B5127" s="15"/>
    </row>
    <row r="5128">
      <c r="B5128" s="15"/>
    </row>
    <row r="5129">
      <c r="B5129" s="15"/>
    </row>
    <row r="5130">
      <c r="B5130" s="15"/>
    </row>
    <row r="5131">
      <c r="B5131" s="15"/>
    </row>
    <row r="5132">
      <c r="B5132" s="15"/>
    </row>
    <row r="5133">
      <c r="B5133" s="15"/>
    </row>
    <row r="5134">
      <c r="B5134" s="15"/>
    </row>
    <row r="5135">
      <c r="B5135" s="15"/>
    </row>
    <row r="5136">
      <c r="B5136" s="15"/>
    </row>
    <row r="5137">
      <c r="B5137" s="15"/>
    </row>
    <row r="5138">
      <c r="B5138" s="15"/>
    </row>
    <row r="5139">
      <c r="B5139" s="15"/>
    </row>
    <row r="5140">
      <c r="B5140" s="15"/>
    </row>
    <row r="5141">
      <c r="B5141" s="15"/>
    </row>
    <row r="5142">
      <c r="B5142" s="15"/>
    </row>
    <row r="5143">
      <c r="B5143" s="15"/>
    </row>
    <row r="5144">
      <c r="B5144" s="15"/>
    </row>
    <row r="5145">
      <c r="B5145" s="15"/>
    </row>
    <row r="5146">
      <c r="B5146" s="15"/>
    </row>
    <row r="5147">
      <c r="B5147" s="15"/>
    </row>
    <row r="5148">
      <c r="B5148" s="15"/>
    </row>
    <row r="5149">
      <c r="B5149" s="15"/>
    </row>
    <row r="5150">
      <c r="B5150" s="15"/>
    </row>
    <row r="5151">
      <c r="B5151" s="15"/>
    </row>
    <row r="5152">
      <c r="B5152" s="15"/>
    </row>
    <row r="5153">
      <c r="B5153" s="15"/>
    </row>
    <row r="5154">
      <c r="B5154" s="15"/>
    </row>
    <row r="5155">
      <c r="B5155" s="15"/>
    </row>
    <row r="5156">
      <c r="B5156" s="15"/>
    </row>
    <row r="5157">
      <c r="B5157" s="15"/>
    </row>
    <row r="5158">
      <c r="B5158" s="15"/>
    </row>
    <row r="5159">
      <c r="B5159" s="15"/>
    </row>
    <row r="5160">
      <c r="B5160" s="15"/>
    </row>
    <row r="5161">
      <c r="B5161" s="15"/>
    </row>
    <row r="5162">
      <c r="B5162" s="15"/>
    </row>
    <row r="5163">
      <c r="B5163" s="15"/>
    </row>
    <row r="5164">
      <c r="B5164" s="15"/>
    </row>
    <row r="5165">
      <c r="B5165" s="15"/>
    </row>
    <row r="5166">
      <c r="B5166" s="15"/>
    </row>
    <row r="5167">
      <c r="B5167" s="15"/>
    </row>
    <row r="5168">
      <c r="B5168" s="15"/>
    </row>
    <row r="5169">
      <c r="B5169" s="15"/>
    </row>
    <row r="5170">
      <c r="B5170" s="15"/>
    </row>
    <row r="5171">
      <c r="B5171" s="15"/>
    </row>
    <row r="5172">
      <c r="B5172" s="15"/>
    </row>
    <row r="5173">
      <c r="B5173" s="15"/>
    </row>
    <row r="5174">
      <c r="B5174" s="15"/>
    </row>
    <row r="5175">
      <c r="B5175" s="15"/>
    </row>
    <row r="5176">
      <c r="B5176" s="15"/>
    </row>
    <row r="5177">
      <c r="B5177" s="15"/>
    </row>
    <row r="5178">
      <c r="B5178" s="15"/>
    </row>
    <row r="5179">
      <c r="B5179" s="15"/>
    </row>
    <row r="5180">
      <c r="B5180" s="15"/>
    </row>
    <row r="5181">
      <c r="B5181" s="15"/>
    </row>
    <row r="5182">
      <c r="B5182" s="15"/>
    </row>
    <row r="5183">
      <c r="B5183" s="15"/>
    </row>
    <row r="5184">
      <c r="B5184" s="15"/>
    </row>
    <row r="5185">
      <c r="B5185" s="15"/>
    </row>
    <row r="5186">
      <c r="B5186" s="15"/>
    </row>
    <row r="5187">
      <c r="B5187" s="15"/>
    </row>
    <row r="5188">
      <c r="B5188" s="15"/>
    </row>
    <row r="5189">
      <c r="B5189" s="15"/>
    </row>
    <row r="5190">
      <c r="B5190" s="15"/>
    </row>
    <row r="5191">
      <c r="B5191" s="15"/>
    </row>
    <row r="5192">
      <c r="B5192" s="15"/>
    </row>
    <row r="5193">
      <c r="B5193" s="15"/>
    </row>
    <row r="5194">
      <c r="B5194" s="15"/>
    </row>
    <row r="5195">
      <c r="B5195" s="15"/>
    </row>
    <row r="5196">
      <c r="B5196" s="15"/>
    </row>
    <row r="5197">
      <c r="B5197" s="15"/>
    </row>
    <row r="5198">
      <c r="B5198" s="15"/>
    </row>
    <row r="5199">
      <c r="B5199" s="15"/>
    </row>
    <row r="5200">
      <c r="B5200" s="15"/>
    </row>
    <row r="5201">
      <c r="B5201" s="15"/>
    </row>
    <row r="5202">
      <c r="B5202" s="15"/>
    </row>
    <row r="5203">
      <c r="B5203" s="15"/>
    </row>
    <row r="5204">
      <c r="B5204" s="15"/>
    </row>
    <row r="5205">
      <c r="B5205" s="15"/>
    </row>
    <row r="5206">
      <c r="B5206" s="15"/>
    </row>
    <row r="5207">
      <c r="B5207" s="15"/>
    </row>
    <row r="5208">
      <c r="B5208" s="15"/>
    </row>
    <row r="5209">
      <c r="B5209" s="15"/>
    </row>
    <row r="5210">
      <c r="B5210" s="15"/>
    </row>
    <row r="5211">
      <c r="B5211" s="15"/>
    </row>
    <row r="5212">
      <c r="B5212" s="15"/>
    </row>
    <row r="5213">
      <c r="B5213" s="15"/>
    </row>
    <row r="5214">
      <c r="B5214" s="15"/>
    </row>
    <row r="5215">
      <c r="B5215" s="15"/>
    </row>
    <row r="5216">
      <c r="B5216" s="15"/>
    </row>
    <row r="5217">
      <c r="B5217" s="15"/>
    </row>
    <row r="5218">
      <c r="B5218" s="15"/>
    </row>
    <row r="5219">
      <c r="B5219" s="15"/>
    </row>
    <row r="5220">
      <c r="B5220" s="15"/>
    </row>
    <row r="5221">
      <c r="B5221" s="15"/>
    </row>
    <row r="5222">
      <c r="B5222" s="15"/>
    </row>
    <row r="5223">
      <c r="B5223" s="15"/>
    </row>
    <row r="5224">
      <c r="B5224" s="15"/>
    </row>
    <row r="5225">
      <c r="B5225" s="15"/>
    </row>
    <row r="5226">
      <c r="B5226" s="15"/>
    </row>
    <row r="5227">
      <c r="B5227" s="15"/>
    </row>
    <row r="5228">
      <c r="B5228" s="15"/>
    </row>
    <row r="5229">
      <c r="B5229" s="15"/>
    </row>
    <row r="5230">
      <c r="B5230" s="15"/>
    </row>
    <row r="5231">
      <c r="B5231" s="15"/>
    </row>
    <row r="5232">
      <c r="B5232" s="15"/>
    </row>
    <row r="5233">
      <c r="B5233" s="15"/>
    </row>
    <row r="5234">
      <c r="B5234" s="15"/>
    </row>
    <row r="5235">
      <c r="B5235" s="15"/>
    </row>
    <row r="5236">
      <c r="B5236" s="15"/>
    </row>
    <row r="5237">
      <c r="B5237" s="15"/>
    </row>
    <row r="5238">
      <c r="B5238" s="15"/>
    </row>
    <row r="5239">
      <c r="B5239" s="15"/>
    </row>
    <row r="5240">
      <c r="B5240" s="15"/>
    </row>
    <row r="5241">
      <c r="B5241" s="15"/>
    </row>
    <row r="5242">
      <c r="B5242" s="15"/>
    </row>
    <row r="5243">
      <c r="B5243" s="15"/>
    </row>
    <row r="5244">
      <c r="B5244" s="15"/>
    </row>
    <row r="5245">
      <c r="B5245" s="15"/>
    </row>
    <row r="5246">
      <c r="B5246" s="15"/>
    </row>
    <row r="5247">
      <c r="B5247" s="15"/>
    </row>
    <row r="5248">
      <c r="B5248" s="15"/>
    </row>
    <row r="5249">
      <c r="B5249" s="15"/>
    </row>
    <row r="5250">
      <c r="B5250" s="15"/>
    </row>
    <row r="5251">
      <c r="B5251" s="15"/>
    </row>
    <row r="5252">
      <c r="B5252" s="15"/>
    </row>
    <row r="5253">
      <c r="B5253" s="15"/>
    </row>
    <row r="5254">
      <c r="B5254" s="15"/>
    </row>
    <row r="5255">
      <c r="B5255" s="15"/>
    </row>
    <row r="5256">
      <c r="B5256" s="15"/>
    </row>
    <row r="5257">
      <c r="B5257" s="15"/>
    </row>
    <row r="5258">
      <c r="B5258" s="15"/>
    </row>
    <row r="5259">
      <c r="B5259" s="15"/>
    </row>
    <row r="5260">
      <c r="B5260" s="15"/>
    </row>
    <row r="5261">
      <c r="B5261" s="15"/>
    </row>
    <row r="5262">
      <c r="B5262" s="15"/>
    </row>
    <row r="5263">
      <c r="B5263" s="15"/>
    </row>
    <row r="5264">
      <c r="B5264" s="15"/>
    </row>
    <row r="5265">
      <c r="B5265" s="15"/>
    </row>
    <row r="5266">
      <c r="B5266" s="15"/>
    </row>
    <row r="5267">
      <c r="B5267" s="15"/>
    </row>
    <row r="5268">
      <c r="B5268" s="15"/>
    </row>
    <row r="5269">
      <c r="B5269" s="15"/>
    </row>
    <row r="5270">
      <c r="B5270" s="15"/>
    </row>
    <row r="5271">
      <c r="B5271" s="15"/>
    </row>
    <row r="5272">
      <c r="B5272" s="15"/>
    </row>
    <row r="5273">
      <c r="B5273" s="15"/>
    </row>
    <row r="5274">
      <c r="B5274" s="15"/>
    </row>
    <row r="5275">
      <c r="B5275" s="15"/>
    </row>
    <row r="5276">
      <c r="B5276" s="15"/>
    </row>
    <row r="5277">
      <c r="B5277" s="15"/>
    </row>
    <row r="5278">
      <c r="B5278" s="15"/>
    </row>
    <row r="5279">
      <c r="B5279" s="15"/>
    </row>
    <row r="5280">
      <c r="B5280" s="15"/>
    </row>
    <row r="5281">
      <c r="B5281" s="15"/>
    </row>
    <row r="5282">
      <c r="B5282" s="15"/>
    </row>
    <row r="5283">
      <c r="B5283" s="15"/>
    </row>
    <row r="5284">
      <c r="B5284" s="15"/>
    </row>
    <row r="5285">
      <c r="B5285" s="15"/>
    </row>
    <row r="5286">
      <c r="B5286" s="15"/>
    </row>
    <row r="5287">
      <c r="B5287" s="15"/>
    </row>
    <row r="5288">
      <c r="B5288" s="15"/>
    </row>
    <row r="5289">
      <c r="B5289" s="15"/>
    </row>
    <row r="5290">
      <c r="B5290" s="15"/>
    </row>
    <row r="5291">
      <c r="B5291" s="15"/>
    </row>
    <row r="5292">
      <c r="B5292" s="15"/>
    </row>
    <row r="5293">
      <c r="B5293" s="15"/>
    </row>
    <row r="5294">
      <c r="B5294" s="15"/>
    </row>
    <row r="5295">
      <c r="B5295" s="15"/>
    </row>
    <row r="5296">
      <c r="B5296" s="15"/>
    </row>
    <row r="5297">
      <c r="B5297" s="15"/>
    </row>
    <row r="5298">
      <c r="B5298" s="15"/>
    </row>
    <row r="5299">
      <c r="B5299" s="15"/>
    </row>
    <row r="5300">
      <c r="B5300" s="15"/>
    </row>
    <row r="5301">
      <c r="B5301" s="15"/>
    </row>
    <row r="5302">
      <c r="B5302" s="15"/>
    </row>
    <row r="5303">
      <c r="B5303" s="15"/>
    </row>
    <row r="5304">
      <c r="B5304" s="15"/>
    </row>
    <row r="5305">
      <c r="B5305" s="15"/>
    </row>
    <row r="5306">
      <c r="B5306" s="15"/>
    </row>
    <row r="5307">
      <c r="B5307" s="15"/>
    </row>
    <row r="5308">
      <c r="B5308" s="15"/>
    </row>
    <row r="5309">
      <c r="B5309" s="15"/>
    </row>
    <row r="5310">
      <c r="B5310" s="15"/>
    </row>
    <row r="5311">
      <c r="B5311" s="15"/>
    </row>
    <row r="5312">
      <c r="B5312" s="15"/>
    </row>
    <row r="5313">
      <c r="B5313" s="15"/>
    </row>
    <row r="5314">
      <c r="B5314" s="15"/>
    </row>
    <row r="5315">
      <c r="B5315" s="15"/>
    </row>
    <row r="5316">
      <c r="B5316" s="15"/>
    </row>
    <row r="5317">
      <c r="B5317" s="15"/>
    </row>
    <row r="5318">
      <c r="B5318" s="15"/>
    </row>
    <row r="5319">
      <c r="B5319" s="15"/>
    </row>
    <row r="5320">
      <c r="B5320" s="15"/>
    </row>
    <row r="5321">
      <c r="B5321" s="15"/>
    </row>
    <row r="5322">
      <c r="B5322" s="15"/>
    </row>
    <row r="5323">
      <c r="B5323" s="15"/>
    </row>
    <row r="5324">
      <c r="B5324" s="15"/>
    </row>
    <row r="5325">
      <c r="B5325" s="15"/>
    </row>
    <row r="5326">
      <c r="B5326" s="15"/>
    </row>
    <row r="5327">
      <c r="B5327" s="15"/>
    </row>
    <row r="5328">
      <c r="B5328" s="15"/>
    </row>
    <row r="5329">
      <c r="B5329" s="15"/>
    </row>
    <row r="5330">
      <c r="B5330" s="15"/>
    </row>
    <row r="5331">
      <c r="B5331" s="15"/>
    </row>
    <row r="5332">
      <c r="B5332" s="15"/>
    </row>
    <row r="5333">
      <c r="B5333" s="15"/>
    </row>
    <row r="5334">
      <c r="B5334" s="15"/>
    </row>
    <row r="5335">
      <c r="B5335" s="15"/>
    </row>
    <row r="5336">
      <c r="B5336" s="15"/>
    </row>
    <row r="5337">
      <c r="B5337" s="15"/>
    </row>
    <row r="5338">
      <c r="B5338" s="15"/>
    </row>
    <row r="5339">
      <c r="B5339" s="15"/>
    </row>
    <row r="5340">
      <c r="B5340" s="15"/>
    </row>
    <row r="5341">
      <c r="B5341" s="15"/>
    </row>
    <row r="5342">
      <c r="B5342" s="15"/>
    </row>
    <row r="5343">
      <c r="B5343" s="15"/>
    </row>
    <row r="5344">
      <c r="B5344" s="15"/>
    </row>
    <row r="5345">
      <c r="B5345" s="15"/>
    </row>
    <row r="5346">
      <c r="B5346" s="15"/>
    </row>
    <row r="5347">
      <c r="B5347" s="15"/>
    </row>
    <row r="5348">
      <c r="B5348" s="15"/>
    </row>
    <row r="5349">
      <c r="B5349" s="15"/>
    </row>
    <row r="5350">
      <c r="B5350" s="15"/>
    </row>
    <row r="5351">
      <c r="B5351" s="15"/>
    </row>
    <row r="5352">
      <c r="B5352" s="15"/>
    </row>
    <row r="5353">
      <c r="B5353" s="15"/>
    </row>
    <row r="5354">
      <c r="B5354" s="15"/>
    </row>
    <row r="5355">
      <c r="B5355" s="15"/>
    </row>
    <row r="5356">
      <c r="B5356" s="15"/>
    </row>
    <row r="5357">
      <c r="B5357" s="15"/>
    </row>
    <row r="5358">
      <c r="B5358" s="15"/>
    </row>
    <row r="5359">
      <c r="B5359" s="15"/>
    </row>
    <row r="5360">
      <c r="B5360" s="15"/>
    </row>
    <row r="5361">
      <c r="B5361" s="15"/>
    </row>
    <row r="5362">
      <c r="B5362" s="15"/>
    </row>
    <row r="5363">
      <c r="B5363" s="15"/>
    </row>
    <row r="5364">
      <c r="B5364" s="15"/>
    </row>
    <row r="5365">
      <c r="B5365" s="15"/>
    </row>
    <row r="5366">
      <c r="B5366" s="15"/>
    </row>
    <row r="5367">
      <c r="B5367" s="15"/>
    </row>
    <row r="5368">
      <c r="B5368" s="15"/>
    </row>
    <row r="5369">
      <c r="B5369" s="15"/>
    </row>
    <row r="5370">
      <c r="B5370" s="15"/>
    </row>
    <row r="5371">
      <c r="B5371" s="15"/>
    </row>
    <row r="5372">
      <c r="B5372" s="15"/>
    </row>
    <row r="5373">
      <c r="B5373" s="15"/>
    </row>
    <row r="5374">
      <c r="B5374" s="15"/>
    </row>
    <row r="5375">
      <c r="B5375" s="15"/>
    </row>
    <row r="5376">
      <c r="B5376" s="15"/>
    </row>
    <row r="5377">
      <c r="B5377" s="15"/>
    </row>
    <row r="5378">
      <c r="B5378" s="15"/>
      <c r="C5378" s="22"/>
    </row>
    <row r="5379">
      <c r="B5379" s="15"/>
    </row>
    <row r="5380">
      <c r="B5380" s="15"/>
    </row>
    <row r="5381">
      <c r="B5381" s="15"/>
    </row>
    <row r="5382">
      <c r="B5382" s="15"/>
    </row>
    <row r="5383">
      <c r="B5383" s="15"/>
    </row>
    <row r="5384">
      <c r="B5384" s="15"/>
    </row>
    <row r="5385">
      <c r="B5385" s="15"/>
    </row>
    <row r="5386">
      <c r="B5386" s="15"/>
    </row>
    <row r="5387">
      <c r="B5387" s="15"/>
    </row>
    <row r="5388">
      <c r="B5388" s="15"/>
    </row>
    <row r="5389">
      <c r="B5389" s="15"/>
    </row>
    <row r="5390">
      <c r="B5390" s="15"/>
    </row>
    <row r="5391">
      <c r="B5391" s="15"/>
    </row>
    <row r="5392">
      <c r="B5392" s="15"/>
    </row>
    <row r="5393">
      <c r="B5393" s="15"/>
    </row>
    <row r="5394">
      <c r="B5394" s="15"/>
    </row>
    <row r="5395">
      <c r="B5395" s="15"/>
    </row>
    <row r="5396">
      <c r="B5396" s="15"/>
    </row>
    <row r="5397">
      <c r="B5397" s="15"/>
    </row>
    <row r="5398">
      <c r="B5398" s="15"/>
    </row>
    <row r="5399">
      <c r="B5399" s="15"/>
    </row>
    <row r="5400">
      <c r="B5400" s="15"/>
    </row>
    <row r="5401">
      <c r="B5401" s="15"/>
    </row>
    <row r="5402">
      <c r="B5402" s="15"/>
    </row>
    <row r="5403">
      <c r="B5403" s="15"/>
    </row>
    <row r="5404">
      <c r="B5404" s="15"/>
    </row>
    <row r="5405">
      <c r="B5405" s="15"/>
    </row>
    <row r="5406">
      <c r="B5406" s="15"/>
    </row>
    <row r="5407">
      <c r="B5407" s="15"/>
    </row>
    <row r="5408">
      <c r="B5408" s="15"/>
    </row>
    <row r="5409">
      <c r="B5409" s="15"/>
    </row>
    <row r="5410">
      <c r="B5410" s="15"/>
    </row>
    <row r="5411">
      <c r="B5411" s="15"/>
    </row>
    <row r="5412">
      <c r="B5412" s="15"/>
    </row>
    <row r="5413">
      <c r="B5413" s="15"/>
    </row>
    <row r="5414">
      <c r="B5414" s="15"/>
    </row>
    <row r="5415">
      <c r="B5415" s="15"/>
    </row>
    <row r="5416">
      <c r="B5416" s="15"/>
    </row>
    <row r="5417">
      <c r="B5417" s="15"/>
    </row>
    <row r="5418">
      <c r="B5418" s="15"/>
    </row>
    <row r="5419">
      <c r="B5419" s="15"/>
    </row>
    <row r="5420">
      <c r="B5420" s="15"/>
    </row>
    <row r="5421">
      <c r="B5421" s="15"/>
    </row>
    <row r="5422">
      <c r="B5422" s="15"/>
    </row>
    <row r="5423">
      <c r="B5423" s="15"/>
    </row>
    <row r="5424">
      <c r="B5424" s="15"/>
    </row>
    <row r="5425">
      <c r="B5425" s="15"/>
    </row>
    <row r="5426">
      <c r="B5426" s="15"/>
    </row>
    <row r="5427">
      <c r="B5427" s="15"/>
    </row>
    <row r="5428">
      <c r="B5428" s="15"/>
    </row>
    <row r="5429">
      <c r="B5429" s="15"/>
    </row>
    <row r="5430">
      <c r="B5430" s="15"/>
    </row>
    <row r="5431">
      <c r="B5431" s="15"/>
    </row>
    <row r="5432">
      <c r="B5432" s="15"/>
    </row>
    <row r="5433">
      <c r="B5433" s="15"/>
    </row>
    <row r="5434">
      <c r="B5434" s="15"/>
    </row>
    <row r="5435">
      <c r="B5435" s="15"/>
    </row>
    <row r="5436">
      <c r="B5436" s="15"/>
    </row>
    <row r="5437">
      <c r="B5437" s="15"/>
    </row>
    <row r="5438">
      <c r="B5438" s="15"/>
    </row>
    <row r="5439">
      <c r="B5439" s="15"/>
    </row>
    <row r="5440">
      <c r="B5440" s="15"/>
    </row>
    <row r="5441">
      <c r="B5441" s="15"/>
    </row>
    <row r="5442">
      <c r="B5442" s="15"/>
    </row>
    <row r="5443">
      <c r="B5443" s="15"/>
    </row>
    <row r="5444">
      <c r="B5444" s="15"/>
    </row>
    <row r="5445">
      <c r="B5445" s="15"/>
    </row>
    <row r="5446">
      <c r="B5446" s="15"/>
    </row>
    <row r="5447">
      <c r="B5447" s="15"/>
    </row>
    <row r="5448">
      <c r="B5448" s="15"/>
    </row>
    <row r="5449">
      <c r="B5449" s="15"/>
    </row>
    <row r="5450">
      <c r="B5450" s="15"/>
    </row>
    <row r="5451">
      <c r="B5451" s="15"/>
    </row>
    <row r="5452">
      <c r="B5452" s="15"/>
    </row>
    <row r="5453">
      <c r="B5453" s="15"/>
    </row>
    <row r="5454">
      <c r="B5454" s="15"/>
    </row>
    <row r="5455">
      <c r="B5455" s="15"/>
    </row>
    <row r="5456">
      <c r="B5456" s="15"/>
    </row>
    <row r="5457">
      <c r="B5457" s="15"/>
    </row>
    <row r="5458">
      <c r="B5458" s="15"/>
    </row>
    <row r="5459">
      <c r="B5459" s="15"/>
    </row>
    <row r="5460">
      <c r="B5460" s="15"/>
    </row>
    <row r="5461">
      <c r="B5461" s="15"/>
    </row>
    <row r="5462">
      <c r="B5462" s="15"/>
    </row>
    <row r="5463">
      <c r="B5463" s="15"/>
    </row>
    <row r="5464">
      <c r="B5464" s="15"/>
    </row>
    <row r="5465">
      <c r="B5465" s="15"/>
    </row>
    <row r="5466">
      <c r="B5466" s="15"/>
    </row>
    <row r="5467">
      <c r="B5467" s="15"/>
    </row>
    <row r="5468">
      <c r="B5468" s="15"/>
    </row>
    <row r="5469">
      <c r="B5469" s="15"/>
    </row>
    <row r="5470">
      <c r="B5470" s="15"/>
    </row>
    <row r="5471">
      <c r="B5471" s="15"/>
    </row>
    <row r="5472">
      <c r="B5472" s="15"/>
    </row>
    <row r="5473">
      <c r="B5473" s="15"/>
    </row>
    <row r="5474">
      <c r="B5474" s="15"/>
    </row>
    <row r="5475">
      <c r="B5475" s="15"/>
    </row>
    <row r="5476">
      <c r="B5476" s="15"/>
    </row>
    <row r="5477">
      <c r="B5477" s="15"/>
    </row>
    <row r="5478">
      <c r="B5478" s="15"/>
    </row>
    <row r="5479">
      <c r="B5479" s="15"/>
    </row>
    <row r="5480">
      <c r="B5480" s="15"/>
    </row>
    <row r="5481">
      <c r="B5481" s="15"/>
    </row>
    <row r="5482">
      <c r="B5482" s="15"/>
    </row>
    <row r="5483">
      <c r="B5483" s="15"/>
    </row>
    <row r="5484">
      <c r="B5484" s="15"/>
    </row>
    <row r="5485">
      <c r="B5485" s="15"/>
    </row>
    <row r="5486">
      <c r="B5486" s="15"/>
    </row>
    <row r="5487">
      <c r="B5487" s="15"/>
    </row>
    <row r="5488">
      <c r="B5488" s="15"/>
    </row>
    <row r="5489">
      <c r="B5489" s="15"/>
    </row>
    <row r="5490">
      <c r="B5490" s="15"/>
    </row>
    <row r="5491">
      <c r="B5491" s="15"/>
    </row>
    <row r="5492">
      <c r="B5492" s="15"/>
    </row>
    <row r="5493">
      <c r="B5493" s="15"/>
    </row>
    <row r="5494">
      <c r="B5494" s="15"/>
    </row>
    <row r="5495">
      <c r="B5495" s="15"/>
    </row>
    <row r="5496">
      <c r="B5496" s="15"/>
    </row>
    <row r="5497">
      <c r="B5497" s="15"/>
    </row>
    <row r="5498">
      <c r="B5498" s="15"/>
    </row>
    <row r="5499">
      <c r="B5499" s="15"/>
    </row>
    <row r="5500">
      <c r="B5500" s="15"/>
    </row>
    <row r="5501">
      <c r="B5501" s="15"/>
    </row>
    <row r="5502">
      <c r="B5502" s="15"/>
    </row>
    <row r="5503">
      <c r="B5503" s="15"/>
    </row>
    <row r="5504">
      <c r="B5504" s="15"/>
    </row>
    <row r="5505">
      <c r="B5505" s="15"/>
    </row>
    <row r="5506">
      <c r="B5506" s="15"/>
    </row>
    <row r="5507">
      <c r="B5507" s="15"/>
    </row>
    <row r="5508">
      <c r="B5508" s="15"/>
    </row>
    <row r="5509">
      <c r="B5509" s="15"/>
    </row>
    <row r="5510">
      <c r="B5510" s="15"/>
    </row>
    <row r="5511">
      <c r="B5511" s="15"/>
    </row>
    <row r="5512">
      <c r="B5512" s="15"/>
    </row>
    <row r="5513">
      <c r="B5513" s="15"/>
    </row>
    <row r="5514">
      <c r="B5514" s="15"/>
    </row>
    <row r="5515">
      <c r="B5515" s="15"/>
    </row>
    <row r="5516">
      <c r="B5516" s="15"/>
    </row>
    <row r="5517">
      <c r="B5517" s="15"/>
    </row>
    <row r="5518">
      <c r="B5518" s="15"/>
    </row>
    <row r="5519">
      <c r="B5519" s="15"/>
    </row>
    <row r="5520">
      <c r="B5520" s="15"/>
    </row>
    <row r="5521">
      <c r="B5521" s="15"/>
    </row>
    <row r="5522">
      <c r="B5522" s="15"/>
    </row>
    <row r="5523">
      <c r="B5523" s="15"/>
    </row>
    <row r="5524">
      <c r="B5524" s="15"/>
    </row>
    <row r="5525">
      <c r="B5525" s="15"/>
    </row>
    <row r="5526">
      <c r="B5526" s="15"/>
    </row>
    <row r="5527">
      <c r="B5527" s="15"/>
    </row>
    <row r="5528">
      <c r="B5528" s="15"/>
    </row>
    <row r="5529">
      <c r="B5529" s="15"/>
    </row>
    <row r="5530">
      <c r="B5530" s="15"/>
    </row>
    <row r="5531">
      <c r="B5531" s="15"/>
    </row>
    <row r="5532">
      <c r="B5532" s="15"/>
    </row>
    <row r="5533">
      <c r="B5533" s="15"/>
    </row>
    <row r="5534">
      <c r="B5534" s="15"/>
    </row>
    <row r="5535">
      <c r="B5535" s="15"/>
    </row>
    <row r="5536">
      <c r="B5536" s="15"/>
    </row>
    <row r="5537">
      <c r="B5537" s="15"/>
    </row>
    <row r="5538">
      <c r="B5538" s="15"/>
    </row>
    <row r="5539">
      <c r="B5539" s="15"/>
    </row>
    <row r="5540">
      <c r="B5540" s="15"/>
    </row>
    <row r="5541">
      <c r="B5541" s="15"/>
    </row>
    <row r="5542">
      <c r="B5542" s="15"/>
    </row>
    <row r="5543">
      <c r="B5543" s="15"/>
    </row>
    <row r="5544">
      <c r="B5544" s="15"/>
    </row>
    <row r="5545">
      <c r="B5545" s="15"/>
    </row>
    <row r="5546">
      <c r="B5546" s="15"/>
    </row>
    <row r="5547">
      <c r="B5547" s="15"/>
    </row>
    <row r="5548">
      <c r="B5548" s="15"/>
    </row>
    <row r="5549">
      <c r="B5549" s="15"/>
    </row>
    <row r="5550">
      <c r="B5550" s="15"/>
    </row>
    <row r="5551">
      <c r="B5551" s="15"/>
    </row>
    <row r="5552">
      <c r="B5552" s="15"/>
    </row>
    <row r="5553">
      <c r="B5553" s="15"/>
    </row>
    <row r="5554">
      <c r="B5554" s="15"/>
    </row>
    <row r="5555">
      <c r="B5555" s="15"/>
    </row>
    <row r="5556">
      <c r="B5556" s="15"/>
    </row>
    <row r="5557">
      <c r="B5557" s="15"/>
    </row>
    <row r="5558">
      <c r="B5558" s="15"/>
    </row>
    <row r="5559">
      <c r="B5559" s="15"/>
    </row>
    <row r="5560">
      <c r="B5560" s="15"/>
    </row>
    <row r="5561">
      <c r="B5561" s="15"/>
    </row>
    <row r="5562">
      <c r="B5562" s="15"/>
    </row>
    <row r="5563">
      <c r="B5563" s="15"/>
    </row>
    <row r="5564">
      <c r="B5564" s="15"/>
    </row>
    <row r="5565">
      <c r="B5565" s="15"/>
    </row>
    <row r="5566">
      <c r="B5566" s="15"/>
    </row>
    <row r="5567">
      <c r="B5567" s="15"/>
    </row>
    <row r="5568">
      <c r="B5568" s="15"/>
    </row>
    <row r="5569">
      <c r="B5569" s="15"/>
    </row>
    <row r="5570">
      <c r="B5570" s="15"/>
    </row>
    <row r="5571">
      <c r="B5571" s="15"/>
    </row>
    <row r="5572">
      <c r="B5572" s="15"/>
    </row>
    <row r="5573">
      <c r="B5573" s="15"/>
    </row>
    <row r="5574">
      <c r="B5574" s="15"/>
    </row>
    <row r="5575">
      <c r="B5575" s="15"/>
    </row>
    <row r="5576">
      <c r="B5576" s="15"/>
    </row>
    <row r="5577">
      <c r="B5577" s="15"/>
    </row>
    <row r="5578">
      <c r="B5578" s="15"/>
    </row>
    <row r="5579">
      <c r="B5579" s="15"/>
    </row>
    <row r="5580">
      <c r="B5580" s="15"/>
    </row>
    <row r="5581">
      <c r="B5581" s="15"/>
    </row>
    <row r="5582">
      <c r="B5582" s="15"/>
    </row>
    <row r="5583">
      <c r="B5583" s="15"/>
    </row>
    <row r="5584">
      <c r="B5584" s="15"/>
    </row>
    <row r="5585">
      <c r="B5585" s="15"/>
    </row>
    <row r="5586">
      <c r="B5586" s="15"/>
    </row>
    <row r="5587">
      <c r="B5587" s="15"/>
    </row>
    <row r="5588">
      <c r="B5588" s="15"/>
    </row>
    <row r="5589">
      <c r="B5589" s="15"/>
    </row>
    <row r="5590">
      <c r="B5590" s="15"/>
    </row>
    <row r="5591">
      <c r="B5591" s="15"/>
    </row>
    <row r="5592">
      <c r="B5592" s="15"/>
    </row>
    <row r="5593">
      <c r="B5593" s="15"/>
    </row>
    <row r="5594">
      <c r="B5594" s="15"/>
    </row>
    <row r="5595">
      <c r="B5595" s="15"/>
    </row>
    <row r="5596">
      <c r="B5596" s="15"/>
    </row>
    <row r="5597">
      <c r="B5597" s="15"/>
    </row>
    <row r="5598">
      <c r="B5598" s="15"/>
    </row>
    <row r="5599">
      <c r="B5599" s="15"/>
    </row>
    <row r="5600">
      <c r="B5600" s="15"/>
    </row>
    <row r="5601">
      <c r="B5601" s="15"/>
    </row>
    <row r="5602">
      <c r="B5602" s="15"/>
    </row>
    <row r="5603">
      <c r="B5603" s="15"/>
    </row>
    <row r="5604">
      <c r="B5604" s="15"/>
    </row>
    <row r="5605">
      <c r="B5605" s="15"/>
    </row>
    <row r="5606">
      <c r="B5606" s="15"/>
    </row>
    <row r="5607">
      <c r="B5607" s="15"/>
    </row>
    <row r="5608">
      <c r="B5608" s="15"/>
    </row>
    <row r="5609">
      <c r="B5609" s="15"/>
    </row>
    <row r="5610">
      <c r="B5610" s="15"/>
    </row>
    <row r="5611">
      <c r="B5611" s="15"/>
    </row>
    <row r="5612">
      <c r="B5612" s="15"/>
    </row>
    <row r="5613">
      <c r="B5613" s="15"/>
    </row>
    <row r="5614">
      <c r="B5614" s="15"/>
    </row>
    <row r="5615">
      <c r="B5615" s="15"/>
    </row>
    <row r="5616">
      <c r="B5616" s="15"/>
    </row>
    <row r="5617">
      <c r="B5617" s="15"/>
    </row>
    <row r="5618">
      <c r="B5618" s="15"/>
    </row>
    <row r="5619">
      <c r="B5619" s="15"/>
    </row>
    <row r="5620">
      <c r="B5620" s="15"/>
    </row>
    <row r="5621">
      <c r="B5621" s="15"/>
    </row>
    <row r="5622">
      <c r="B5622" s="15"/>
    </row>
    <row r="5623">
      <c r="B5623" s="15"/>
    </row>
    <row r="5624">
      <c r="B5624" s="15"/>
    </row>
    <row r="5625">
      <c r="B5625" s="15"/>
    </row>
    <row r="5626">
      <c r="B5626" s="15"/>
    </row>
    <row r="5627">
      <c r="B5627" s="15"/>
    </row>
    <row r="5628">
      <c r="B5628" s="15"/>
    </row>
    <row r="5629">
      <c r="B5629" s="15"/>
    </row>
    <row r="5630">
      <c r="B5630" s="15"/>
    </row>
    <row r="5631">
      <c r="B5631" s="15"/>
    </row>
    <row r="5632">
      <c r="B5632" s="15"/>
    </row>
    <row r="5633">
      <c r="B5633" s="15"/>
    </row>
    <row r="5634">
      <c r="B5634" s="15"/>
    </row>
    <row r="5635">
      <c r="B5635" s="15"/>
    </row>
    <row r="5636">
      <c r="B5636" s="15"/>
    </row>
    <row r="5637">
      <c r="B5637" s="15"/>
    </row>
    <row r="5638">
      <c r="B5638" s="15"/>
    </row>
    <row r="5639">
      <c r="B5639" s="15"/>
    </row>
    <row r="5640">
      <c r="B5640" s="15"/>
    </row>
    <row r="5641">
      <c r="B5641" s="15"/>
    </row>
    <row r="5642">
      <c r="B5642" s="15"/>
    </row>
    <row r="5643">
      <c r="B5643" s="15"/>
    </row>
    <row r="5644">
      <c r="B5644" s="15"/>
    </row>
    <row r="5645">
      <c r="B5645" s="15"/>
    </row>
    <row r="5646">
      <c r="B5646" s="15"/>
    </row>
    <row r="5647">
      <c r="B5647" s="15"/>
    </row>
    <row r="5648">
      <c r="B5648" s="15"/>
    </row>
    <row r="5649">
      <c r="B5649" s="15"/>
    </row>
    <row r="5650">
      <c r="B5650" s="15"/>
    </row>
    <row r="5651">
      <c r="B5651" s="15"/>
    </row>
    <row r="5652">
      <c r="B5652" s="15"/>
    </row>
    <row r="5653">
      <c r="B5653" s="15"/>
    </row>
    <row r="5654">
      <c r="B5654" s="15"/>
    </row>
    <row r="5655">
      <c r="B5655" s="15"/>
    </row>
    <row r="5656">
      <c r="B5656" s="15"/>
    </row>
    <row r="5657">
      <c r="B5657" s="15"/>
    </row>
    <row r="5658">
      <c r="B5658" s="15"/>
    </row>
    <row r="5659">
      <c r="B5659" s="15"/>
    </row>
    <row r="5660">
      <c r="B5660" s="15"/>
    </row>
    <row r="5661">
      <c r="B5661" s="15"/>
    </row>
    <row r="5662">
      <c r="B5662" s="15"/>
    </row>
    <row r="5663">
      <c r="B5663" s="15"/>
    </row>
    <row r="5664">
      <c r="B5664" s="15"/>
    </row>
    <row r="5665">
      <c r="B5665" s="15"/>
    </row>
    <row r="5666">
      <c r="B5666" s="15"/>
    </row>
    <row r="5667">
      <c r="B5667" s="15"/>
    </row>
    <row r="5668">
      <c r="B5668" s="15"/>
    </row>
    <row r="5669">
      <c r="B5669" s="15"/>
    </row>
    <row r="5670">
      <c r="B5670" s="15"/>
    </row>
    <row r="5671">
      <c r="B5671" s="15"/>
    </row>
    <row r="5672">
      <c r="B5672" s="15"/>
    </row>
    <row r="5673">
      <c r="B5673" s="15"/>
    </row>
    <row r="5674">
      <c r="B5674" s="15"/>
    </row>
    <row r="5675">
      <c r="B5675" s="15"/>
    </row>
    <row r="5676">
      <c r="B5676" s="15"/>
    </row>
    <row r="5677">
      <c r="B5677" s="15"/>
    </row>
    <row r="5678">
      <c r="B5678" s="15"/>
    </row>
    <row r="5679">
      <c r="B5679" s="15"/>
    </row>
    <row r="5680">
      <c r="B5680" s="15"/>
    </row>
    <row r="5681">
      <c r="B5681" s="15"/>
    </row>
    <row r="5682">
      <c r="B5682" s="15"/>
    </row>
    <row r="5683">
      <c r="B5683" s="15"/>
    </row>
    <row r="5684">
      <c r="B5684" s="15"/>
    </row>
    <row r="5685">
      <c r="B5685" s="15"/>
    </row>
    <row r="5686">
      <c r="B5686" s="15"/>
    </row>
    <row r="5687">
      <c r="B5687" s="15"/>
    </row>
    <row r="5688">
      <c r="B5688" s="15"/>
    </row>
    <row r="5689">
      <c r="B5689" s="15"/>
    </row>
    <row r="5690">
      <c r="B5690" s="15"/>
    </row>
    <row r="5691">
      <c r="B5691" s="15"/>
    </row>
    <row r="5692">
      <c r="B5692" s="15"/>
    </row>
    <row r="5693">
      <c r="B5693" s="15"/>
    </row>
    <row r="5694">
      <c r="B5694" s="15"/>
    </row>
    <row r="5695">
      <c r="B5695" s="15"/>
    </row>
    <row r="5696">
      <c r="B5696" s="15"/>
    </row>
    <row r="5697">
      <c r="B5697" s="15"/>
    </row>
    <row r="5698">
      <c r="B5698" s="15"/>
    </row>
    <row r="5699">
      <c r="B5699" s="15"/>
    </row>
    <row r="5700">
      <c r="B5700" s="15"/>
    </row>
    <row r="5701">
      <c r="B5701" s="15"/>
    </row>
    <row r="5702">
      <c r="B5702" s="15"/>
    </row>
    <row r="5703">
      <c r="B5703" s="15"/>
    </row>
    <row r="5704">
      <c r="B5704" s="15"/>
    </row>
    <row r="5705">
      <c r="B5705" s="15"/>
    </row>
    <row r="5706">
      <c r="B5706" s="15"/>
    </row>
    <row r="5707">
      <c r="B5707" s="15"/>
    </row>
    <row r="5708">
      <c r="B5708" s="15"/>
    </row>
    <row r="5709">
      <c r="B5709" s="15"/>
    </row>
    <row r="5710">
      <c r="B5710" s="15"/>
    </row>
    <row r="5711">
      <c r="B5711" s="15"/>
    </row>
    <row r="5712">
      <c r="B5712" s="15"/>
    </row>
    <row r="5713">
      <c r="B5713" s="15"/>
    </row>
    <row r="5714">
      <c r="B5714" s="15"/>
    </row>
    <row r="5715">
      <c r="B5715" s="15"/>
    </row>
    <row r="5716">
      <c r="B5716" s="15"/>
    </row>
    <row r="5717">
      <c r="B5717" s="15"/>
    </row>
    <row r="5718">
      <c r="B5718" s="15"/>
    </row>
    <row r="5719">
      <c r="B5719" s="15"/>
    </row>
    <row r="5720">
      <c r="B5720" s="15"/>
    </row>
    <row r="5721">
      <c r="B5721" s="15"/>
    </row>
    <row r="5722">
      <c r="B5722" s="15"/>
    </row>
    <row r="5723">
      <c r="B5723" s="15"/>
    </row>
    <row r="5724">
      <c r="B5724" s="15"/>
    </row>
    <row r="5725">
      <c r="B5725" s="15"/>
    </row>
    <row r="5726">
      <c r="B5726" s="15"/>
    </row>
    <row r="5727">
      <c r="B5727" s="15"/>
    </row>
    <row r="5728">
      <c r="B5728" s="15"/>
    </row>
    <row r="5729">
      <c r="B5729" s="15"/>
    </row>
    <row r="5730">
      <c r="B5730" s="15"/>
    </row>
    <row r="5731">
      <c r="B5731" s="15"/>
    </row>
    <row r="5732">
      <c r="B5732" s="15"/>
    </row>
    <row r="5733">
      <c r="B5733" s="15"/>
    </row>
    <row r="5734">
      <c r="B5734" s="15"/>
    </row>
    <row r="5735">
      <c r="B5735" s="15"/>
    </row>
    <row r="5736">
      <c r="B5736" s="15"/>
    </row>
    <row r="5737">
      <c r="B5737" s="15"/>
    </row>
    <row r="5738">
      <c r="B5738" s="15"/>
    </row>
    <row r="5739">
      <c r="B5739" s="15"/>
    </row>
    <row r="5740">
      <c r="B5740" s="15"/>
    </row>
    <row r="5741">
      <c r="B5741" s="15"/>
    </row>
    <row r="5742">
      <c r="B5742" s="15"/>
    </row>
    <row r="5743">
      <c r="B5743" s="15"/>
    </row>
    <row r="5744">
      <c r="B5744" s="15"/>
    </row>
    <row r="5745">
      <c r="B5745" s="15"/>
    </row>
    <row r="5746">
      <c r="B5746" s="15"/>
    </row>
    <row r="5747">
      <c r="B5747" s="15"/>
    </row>
    <row r="5748">
      <c r="B5748" s="15"/>
    </row>
    <row r="5749">
      <c r="B5749" s="15"/>
    </row>
    <row r="5750">
      <c r="B5750" s="15"/>
    </row>
    <row r="5751">
      <c r="B5751" s="15"/>
    </row>
    <row r="5752">
      <c r="B5752" s="15"/>
    </row>
    <row r="5753">
      <c r="B5753" s="15"/>
    </row>
    <row r="5754">
      <c r="B5754" s="15"/>
    </row>
    <row r="5755">
      <c r="B5755" s="15"/>
    </row>
    <row r="5756">
      <c r="B5756" s="15"/>
    </row>
    <row r="5757">
      <c r="B5757" s="15"/>
    </row>
    <row r="5758">
      <c r="B5758" s="15"/>
    </row>
    <row r="5759">
      <c r="B5759" s="15"/>
    </row>
    <row r="5760">
      <c r="B5760" s="15"/>
    </row>
    <row r="5761">
      <c r="B5761" s="15"/>
    </row>
    <row r="5762">
      <c r="B5762" s="15"/>
    </row>
    <row r="5763">
      <c r="B5763" s="15"/>
    </row>
    <row r="5764">
      <c r="B5764" s="15"/>
    </row>
    <row r="5765">
      <c r="B5765" s="15"/>
    </row>
    <row r="5766">
      <c r="B5766" s="15"/>
    </row>
    <row r="5767">
      <c r="B5767" s="15"/>
    </row>
    <row r="5768">
      <c r="B5768" s="15"/>
    </row>
    <row r="5769">
      <c r="B5769" s="15"/>
    </row>
    <row r="5770">
      <c r="B5770" s="15"/>
    </row>
    <row r="5771">
      <c r="B5771" s="15"/>
    </row>
    <row r="5772">
      <c r="B5772" s="15"/>
    </row>
    <row r="5773">
      <c r="B5773" s="15"/>
    </row>
    <row r="5774">
      <c r="B5774" s="15"/>
    </row>
    <row r="5775">
      <c r="B5775" s="15"/>
    </row>
    <row r="5776">
      <c r="B5776" s="15"/>
    </row>
    <row r="5777">
      <c r="B5777" s="15"/>
    </row>
    <row r="5778">
      <c r="B5778" s="15"/>
    </row>
    <row r="5779">
      <c r="B5779" s="15"/>
    </row>
    <row r="5780">
      <c r="B5780" s="15"/>
    </row>
    <row r="5781">
      <c r="B5781" s="15"/>
    </row>
    <row r="5782">
      <c r="B5782" s="15"/>
    </row>
    <row r="5783">
      <c r="B5783" s="15"/>
    </row>
    <row r="5784">
      <c r="B5784" s="15"/>
    </row>
    <row r="5785">
      <c r="B5785" s="15"/>
    </row>
    <row r="5786">
      <c r="B5786" s="15"/>
    </row>
    <row r="5787">
      <c r="B5787" s="15"/>
    </row>
    <row r="5788">
      <c r="B5788" s="15"/>
    </row>
    <row r="5789">
      <c r="B5789" s="15"/>
    </row>
    <row r="5790">
      <c r="B5790" s="15"/>
    </row>
    <row r="5791">
      <c r="B5791" s="15"/>
    </row>
    <row r="5792">
      <c r="B5792" s="15"/>
    </row>
    <row r="5793">
      <c r="B5793" s="15"/>
    </row>
    <row r="5794">
      <c r="B5794" s="15"/>
    </row>
    <row r="5795">
      <c r="B5795" s="15"/>
    </row>
    <row r="5796">
      <c r="B5796" s="15"/>
    </row>
    <row r="5797">
      <c r="B5797" s="15"/>
    </row>
    <row r="5798">
      <c r="B5798" s="15"/>
    </row>
    <row r="5799">
      <c r="B5799" s="15"/>
    </row>
    <row r="5800">
      <c r="B5800" s="15"/>
    </row>
    <row r="5801">
      <c r="B5801" s="15"/>
    </row>
    <row r="5802">
      <c r="B5802" s="15"/>
    </row>
    <row r="5803">
      <c r="B5803" s="15"/>
    </row>
    <row r="5804">
      <c r="B5804" s="15"/>
    </row>
    <row r="5805">
      <c r="B5805" s="15"/>
    </row>
    <row r="5806">
      <c r="B5806" s="15"/>
    </row>
    <row r="5807">
      <c r="B5807" s="15"/>
    </row>
    <row r="5808">
      <c r="B5808" s="15"/>
    </row>
    <row r="5809">
      <c r="B5809" s="15"/>
    </row>
    <row r="5810">
      <c r="B5810" s="15"/>
    </row>
    <row r="5811">
      <c r="B5811" s="15"/>
    </row>
    <row r="5812">
      <c r="B5812" s="15"/>
    </row>
    <row r="5813">
      <c r="B5813" s="15"/>
    </row>
    <row r="5814">
      <c r="B5814" s="15"/>
    </row>
    <row r="5815">
      <c r="B5815" s="15"/>
    </row>
    <row r="5816">
      <c r="B5816" s="15"/>
    </row>
    <row r="5817">
      <c r="B5817" s="15"/>
    </row>
    <row r="5818">
      <c r="B5818" s="15"/>
    </row>
    <row r="5819">
      <c r="B5819" s="15"/>
    </row>
    <row r="5820">
      <c r="B5820" s="15"/>
    </row>
    <row r="5821">
      <c r="B5821" s="15"/>
    </row>
    <row r="5822">
      <c r="B5822" s="15"/>
    </row>
    <row r="5823">
      <c r="B5823" s="15"/>
    </row>
    <row r="5824">
      <c r="B5824" s="15"/>
    </row>
    <row r="5825">
      <c r="B5825" s="15"/>
    </row>
    <row r="5826">
      <c r="B5826" s="15"/>
    </row>
    <row r="5827">
      <c r="B5827" s="15"/>
    </row>
    <row r="5828">
      <c r="B5828" s="15"/>
    </row>
    <row r="5829">
      <c r="B5829" s="15"/>
    </row>
    <row r="5830">
      <c r="B5830" s="15"/>
    </row>
    <row r="5831">
      <c r="B5831" s="15"/>
    </row>
    <row r="5832">
      <c r="B5832" s="15"/>
    </row>
    <row r="5833">
      <c r="B5833" s="15"/>
    </row>
    <row r="5834">
      <c r="B5834" s="15"/>
    </row>
    <row r="5835">
      <c r="B5835" s="15"/>
    </row>
    <row r="5836">
      <c r="B5836" s="15"/>
    </row>
    <row r="5837">
      <c r="B5837" s="15"/>
    </row>
    <row r="5838">
      <c r="B5838" s="15"/>
    </row>
    <row r="5839">
      <c r="B5839" s="15"/>
    </row>
    <row r="5840">
      <c r="B5840" s="15"/>
    </row>
    <row r="5841">
      <c r="B5841" s="15"/>
    </row>
    <row r="5842">
      <c r="B5842" s="15"/>
    </row>
    <row r="5843">
      <c r="B5843" s="15"/>
    </row>
    <row r="5844">
      <c r="B5844" s="15"/>
    </row>
    <row r="5845">
      <c r="B5845" s="15"/>
    </row>
    <row r="5846">
      <c r="B5846" s="15"/>
    </row>
    <row r="5847">
      <c r="B5847" s="15"/>
    </row>
    <row r="5848">
      <c r="B5848" s="15"/>
    </row>
    <row r="5849">
      <c r="B5849" s="15"/>
    </row>
    <row r="5850">
      <c r="B5850" s="15"/>
    </row>
    <row r="5851">
      <c r="B5851" s="15"/>
    </row>
    <row r="5852">
      <c r="B5852" s="15"/>
    </row>
    <row r="5853">
      <c r="B5853" s="15"/>
    </row>
    <row r="5854">
      <c r="B5854" s="15"/>
    </row>
    <row r="5855">
      <c r="B5855" s="15"/>
    </row>
    <row r="5856">
      <c r="B5856" s="15"/>
    </row>
    <row r="5857">
      <c r="B5857" s="15"/>
    </row>
    <row r="5858">
      <c r="B5858" s="15"/>
    </row>
    <row r="5859">
      <c r="B5859" s="15"/>
    </row>
    <row r="5860">
      <c r="B5860" s="15"/>
    </row>
    <row r="5861">
      <c r="B5861" s="15"/>
    </row>
    <row r="5862">
      <c r="B5862" s="15"/>
    </row>
    <row r="5863">
      <c r="B5863" s="15"/>
    </row>
    <row r="5864">
      <c r="B5864" s="15"/>
    </row>
    <row r="5865">
      <c r="B5865" s="15"/>
    </row>
    <row r="5866">
      <c r="B5866" s="15"/>
    </row>
    <row r="5867">
      <c r="B5867" s="15"/>
    </row>
    <row r="5868">
      <c r="B5868" s="15"/>
    </row>
    <row r="5869">
      <c r="B5869" s="15"/>
    </row>
    <row r="5870">
      <c r="B5870" s="15"/>
    </row>
    <row r="5871">
      <c r="B5871" s="15"/>
    </row>
    <row r="5872">
      <c r="B5872" s="15"/>
    </row>
    <row r="5873">
      <c r="B5873" s="15"/>
    </row>
    <row r="5874">
      <c r="B5874" s="15"/>
    </row>
    <row r="5875">
      <c r="B5875" s="15"/>
    </row>
    <row r="5876">
      <c r="B5876" s="15"/>
    </row>
    <row r="5877">
      <c r="B5877" s="15"/>
    </row>
    <row r="5878">
      <c r="B5878" s="15"/>
    </row>
    <row r="5879">
      <c r="B5879" s="15"/>
    </row>
    <row r="5880">
      <c r="B5880" s="15"/>
    </row>
    <row r="5881">
      <c r="B5881" s="15"/>
    </row>
    <row r="5882">
      <c r="B5882" s="15"/>
    </row>
    <row r="5883">
      <c r="B5883" s="15"/>
    </row>
    <row r="5884">
      <c r="B5884" s="15"/>
    </row>
    <row r="5885">
      <c r="B5885" s="15"/>
    </row>
    <row r="5886">
      <c r="B5886" s="15"/>
    </row>
    <row r="5887">
      <c r="B5887" s="15"/>
    </row>
    <row r="5888">
      <c r="B5888" s="15"/>
    </row>
    <row r="5889">
      <c r="B5889" s="15"/>
    </row>
    <row r="5890">
      <c r="B5890" s="15"/>
    </row>
    <row r="5891">
      <c r="B5891" s="15"/>
    </row>
    <row r="5892">
      <c r="B5892" s="15"/>
    </row>
    <row r="5893">
      <c r="B5893" s="15"/>
    </row>
    <row r="5894">
      <c r="B5894" s="15"/>
    </row>
    <row r="5895">
      <c r="B5895" s="15"/>
    </row>
    <row r="5896">
      <c r="B5896" s="15"/>
    </row>
    <row r="5897">
      <c r="B5897" s="15"/>
    </row>
    <row r="5898">
      <c r="B5898" s="15"/>
    </row>
    <row r="5899">
      <c r="B5899" s="15"/>
    </row>
    <row r="5900">
      <c r="B5900" s="15"/>
    </row>
    <row r="5901">
      <c r="B5901" s="15"/>
    </row>
    <row r="5902">
      <c r="B5902" s="15"/>
    </row>
    <row r="5903">
      <c r="B5903" s="15"/>
    </row>
    <row r="5904">
      <c r="B5904" s="15"/>
    </row>
    <row r="5905">
      <c r="B5905" s="15"/>
    </row>
    <row r="5906">
      <c r="B5906" s="15"/>
    </row>
    <row r="5907">
      <c r="B5907" s="15"/>
    </row>
    <row r="5908">
      <c r="B5908" s="15"/>
    </row>
    <row r="5909">
      <c r="B5909" s="15"/>
    </row>
    <row r="5910">
      <c r="B5910" s="15"/>
    </row>
    <row r="5911">
      <c r="B5911" s="15"/>
    </row>
    <row r="5912">
      <c r="B5912" s="15"/>
    </row>
    <row r="5913">
      <c r="B5913" s="15"/>
    </row>
    <row r="5914">
      <c r="B5914" s="15"/>
    </row>
    <row r="5915">
      <c r="B5915" s="15"/>
    </row>
    <row r="5916">
      <c r="B5916" s="15"/>
    </row>
    <row r="5917">
      <c r="B5917" s="15"/>
    </row>
    <row r="5918">
      <c r="B5918" s="15"/>
    </row>
    <row r="5919">
      <c r="B5919" s="15"/>
    </row>
    <row r="5920">
      <c r="B5920" s="15"/>
    </row>
    <row r="5921">
      <c r="B5921" s="15"/>
    </row>
    <row r="5922">
      <c r="B5922" s="15"/>
    </row>
    <row r="5923">
      <c r="B5923" s="15"/>
    </row>
    <row r="5924">
      <c r="B5924" s="15"/>
    </row>
    <row r="5925">
      <c r="B5925" s="15"/>
    </row>
    <row r="5926">
      <c r="B5926" s="15"/>
    </row>
    <row r="5927">
      <c r="B5927" s="15"/>
    </row>
    <row r="5928">
      <c r="B5928" s="15"/>
    </row>
    <row r="5929">
      <c r="B5929" s="15"/>
    </row>
    <row r="5930">
      <c r="B5930" s="15"/>
    </row>
    <row r="5931">
      <c r="B5931" s="15"/>
    </row>
    <row r="5932">
      <c r="B5932" s="15"/>
    </row>
    <row r="5933">
      <c r="B5933" s="15"/>
    </row>
    <row r="5934">
      <c r="B5934" s="15"/>
    </row>
    <row r="5935">
      <c r="B5935" s="15"/>
    </row>
    <row r="5936">
      <c r="B5936" s="15"/>
    </row>
    <row r="5937">
      <c r="B5937" s="15"/>
    </row>
    <row r="5938">
      <c r="B5938" s="15"/>
    </row>
    <row r="5939">
      <c r="B5939" s="15"/>
    </row>
    <row r="5940">
      <c r="B5940" s="15"/>
    </row>
    <row r="5941">
      <c r="B5941" s="15"/>
    </row>
    <row r="5942">
      <c r="B5942" s="15"/>
    </row>
    <row r="5943">
      <c r="B5943" s="15"/>
    </row>
    <row r="5944">
      <c r="B5944" s="15"/>
    </row>
    <row r="5945">
      <c r="B5945" s="15"/>
    </row>
    <row r="5946">
      <c r="B5946" s="15"/>
    </row>
    <row r="5947">
      <c r="B5947" s="15"/>
    </row>
    <row r="5948">
      <c r="B5948" s="15"/>
    </row>
    <row r="5949">
      <c r="B5949" s="15"/>
    </row>
    <row r="5950">
      <c r="B5950" s="15"/>
    </row>
    <row r="5951">
      <c r="B5951" s="15"/>
    </row>
    <row r="5952">
      <c r="B5952" s="15"/>
    </row>
    <row r="5953">
      <c r="B5953" s="15"/>
    </row>
    <row r="5954">
      <c r="B5954" s="15"/>
    </row>
    <row r="5955">
      <c r="B5955" s="15"/>
    </row>
    <row r="5956">
      <c r="B5956" s="15"/>
    </row>
    <row r="5957">
      <c r="B5957" s="15"/>
    </row>
    <row r="5958">
      <c r="B5958" s="15"/>
    </row>
    <row r="5959">
      <c r="B5959" s="15"/>
    </row>
    <row r="5960">
      <c r="B5960" s="15"/>
    </row>
    <row r="5961">
      <c r="B5961" s="15"/>
    </row>
    <row r="5962">
      <c r="B5962" s="15"/>
    </row>
    <row r="5963">
      <c r="B5963" s="15"/>
    </row>
    <row r="5964">
      <c r="B5964" s="15"/>
    </row>
    <row r="5965">
      <c r="B5965" s="15"/>
    </row>
    <row r="5966">
      <c r="B5966" s="15"/>
    </row>
    <row r="5967">
      <c r="B5967" s="15"/>
    </row>
    <row r="5968">
      <c r="B5968" s="15"/>
    </row>
    <row r="5969">
      <c r="B5969" s="15"/>
    </row>
    <row r="5970">
      <c r="B5970" s="15"/>
    </row>
    <row r="5971">
      <c r="B5971" s="15"/>
    </row>
    <row r="5972">
      <c r="B5972" s="15"/>
    </row>
    <row r="5973">
      <c r="B5973" s="15"/>
    </row>
    <row r="5974">
      <c r="B5974" s="15"/>
    </row>
    <row r="5975">
      <c r="B5975" s="15"/>
    </row>
    <row r="5976">
      <c r="B5976" s="15"/>
    </row>
    <row r="5977">
      <c r="B5977" s="15"/>
    </row>
    <row r="5978">
      <c r="B5978" s="15"/>
    </row>
    <row r="5979">
      <c r="B5979" s="15"/>
    </row>
    <row r="5980">
      <c r="B5980" s="15"/>
    </row>
    <row r="5981">
      <c r="B5981" s="15"/>
    </row>
    <row r="5982">
      <c r="B5982" s="15"/>
    </row>
    <row r="5983">
      <c r="B5983" s="15"/>
    </row>
    <row r="5984">
      <c r="B5984" s="15"/>
    </row>
    <row r="5985">
      <c r="B5985" s="15"/>
    </row>
    <row r="5986">
      <c r="B5986" s="15"/>
    </row>
    <row r="5987">
      <c r="B5987" s="15"/>
    </row>
    <row r="5988">
      <c r="B5988" s="15"/>
    </row>
    <row r="5989">
      <c r="B5989" s="15"/>
    </row>
    <row r="5990">
      <c r="B5990" s="15"/>
    </row>
    <row r="5991">
      <c r="B5991" s="15"/>
    </row>
    <row r="5992">
      <c r="B5992" s="15"/>
    </row>
    <row r="5993">
      <c r="B5993" s="15"/>
    </row>
    <row r="5994">
      <c r="B5994" s="15"/>
    </row>
    <row r="5995">
      <c r="B5995" s="15"/>
    </row>
    <row r="5996">
      <c r="B5996" s="15"/>
    </row>
    <row r="5997">
      <c r="B5997" s="15"/>
    </row>
    <row r="5998">
      <c r="B5998" s="15"/>
    </row>
    <row r="5999">
      <c r="B5999" s="15"/>
    </row>
    <row r="6000">
      <c r="B6000" s="15"/>
    </row>
    <row r="6001">
      <c r="B6001" s="15"/>
    </row>
    <row r="6002">
      <c r="B6002" s="15"/>
    </row>
    <row r="6003">
      <c r="B6003" s="15"/>
    </row>
    <row r="6004">
      <c r="B6004" s="15"/>
    </row>
    <row r="6005">
      <c r="B6005" s="15"/>
    </row>
    <row r="6006">
      <c r="B6006" s="15"/>
    </row>
    <row r="6007">
      <c r="B6007" s="15"/>
    </row>
    <row r="6008">
      <c r="B6008" s="15"/>
    </row>
    <row r="6009">
      <c r="B6009" s="15"/>
    </row>
    <row r="6010">
      <c r="B6010" s="15"/>
    </row>
    <row r="6011">
      <c r="B6011" s="15"/>
    </row>
    <row r="6012">
      <c r="B6012" s="15"/>
    </row>
    <row r="6013">
      <c r="B6013" s="15"/>
    </row>
    <row r="6014">
      <c r="B6014" s="15"/>
    </row>
    <row r="6015">
      <c r="B6015" s="15"/>
    </row>
    <row r="6016">
      <c r="B6016" s="15"/>
    </row>
    <row r="6017">
      <c r="B6017" s="15"/>
    </row>
    <row r="6018">
      <c r="B6018" s="15"/>
    </row>
    <row r="6019">
      <c r="B6019" s="15"/>
    </row>
    <row r="6020">
      <c r="B6020" s="15"/>
    </row>
    <row r="6021">
      <c r="B6021" s="15"/>
    </row>
    <row r="6022">
      <c r="B6022" s="15"/>
    </row>
    <row r="6023">
      <c r="B6023" s="15"/>
    </row>
    <row r="6024">
      <c r="B6024" s="15"/>
    </row>
    <row r="6025">
      <c r="B6025" s="15"/>
    </row>
    <row r="6026">
      <c r="B6026" s="15"/>
    </row>
    <row r="6027">
      <c r="B6027" s="15"/>
    </row>
    <row r="6028">
      <c r="B6028" s="15"/>
    </row>
    <row r="6029">
      <c r="B6029" s="15"/>
    </row>
    <row r="6030">
      <c r="B6030" s="15"/>
    </row>
    <row r="6031">
      <c r="B6031" s="15"/>
    </row>
    <row r="6032">
      <c r="B6032" s="15"/>
    </row>
    <row r="6033">
      <c r="B6033" s="15"/>
    </row>
    <row r="6034">
      <c r="B6034" s="15"/>
    </row>
    <row r="6035">
      <c r="B6035" s="15"/>
    </row>
    <row r="6036">
      <c r="B6036" s="15"/>
    </row>
    <row r="6037">
      <c r="B6037" s="15"/>
    </row>
    <row r="6038">
      <c r="B6038" s="15"/>
    </row>
    <row r="6039">
      <c r="B6039" s="15"/>
    </row>
    <row r="6040">
      <c r="B6040" s="15"/>
    </row>
    <row r="6041">
      <c r="B6041" s="15"/>
    </row>
    <row r="6042">
      <c r="B6042" s="15"/>
    </row>
    <row r="6043">
      <c r="B6043" s="15"/>
    </row>
    <row r="6044">
      <c r="B6044" s="15"/>
    </row>
    <row r="6045">
      <c r="B6045" s="15"/>
    </row>
    <row r="6046">
      <c r="B6046" s="15"/>
    </row>
    <row r="6047">
      <c r="B6047" s="15"/>
    </row>
    <row r="6048">
      <c r="B6048" s="15"/>
    </row>
    <row r="6049">
      <c r="B6049" s="15"/>
    </row>
    <row r="6050">
      <c r="B6050" s="15"/>
    </row>
    <row r="6051">
      <c r="B6051" s="15"/>
    </row>
    <row r="6052">
      <c r="B6052" s="15"/>
    </row>
    <row r="6053">
      <c r="B6053" s="15"/>
    </row>
    <row r="6054">
      <c r="B6054" s="15"/>
    </row>
    <row r="6055">
      <c r="B6055" s="15"/>
    </row>
    <row r="6056">
      <c r="B6056" s="15"/>
    </row>
    <row r="6057">
      <c r="B6057" s="15"/>
    </row>
    <row r="6058">
      <c r="B6058" s="15"/>
    </row>
    <row r="6059">
      <c r="B6059" s="15"/>
    </row>
    <row r="6060">
      <c r="B6060" s="15"/>
    </row>
    <row r="6061">
      <c r="B6061" s="15"/>
    </row>
    <row r="6062">
      <c r="B6062" s="15"/>
    </row>
    <row r="6063">
      <c r="B6063" s="15"/>
    </row>
    <row r="6064">
      <c r="B6064" s="15"/>
    </row>
    <row r="6065">
      <c r="B6065" s="15"/>
    </row>
    <row r="6066">
      <c r="B6066" s="15"/>
    </row>
    <row r="6067">
      <c r="B6067" s="15"/>
    </row>
    <row r="6068">
      <c r="B6068" s="15"/>
    </row>
    <row r="6069">
      <c r="B6069" s="15"/>
    </row>
    <row r="6070">
      <c r="B6070" s="15"/>
    </row>
    <row r="6071">
      <c r="B6071" s="15"/>
    </row>
    <row r="6072">
      <c r="B6072" s="15"/>
    </row>
    <row r="6073">
      <c r="B6073" s="15"/>
    </row>
    <row r="6074">
      <c r="B6074" s="15"/>
    </row>
    <row r="6075">
      <c r="B6075" s="15"/>
    </row>
    <row r="6076">
      <c r="B6076" s="15"/>
    </row>
    <row r="6077">
      <c r="B6077" s="15"/>
    </row>
    <row r="6078">
      <c r="B6078" s="15"/>
    </row>
    <row r="6079">
      <c r="B6079" s="15"/>
    </row>
    <row r="6080">
      <c r="B6080" s="15"/>
    </row>
    <row r="6081">
      <c r="B6081" s="15"/>
      <c r="C6081" s="23"/>
    </row>
    <row r="6082">
      <c r="B6082" s="15"/>
      <c r="C6082" s="23"/>
    </row>
    <row r="6083">
      <c r="B6083" s="15"/>
      <c r="C6083" s="23"/>
    </row>
    <row r="6084">
      <c r="B6084" s="15"/>
      <c r="C6084" s="23"/>
    </row>
    <row r="6085">
      <c r="B6085" s="15"/>
      <c r="C6085" s="23"/>
    </row>
    <row r="6086">
      <c r="B6086" s="15"/>
      <c r="C6086" s="23"/>
    </row>
    <row r="6087">
      <c r="B6087" s="15"/>
      <c r="C6087" s="23"/>
    </row>
    <row r="6088">
      <c r="B6088" s="15"/>
      <c r="C6088" s="22"/>
    </row>
    <row r="6089">
      <c r="B6089" s="15"/>
      <c r="C6089" s="22"/>
    </row>
    <row r="6090">
      <c r="B6090" s="15"/>
      <c r="C6090" s="22"/>
    </row>
    <row r="6091">
      <c r="B6091" s="15"/>
      <c r="C6091" s="22"/>
    </row>
    <row r="6092">
      <c r="B6092" s="15"/>
      <c r="C6092" s="22"/>
    </row>
    <row r="6093">
      <c r="B6093" s="15"/>
    </row>
    <row r="6094">
      <c r="B6094" s="15"/>
      <c r="C6094" s="22"/>
    </row>
    <row r="6095">
      <c r="B6095" s="15"/>
      <c r="C6095" s="22"/>
    </row>
    <row r="6096">
      <c r="B6096" s="15"/>
      <c r="C6096" s="22"/>
    </row>
    <row r="6097">
      <c r="B6097" s="15"/>
      <c r="C6097" s="22"/>
    </row>
    <row r="6098">
      <c r="B6098" s="15"/>
      <c r="C6098" s="22"/>
    </row>
    <row r="6099">
      <c r="B6099" s="15"/>
    </row>
    <row r="6100">
      <c r="B6100" s="15"/>
      <c r="C6100" s="22"/>
    </row>
    <row r="6101">
      <c r="B6101" s="15"/>
      <c r="C6101" s="22"/>
    </row>
    <row r="6102">
      <c r="B6102" s="15"/>
      <c r="C6102" s="22"/>
    </row>
    <row r="6103">
      <c r="B6103" s="15"/>
      <c r="C6103" s="22"/>
    </row>
    <row r="6104">
      <c r="B6104" s="15"/>
      <c r="C6104" s="22"/>
    </row>
    <row r="6105">
      <c r="B6105" s="15"/>
    </row>
    <row r="6106">
      <c r="B6106" s="15"/>
    </row>
    <row r="6107">
      <c r="B6107" s="15"/>
    </row>
    <row r="6108">
      <c r="B6108" s="15"/>
    </row>
    <row r="6109">
      <c r="B6109" s="15"/>
    </row>
    <row r="6110">
      <c r="B6110" s="15"/>
    </row>
    <row r="6111">
      <c r="B6111" s="15"/>
    </row>
    <row r="6112">
      <c r="B6112" s="15"/>
    </row>
    <row r="6113">
      <c r="B6113" s="15"/>
    </row>
    <row r="6114">
      <c r="B6114" s="15"/>
    </row>
    <row r="6115">
      <c r="B6115" s="15"/>
    </row>
    <row r="6116">
      <c r="B6116" s="15"/>
    </row>
    <row r="6117">
      <c r="B6117" s="15"/>
    </row>
    <row r="6118">
      <c r="B6118" s="15"/>
    </row>
    <row r="6119">
      <c r="B6119" s="15"/>
    </row>
    <row r="6120">
      <c r="B6120" s="15"/>
    </row>
    <row r="6121">
      <c r="B6121" s="15"/>
    </row>
    <row r="6122">
      <c r="B6122" s="15"/>
    </row>
    <row r="6123">
      <c r="B6123" s="15"/>
    </row>
    <row r="6124">
      <c r="B6124" s="15"/>
    </row>
    <row r="6125">
      <c r="B6125" s="15"/>
    </row>
    <row r="6126">
      <c r="B6126" s="15"/>
    </row>
    <row r="6127">
      <c r="B6127" s="15"/>
    </row>
    <row r="6128">
      <c r="B6128" s="15"/>
    </row>
    <row r="6129">
      <c r="B6129" s="15"/>
    </row>
    <row r="6130">
      <c r="B6130" s="15"/>
    </row>
    <row r="6131">
      <c r="B6131" s="15"/>
    </row>
    <row r="6132">
      <c r="B6132" s="15"/>
    </row>
    <row r="6133">
      <c r="B6133" s="15"/>
    </row>
    <row r="6134">
      <c r="B6134" s="15"/>
    </row>
    <row r="6135">
      <c r="B6135" s="15"/>
    </row>
    <row r="6136">
      <c r="B6136" s="15"/>
    </row>
    <row r="6137">
      <c r="B6137" s="15"/>
    </row>
    <row r="6138">
      <c r="B6138" s="15"/>
    </row>
    <row r="6139">
      <c r="B6139" s="15"/>
    </row>
    <row r="6140">
      <c r="B6140" s="15"/>
    </row>
    <row r="6141">
      <c r="B6141" s="15"/>
    </row>
    <row r="6142">
      <c r="B6142" s="15"/>
    </row>
    <row r="6143">
      <c r="B6143" s="15"/>
    </row>
    <row r="6144">
      <c r="B6144" s="15"/>
    </row>
    <row r="6145">
      <c r="B6145" s="15"/>
    </row>
    <row r="6146">
      <c r="B6146" s="15"/>
    </row>
    <row r="6147">
      <c r="B6147" s="15"/>
    </row>
    <row r="6148">
      <c r="B6148" s="15"/>
    </row>
    <row r="6149">
      <c r="B6149" s="15"/>
    </row>
    <row r="6150">
      <c r="B6150" s="15"/>
    </row>
    <row r="6151">
      <c r="B6151" s="15"/>
    </row>
    <row r="6152">
      <c r="B6152" s="15"/>
    </row>
    <row r="6153">
      <c r="B6153" s="15"/>
    </row>
    <row r="6154">
      <c r="B6154" s="15"/>
    </row>
    <row r="6155">
      <c r="B6155" s="15"/>
    </row>
    <row r="6156">
      <c r="B6156" s="15"/>
    </row>
    <row r="6157">
      <c r="B6157" s="15"/>
    </row>
    <row r="6158">
      <c r="B6158" s="15"/>
    </row>
    <row r="6159">
      <c r="B6159" s="15"/>
    </row>
    <row r="6160">
      <c r="B6160" s="15"/>
    </row>
    <row r="6161">
      <c r="B6161" s="15"/>
    </row>
    <row r="6162">
      <c r="B6162" s="15"/>
    </row>
    <row r="6163">
      <c r="B6163" s="15"/>
    </row>
    <row r="6164">
      <c r="B6164" s="15"/>
    </row>
    <row r="6165">
      <c r="B6165" s="15"/>
    </row>
    <row r="6166">
      <c r="B6166" s="15"/>
    </row>
    <row r="6167">
      <c r="B6167" s="15"/>
    </row>
    <row r="6168">
      <c r="B6168" s="15"/>
    </row>
    <row r="6169">
      <c r="B6169" s="15"/>
    </row>
    <row r="6170">
      <c r="B6170" s="15"/>
    </row>
    <row r="6171">
      <c r="B6171" s="15"/>
    </row>
    <row r="6172">
      <c r="B6172" s="15"/>
    </row>
    <row r="6173">
      <c r="B6173" s="15"/>
    </row>
    <row r="6174">
      <c r="B6174" s="15"/>
    </row>
    <row r="6175">
      <c r="B6175" s="15"/>
    </row>
    <row r="6176">
      <c r="B6176" s="15"/>
    </row>
    <row r="6177">
      <c r="B6177" s="15"/>
    </row>
    <row r="6178">
      <c r="B6178" s="15"/>
    </row>
    <row r="6179">
      <c r="B6179" s="15"/>
    </row>
    <row r="6180">
      <c r="B6180" s="15"/>
    </row>
    <row r="6181">
      <c r="B6181" s="15"/>
    </row>
    <row r="6182">
      <c r="B6182" s="15"/>
    </row>
    <row r="6183">
      <c r="B6183" s="15"/>
    </row>
    <row r="6184">
      <c r="B6184" s="15"/>
    </row>
    <row r="6185">
      <c r="B6185" s="15"/>
    </row>
    <row r="6186">
      <c r="B6186" s="15"/>
    </row>
    <row r="6187">
      <c r="B6187" s="15"/>
    </row>
    <row r="6188">
      <c r="B6188" s="15"/>
    </row>
    <row r="6189">
      <c r="B6189" s="15"/>
    </row>
    <row r="6190">
      <c r="B6190" s="15"/>
    </row>
    <row r="6191">
      <c r="B6191" s="15"/>
    </row>
    <row r="6192">
      <c r="B6192" s="15"/>
    </row>
    <row r="6193">
      <c r="B6193" s="15"/>
    </row>
    <row r="6194">
      <c r="B6194" s="15"/>
    </row>
    <row r="6195">
      <c r="B6195" s="15"/>
    </row>
    <row r="6196">
      <c r="B6196" s="15"/>
    </row>
    <row r="6197">
      <c r="B6197" s="15"/>
    </row>
    <row r="6198">
      <c r="B6198" s="15"/>
    </row>
    <row r="6199">
      <c r="B6199" s="15"/>
    </row>
    <row r="6200">
      <c r="B6200" s="15"/>
    </row>
    <row r="6201">
      <c r="B6201" s="15"/>
    </row>
    <row r="6202">
      <c r="B6202" s="15"/>
    </row>
    <row r="6203">
      <c r="B6203" s="15"/>
    </row>
    <row r="6204">
      <c r="B6204" s="15"/>
    </row>
    <row r="6205">
      <c r="B6205" s="15"/>
    </row>
    <row r="6206">
      <c r="B6206" s="15"/>
    </row>
    <row r="6207">
      <c r="B6207" s="15"/>
    </row>
    <row r="6208">
      <c r="B6208" s="15"/>
    </row>
    <row r="6209">
      <c r="B6209" s="15"/>
    </row>
    <row r="6210">
      <c r="B6210" s="15"/>
    </row>
    <row r="6211">
      <c r="B6211" s="15"/>
    </row>
    <row r="6212">
      <c r="B6212" s="15"/>
    </row>
    <row r="6213">
      <c r="B6213" s="15"/>
    </row>
    <row r="6214">
      <c r="B6214" s="15"/>
    </row>
    <row r="6215">
      <c r="B6215" s="15"/>
    </row>
    <row r="6216">
      <c r="B6216" s="15"/>
    </row>
    <row r="6217">
      <c r="B6217" s="15"/>
    </row>
    <row r="6218">
      <c r="B6218" s="15"/>
    </row>
    <row r="6219">
      <c r="B6219" s="15"/>
    </row>
    <row r="6220">
      <c r="B6220" s="15"/>
    </row>
    <row r="6221">
      <c r="B6221" s="15"/>
    </row>
    <row r="6222">
      <c r="B6222" s="15"/>
    </row>
    <row r="6223">
      <c r="B6223" s="15"/>
    </row>
    <row r="6224">
      <c r="B6224" s="15"/>
    </row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</sheetData>
  <pageMargins left="0.7" right="0.7" top="0.75" bottom="0.75" header="0.3" footer="0.3"/>
  <pageSetup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I540"/>
  <sheetViews>
    <sheetView topLeftCell="B1" workbookViewId="0">
      <selection sqref="A1:I1"/>
    </sheetView>
  </sheetViews>
  <sheetFormatPr defaultRowHeight="15" x14ac:dyDescent="0.25"/>
  <cols>
    <col min="1" max="1" width="56" customWidth="1"/>
    <col min="2" max="2" width="37.85546875" customWidth="1"/>
    <col min="3" max="3" width="58.28515625" customWidth="1"/>
    <col min="4" max="4" width="26.85546875" customWidth="1"/>
    <col min="6" max="6" bestFit="1" width="14.140625" customWidth="1"/>
    <col min="7" max="7" bestFit="1" width="23.42578125" customWidth="1"/>
    <col min="8" max="8" bestFit="1" width="19.5703125" customWidth="1"/>
    <col min="9" max="9" width="27.5703125" customWidth="1"/>
  </cols>
  <sheetData>
    <row r="1">
      <c r="A1" s="9" t="str">
        <f ref="A1:A7" t="shared" si="0">IF(LanguageID=1,B1,C1)</f>
        <v>VENDA DE NOVOS</v>
      </c>
      <c r="B1" s="130" t="s">
        <v>3678</v>
      </c>
      <c r="C1" s="131" t="s">
        <v>3679</v>
      </c>
      <c r="F1" s="0" t="str">
        <f>Translation!$G$1</f>
        <v>VALOR</v>
      </c>
      <c r="G1" s="0" t="str">
        <f ref="G1:G32" t="shared" si="1">IF(LanguageID=1,H1,I1)</f>
        <v>VALOR</v>
      </c>
      <c r="H1" s="63" t="s">
        <v>3680</v>
      </c>
      <c r="I1" s="64" t="s">
        <v>3681</v>
      </c>
    </row>
    <row r="2">
      <c r="A2" s="9" t="str">
        <f t="shared" si="0"/>
        <v>VENDAS DE USADOS</v>
      </c>
      <c r="B2" s="130" t="s">
        <v>3682</v>
      </c>
      <c r="C2" s="131" t="s">
        <v>885</v>
      </c>
      <c r="F2" s="0" t="s">
        <v>8</v>
      </c>
      <c r="G2" s="0" t="str">
        <f t="shared" si="1"/>
        <v>CUSTO</v>
      </c>
      <c r="H2" s="63" t="s">
        <v>3683</v>
      </c>
      <c r="I2" s="64" t="s">
        <v>3684</v>
      </c>
    </row>
    <row r="3">
      <c r="A3" s="9" t="str">
        <f t="shared" si="0"/>
        <v>PEÇAS E ACESSÓRIOS</v>
      </c>
      <c r="B3" s="130" t="s">
        <v>3685</v>
      </c>
      <c r="C3" s="131" t="s">
        <v>2036</v>
      </c>
      <c r="F3" s="0" t="s">
        <v>1001</v>
      </c>
      <c r="G3" s="0" t="str">
        <f t="shared" si="1"/>
        <v>ABAT. E DESCONTO</v>
      </c>
      <c r="H3" s="63" t="s">
        <v>3686</v>
      </c>
      <c r="I3" s="64" t="s">
        <v>3687</v>
      </c>
    </row>
    <row r="4">
      <c r="A4" s="9" t="str">
        <f t="shared" si="0"/>
        <v>SERVIÇO</v>
      </c>
      <c r="B4" s="130" t="s">
        <v>3688</v>
      </c>
      <c r="C4" s="131" t="s">
        <v>3689</v>
      </c>
      <c r="F4" s="0" t="s">
        <v>3690</v>
      </c>
      <c r="G4" s="0" t="str">
        <f t="shared" si="1"/>
        <v>DIRECT PROFIT</v>
      </c>
      <c r="H4" s="63" t="s">
        <v>3691</v>
      </c>
      <c r="I4" s="64" t="s">
        <v>3691</v>
      </c>
    </row>
    <row r="5">
      <c r="A5" s="9" t="str">
        <f t="shared" si="0"/>
        <v>F &amp; I</v>
      </c>
      <c r="B5" s="130" t="s">
        <v>1248</v>
      </c>
      <c r="C5" s="131" t="s">
        <v>1248</v>
      </c>
      <c r="F5" s="0" t="s">
        <v>9</v>
      </c>
      <c r="G5" s="0" t="str">
        <f t="shared" si="1"/>
        <v>LUCRO BRUTO</v>
      </c>
      <c r="H5" s="63" t="s">
        <v>3692</v>
      </c>
      <c r="I5" s="64" t="s">
        <v>3693</v>
      </c>
    </row>
    <row r="6">
      <c r="A6" s="9" t="str">
        <f t="shared" si="0"/>
        <v>ADMIN</v>
      </c>
      <c r="B6" s="130" t="s">
        <v>3694</v>
      </c>
      <c r="C6" s="131" t="s">
        <v>1303</v>
      </c>
      <c r="F6" s="0" t="s">
        <v>3695</v>
      </c>
      <c r="G6" s="0" t="str">
        <f t="shared" si="1"/>
        <v>NUN. FUNCIONÁRIOS</v>
      </c>
      <c r="H6" s="63" t="s">
        <v>3696</v>
      </c>
      <c r="I6" s="64" t="s">
        <v>3697</v>
      </c>
    </row>
    <row r="7">
      <c r="A7" s="9" t="str">
        <f t="shared" si="0"/>
        <v>BALANÇO</v>
      </c>
      <c r="B7" s="130" t="s">
        <v>1972</v>
      </c>
      <c r="C7" s="131" t="s">
        <v>3698</v>
      </c>
      <c r="F7" s="0" t="s">
        <v>3699</v>
      </c>
      <c r="G7" s="0" t="str">
        <f t="shared" si="1"/>
        <v>HORAS</v>
      </c>
      <c r="H7" s="63" t="s">
        <v>3699</v>
      </c>
      <c r="I7" s="64" t="s">
        <v>3700</v>
      </c>
    </row>
    <row r="8">
      <c r="F8" s="0" t="s">
        <v>3701</v>
      </c>
      <c r="G8" s="0" t="str">
        <f t="shared" si="1"/>
        <v>O.S.</v>
      </c>
      <c r="H8" s="63" t="s">
        <v>3702</v>
      </c>
      <c r="I8" s="64" t="s">
        <v>3703</v>
      </c>
    </row>
    <row r="9">
      <c r="F9" s="0" t="s">
        <v>7</v>
      </c>
      <c r="G9" s="0" t="str">
        <f t="shared" si="1"/>
        <v>RECEITA LÍQUIDA</v>
      </c>
      <c r="H9" s="63" t="s">
        <v>3704</v>
      </c>
      <c r="I9" s="64" t="s">
        <v>3705</v>
      </c>
    </row>
    <row r="10">
      <c r="F10" s="0" t="s">
        <v>3706</v>
      </c>
      <c r="G10" s="0" t="str">
        <f t="shared" si="1"/>
        <v>TARIFA REAL</v>
      </c>
      <c r="H10" s="63" t="s">
        <v>3707</v>
      </c>
      <c r="I10" s="64" t="s">
        <v>3708</v>
      </c>
    </row>
    <row r="11" ht="30">
      <c r="F11" s="0" t="s">
        <v>3</v>
      </c>
      <c r="G11" s="0" t="str">
        <f>IF(LanguageID=1,H11,I11)</f>
        <v>RECEITA
(SEM IMPOSTOS)</v>
      </c>
      <c r="H11" s="63" t="s">
        <v>3</v>
      </c>
      <c r="I11" s="67" t="s">
        <v>3709</v>
      </c>
    </row>
    <row r="12">
      <c r="F12" s="0" t="s">
        <v>2</v>
      </c>
      <c r="G12" s="0" t="str">
        <f t="shared" si="1"/>
        <v>UNIDADES</v>
      </c>
      <c r="H12" s="63" t="s">
        <v>2</v>
      </c>
      <c r="I12" s="64" t="s">
        <v>3710</v>
      </c>
    </row>
    <row r="13">
      <c r="F13" s="0" t="s">
        <v>3711</v>
      </c>
      <c r="G13" s="0" t="str">
        <f t="shared" si="1"/>
        <v>VALOR</v>
      </c>
      <c r="H13" s="63" t="s">
        <v>3711</v>
      </c>
      <c r="I13" s="64" t="s">
        <v>3681</v>
      </c>
    </row>
    <row r="14" ht="30">
      <c r="F14" s="0" t="s">
        <v>5</v>
      </c>
      <c r="G14" s="0" t="str">
        <f t="shared" si="1"/>
        <v>DEVOLUÇÃO
DE VENDAS</v>
      </c>
      <c r="H14" s="63" t="s">
        <v>3712</v>
      </c>
      <c r="I14" s="67" t="s">
        <v>3713</v>
      </c>
    </row>
    <row r="15">
      <c r="F15" s="0" t="s">
        <v>3714</v>
      </c>
      <c r="G15" s="0" t="str">
        <f t="shared" si="1"/>
        <v>ÁREA</v>
      </c>
      <c r="H15" s="63" t="s">
        <v>3714</v>
      </c>
      <c r="I15" s="64" t="s">
        <v>3715</v>
      </c>
    </row>
    <row r="16">
      <c r="F16" s="0" t="s">
        <v>1863</v>
      </c>
      <c r="G16" s="0" t="str">
        <f t="shared" si="1"/>
        <v>NOVOS</v>
      </c>
      <c r="H16" s="63" t="s">
        <v>3716</v>
      </c>
      <c r="I16" s="64" t="s">
        <v>3717</v>
      </c>
    </row>
    <row r="17">
      <c r="F17" s="0" t="s">
        <v>1864</v>
      </c>
      <c r="G17" s="0" t="str">
        <f t="shared" si="1"/>
        <v>USADOS</v>
      </c>
      <c r="H17" s="63" t="s">
        <v>3718</v>
      </c>
      <c r="I17" s="64" t="s">
        <v>3719</v>
      </c>
    </row>
    <row r="18">
      <c r="B18" s="63" t="s">
        <v>3720</v>
      </c>
      <c r="C18" s="64" t="s">
        <v>3721</v>
      </c>
      <c r="F18" s="66" t="s">
        <v>1865</v>
      </c>
      <c r="G18" s="0" t="str">
        <f t="shared" si="1"/>
        <v>F &amp; I</v>
      </c>
      <c r="H18" s="63" t="s">
        <v>1248</v>
      </c>
      <c r="I18" s="64" t="s">
        <v>1248</v>
      </c>
    </row>
    <row r="19">
      <c r="A19" s="0" t="str">
        <f>IF(LanguageID=1,B19,C19)</f>
        <v>Localização: </v>
      </c>
      <c r="B19" s="0" t="s">
        <v>3722</v>
      </c>
      <c r="C19" s="0" t="s">
        <v>3723</v>
      </c>
      <c r="F19" s="0" t="s">
        <v>1866</v>
      </c>
      <c r="G19" s="0" t="str">
        <f t="shared" si="1"/>
        <v>PEÇAS E ACESS.</v>
      </c>
      <c r="H19" s="63" t="s">
        <v>3724</v>
      </c>
      <c r="I19" s="64" t="s">
        <v>3725</v>
      </c>
    </row>
    <row r="20">
      <c r="A20" s="0" t="str">
        <f>IF(LanguageID=1,B20,C20)</f>
        <v>Concessionário: </v>
      </c>
      <c r="B20" s="0" t="str">
        <f>IF(Data!D7="Composite", "Composite: ", "Dealer: ")</f>
        <v>Dealer: </v>
      </c>
      <c r="C20" s="0" t="str">
        <f>IF(Data!D7="Composite", "Comparativo: ", "Concessionário: ")</f>
        <v>Concessionário: </v>
      </c>
      <c r="F20" s="0" t="s">
        <v>1867</v>
      </c>
      <c r="G20" s="0" t="str">
        <f t="shared" si="1"/>
        <v>SERVIÇO</v>
      </c>
      <c r="H20" s="63" t="s">
        <v>3726</v>
      </c>
      <c r="I20" s="64" t="s">
        <v>3689</v>
      </c>
    </row>
    <row r="21">
      <c r="A21" s="0" t="str">
        <f>IF(LanguageID=1,B21,C21)</f>
        <v>Período: </v>
      </c>
      <c r="B21" s="0" t="s">
        <v>3727</v>
      </c>
      <c r="C21" s="0" t="s">
        <v>3728</v>
      </c>
      <c r="F21" s="0" t="s">
        <v>1868</v>
      </c>
      <c r="G21" s="0" t="str">
        <f t="shared" si="1"/>
        <v>ADM</v>
      </c>
      <c r="H21" s="63" t="s">
        <v>1303</v>
      </c>
      <c r="I21" s="64" t="s">
        <v>3729</v>
      </c>
    </row>
    <row r="22">
      <c r="A22" s="0" t="str">
        <f>IF(LanguageID=1,B22,C22)</f>
        <v>DRE YAMAHA BMI - Acumulado</v>
      </c>
      <c r="B22" s="0" t="s">
        <v>3730</v>
      </c>
      <c r="C22" s="0" t="s">
        <v>3731</v>
      </c>
      <c r="F22" s="0" t="s">
        <v>1869</v>
      </c>
      <c r="G22" s="0" t="str">
        <f t="shared" si="1"/>
        <v>TOTAL</v>
      </c>
      <c r="H22" s="63" t="s">
        <v>3732</v>
      </c>
      <c r="I22" s="64" t="s">
        <v>3732</v>
      </c>
    </row>
    <row r="23">
      <c r="A23" s="0" t="str">
        <f>IF(LanguageID=1,B23,C23)</f>
        <v>DRE YAMAHA BMI - Mês</v>
      </c>
      <c r="B23" s="0" t="s">
        <v>3733</v>
      </c>
      <c r="C23" s="0" t="s">
        <v>3734</v>
      </c>
      <c r="F23" s="0" t="s">
        <v>1305</v>
      </c>
      <c r="G23" s="0" t="str">
        <f t="shared" si="1"/>
        <v>NOVOS</v>
      </c>
      <c r="H23" s="63" t="s">
        <v>3716</v>
      </c>
      <c r="I23" s="64" t="s">
        <v>3717</v>
      </c>
    </row>
    <row r="24">
      <c r="F24" s="0" t="s">
        <v>1306</v>
      </c>
      <c r="G24" s="0" t="str">
        <f t="shared" si="1"/>
        <v>USADOS</v>
      </c>
      <c r="H24" s="63" t="s">
        <v>3718</v>
      </c>
      <c r="I24" s="64" t="s">
        <v>3719</v>
      </c>
    </row>
    <row r="25">
      <c r="F25" s="66" t="s">
        <v>1307</v>
      </c>
      <c r="G25" s="0" t="str">
        <f t="shared" si="1"/>
        <v>F &amp; I</v>
      </c>
      <c r="H25" s="63" t="s">
        <v>1248</v>
      </c>
      <c r="I25" s="64" t="s">
        <v>1248</v>
      </c>
    </row>
    <row r="26">
      <c r="F26" s="0" t="s">
        <v>1308</v>
      </c>
      <c r="G26" s="0" t="str">
        <f t="shared" si="1"/>
        <v>PEÇAS E ACESS.</v>
      </c>
      <c r="H26" s="63" t="s">
        <v>3724</v>
      </c>
      <c r="I26" s="64" t="s">
        <v>3725</v>
      </c>
    </row>
    <row r="27">
      <c r="F27" s="0" t="s">
        <v>1309</v>
      </c>
      <c r="G27" s="0" t="str">
        <f t="shared" si="1"/>
        <v>SERVIÇO</v>
      </c>
      <c r="H27" s="63" t="s">
        <v>3726</v>
      </c>
      <c r="I27" s="64" t="s">
        <v>3689</v>
      </c>
    </row>
    <row r="28">
      <c r="F28" s="0" t="s">
        <v>1310</v>
      </c>
      <c r="G28" s="0" t="str">
        <f t="shared" si="1"/>
        <v>ADM</v>
      </c>
      <c r="H28" s="63" t="s">
        <v>1303</v>
      </c>
      <c r="I28" s="64" t="s">
        <v>3729</v>
      </c>
    </row>
    <row r="29">
      <c r="F29" s="0" t="s">
        <v>1311</v>
      </c>
      <c r="G29" s="0" t="str">
        <f t="shared" si="1"/>
        <v>TOTAL</v>
      </c>
      <c r="H29" s="63" t="s">
        <v>3732</v>
      </c>
      <c r="I29" s="64" t="s">
        <v>3732</v>
      </c>
    </row>
    <row r="30">
      <c r="F30" s="0" t="str">
        <f>Translation!$G$30</f>
        <v>ESTOQUE FINAL</v>
      </c>
      <c r="G30" s="0" t="str">
        <f t="shared" si="1"/>
        <v>ESTOQUE FINAL</v>
      </c>
      <c r="H30" s="63" t="s">
        <v>3735</v>
      </c>
      <c r="I30" s="64" t="s">
        <v>3736</v>
      </c>
    </row>
    <row r="31">
      <c r="F31" s="0" t="s">
        <v>3737</v>
      </c>
      <c r="G31" s="0" t="str">
        <f t="shared" si="1"/>
        <v>%</v>
      </c>
      <c r="H31" s="63" t="s">
        <v>3738</v>
      </c>
      <c r="I31" s="65" t="s">
        <v>3739</v>
      </c>
    </row>
    <row r="32">
      <c r="F32" s="0" t="str">
        <f>Translation!$G$32</f>
        <v>CONTA</v>
      </c>
      <c r="G32" s="0" t="str">
        <f t="shared" si="1"/>
        <v>CONTA</v>
      </c>
      <c r="H32" s="63" t="s">
        <v>3740</v>
      </c>
      <c r="I32" s="64" t="s">
        <v>3741</v>
      </c>
    </row>
    <row r="33">
      <c r="F33" s="0" t="s">
        <v>4</v>
      </c>
      <c r="G33" s="0" t="s">
        <v>3742</v>
      </c>
      <c r="H33" s="63" t="s">
        <v>3743</v>
      </c>
      <c r="I33" s="64" t="s">
        <v>3742</v>
      </c>
    </row>
    <row r="35">
      <c r="A35" s="42" t="str">
        <f ref="A35:A103" t="shared" si="2">IF(LanguageID=1,B35,C35)</f>
        <v>LINHA SCOOTER &lt;200 cc</v>
      </c>
      <c r="B35" s="132" t="s">
        <v>3744</v>
      </c>
      <c r="C35" s="42" t="s">
        <v>1</v>
      </c>
    </row>
    <row r="36">
      <c r="A36" s="43" t="str">
        <f t="shared" si="2"/>
        <v>NEO 125</v>
      </c>
      <c r="B36" s="125" t="s">
        <v>11</v>
      </c>
      <c r="C36" s="43" t="s">
        <v>11</v>
      </c>
    </row>
    <row r="37">
      <c r="A37" s="43" t="str">
        <f t="shared" si="2"/>
        <v>NMAX 160 ABS</v>
      </c>
      <c r="B37" s="125" t="s">
        <v>21</v>
      </c>
      <c r="C37" s="43" t="s">
        <v>21</v>
      </c>
    </row>
    <row r="38">
      <c r="A38" s="42" t="str">
        <f t="shared" si="2"/>
        <v>LINHA SCOOTER &gt;200 cc</v>
      </c>
      <c r="B38" s="132" t="s">
        <v>3745</v>
      </c>
      <c r="C38" s="42" t="s">
        <v>30</v>
      </c>
    </row>
    <row r="39">
      <c r="A39" s="43" t="str">
        <f t="shared" si="2"/>
        <v>TMAX 530</v>
      </c>
      <c r="B39" s="125" t="s">
        <v>32</v>
      </c>
      <c r="C39" s="43" t="s">
        <v>32</v>
      </c>
    </row>
    <row r="40">
      <c r="A40" s="44" t="str">
        <f t="shared" si="2"/>
        <v>TOTAL DE VENDAS - SCOOTER</v>
      </c>
      <c r="B40" s="126" t="s">
        <v>3746</v>
      </c>
      <c r="C40" s="44" t="s">
        <v>62</v>
      </c>
    </row>
    <row r="41">
      <c r="A41" s="42" t="str">
        <f t="shared" si="2"/>
        <v>LINHA OFF ROAD</v>
      </c>
      <c r="B41" s="132" t="s">
        <v>3747</v>
      </c>
      <c r="C41" s="42" t="s">
        <v>71</v>
      </c>
    </row>
    <row r="42">
      <c r="A42" s="26" t="str">
        <f t="shared" si="2"/>
        <v>TTR 230 </v>
      </c>
      <c r="B42" s="29" t="s">
        <v>73</v>
      </c>
      <c r="C42" s="29" t="s">
        <v>73</v>
      </c>
    </row>
    <row r="43">
      <c r="A43" s="26" t="str">
        <f t="shared" si="2"/>
        <v>YZ 85LW</v>
      </c>
      <c r="B43" s="29" t="s">
        <v>82</v>
      </c>
      <c r="C43" s="29" t="s">
        <v>82</v>
      </c>
    </row>
    <row r="44">
      <c r="A44" s="26" t="str">
        <f t="shared" si="2"/>
        <v>YZ 250</v>
      </c>
      <c r="B44" s="29" t="s">
        <v>93</v>
      </c>
      <c r="C44" s="29" t="s">
        <v>93</v>
      </c>
    </row>
    <row r="45">
      <c r="A45" s="26" t="str">
        <f t="shared" si="2"/>
        <v>YZ 250F</v>
      </c>
      <c r="B45" s="29" t="s">
        <v>103</v>
      </c>
      <c r="C45" s="29" t="s">
        <v>103</v>
      </c>
    </row>
    <row r="46">
      <c r="A46" s="26" t="str">
        <f t="shared" si="2"/>
        <v>YZ 250FX</v>
      </c>
      <c r="B46" s="29" t="s">
        <v>113</v>
      </c>
      <c r="C46" s="29" t="s">
        <v>113</v>
      </c>
    </row>
    <row r="47">
      <c r="A47" s="26" t="str">
        <f t="shared" si="2"/>
        <v>YZ 250X</v>
      </c>
      <c r="B47" s="29" t="s">
        <v>122</v>
      </c>
      <c r="C47" s="29" t="s">
        <v>122</v>
      </c>
    </row>
    <row r="48">
      <c r="A48" s="26" t="str">
        <f t="shared" si="2"/>
        <v>YZ 450F</v>
      </c>
      <c r="B48" s="29" t="s">
        <v>133</v>
      </c>
      <c r="C48" s="29" t="s">
        <v>133</v>
      </c>
    </row>
    <row r="49">
      <c r="A49" s="26" t="str">
        <f t="shared" si="2"/>
        <v>YZ 450 FX</v>
      </c>
      <c r="B49" s="29" t="s">
        <v>142</v>
      </c>
      <c r="C49" s="29" t="s">
        <v>142</v>
      </c>
    </row>
    <row r="50">
      <c r="A50" s="26" t="str">
        <f t="shared" si="2"/>
        <v>WR 250F</v>
      </c>
      <c r="B50" s="29" t="s">
        <v>153</v>
      </c>
      <c r="C50" s="29" t="s">
        <v>153</v>
      </c>
    </row>
    <row r="51">
      <c r="A51" s="26" t="str">
        <f t="shared" si="2"/>
        <v>WR 450F</v>
      </c>
      <c r="B51" s="29" t="s">
        <v>162</v>
      </c>
      <c r="C51" s="29" t="s">
        <v>162</v>
      </c>
    </row>
    <row r="52">
      <c r="A52" s="44" t="str">
        <f t="shared" si="2"/>
        <v>TOTAL DE VENDAS - LINHA OFF ROAD</v>
      </c>
      <c r="B52" s="126" t="s">
        <v>3748</v>
      </c>
      <c r="C52" s="44" t="s">
        <v>173</v>
      </c>
    </row>
    <row r="53">
      <c r="A53" s="42" t="str">
        <f t="shared" si="2"/>
        <v>LINHA 125 cc</v>
      </c>
      <c r="B53" s="132" t="s">
        <v>3749</v>
      </c>
      <c r="C53" s="42" t="s">
        <v>182</v>
      </c>
    </row>
    <row r="54">
      <c r="A54" s="45" t="str">
        <f t="shared" si="2"/>
        <v>FACTOR YBR 125i ED</v>
      </c>
      <c r="B54" s="0" t="s">
        <v>184</v>
      </c>
      <c r="C54" s="45" t="s">
        <v>184</v>
      </c>
    </row>
    <row r="55">
      <c r="A55" s="44" t="str">
        <f t="shared" si="2"/>
        <v>TOTAL DE VENDAS - LINHA 125 cc</v>
      </c>
      <c r="B55" s="126" t="s">
        <v>3750</v>
      </c>
      <c r="C55" s="44" t="s">
        <v>204</v>
      </c>
    </row>
    <row r="56">
      <c r="A56" s="42" t="str">
        <f t="shared" si="2"/>
        <v>LINHA 150 cc - Street</v>
      </c>
      <c r="B56" s="132" t="s">
        <v>3751</v>
      </c>
      <c r="C56" s="42" t="s">
        <v>213</v>
      </c>
    </row>
    <row r="57">
      <c r="A57" s="45" t="str">
        <f t="shared" si="2"/>
        <v>FACTOR 150E</v>
      </c>
      <c r="B57" s="0" t="s">
        <v>215</v>
      </c>
      <c r="C57" s="45" t="s">
        <v>215</v>
      </c>
    </row>
    <row r="58">
      <c r="A58" s="45" t="str">
        <f t="shared" si="2"/>
        <v>FACTOR 150ED</v>
      </c>
      <c r="B58" s="0" t="s">
        <v>225</v>
      </c>
      <c r="C58" s="45" t="s">
        <v>225</v>
      </c>
    </row>
    <row r="59">
      <c r="A59" s="45" t="str">
        <f t="shared" si="2"/>
        <v>YS 150 FAZER SED</v>
      </c>
      <c r="B59" s="0" t="s">
        <v>235</v>
      </c>
      <c r="C59" s="45" t="s">
        <v>235</v>
      </c>
    </row>
    <row r="60">
      <c r="A60" s="42" t="str">
        <f t="shared" si="2"/>
        <v>LINHA 150 cc - On/Off</v>
      </c>
      <c r="B60" s="132" t="s">
        <v>3752</v>
      </c>
      <c r="C60" s="42" t="s">
        <v>264</v>
      </c>
    </row>
    <row r="61">
      <c r="A61" s="45" t="str">
        <f t="shared" si="2"/>
        <v>XTZ 150 CROSSER E</v>
      </c>
      <c r="B61" s="0" t="s">
        <v>266</v>
      </c>
      <c r="C61" s="45" t="s">
        <v>266</v>
      </c>
    </row>
    <row r="62">
      <c r="A62" s="45" t="str">
        <f t="shared" si="2"/>
        <v>XTZ 150 CROSSER ED</v>
      </c>
      <c r="B62" s="0" t="s">
        <v>276</v>
      </c>
      <c r="C62" s="45" t="s">
        <v>276</v>
      </c>
    </row>
    <row r="63">
      <c r="A63" s="44" t="str">
        <f t="shared" si="2"/>
        <v>TOTAL DE VENDAS - LINHA 150 cc</v>
      </c>
      <c r="B63" s="126" t="s">
        <v>3753</v>
      </c>
      <c r="C63" s="44" t="s">
        <v>306</v>
      </c>
    </row>
    <row r="64">
      <c r="A64" s="42" t="str">
        <f t="shared" si="2"/>
        <v>LINHA 250 cc - Street</v>
      </c>
      <c r="B64" s="132" t="s">
        <v>3754</v>
      </c>
      <c r="C64" s="42" t="s">
        <v>315</v>
      </c>
    </row>
    <row r="65">
      <c r="A65" s="45" t="str">
        <f t="shared" si="2"/>
        <v>YS 250 FAZER BLUEFLEX</v>
      </c>
      <c r="B65" s="0" t="s">
        <v>317</v>
      </c>
      <c r="C65" s="45" t="s">
        <v>317</v>
      </c>
    </row>
    <row r="66">
      <c r="A66" s="42" t="str">
        <f t="shared" si="2"/>
        <v>LINHA 250 cc - On/Off</v>
      </c>
      <c r="B66" s="132" t="s">
        <v>3755</v>
      </c>
      <c r="C66" s="42" t="s">
        <v>336</v>
      </c>
    </row>
    <row r="67">
      <c r="A67" s="45" t="str">
        <f t="shared" si="2"/>
        <v>XTZ 250 LANDER</v>
      </c>
      <c r="B67" s="0" t="s">
        <v>338</v>
      </c>
      <c r="C67" s="45" t="s">
        <v>338</v>
      </c>
    </row>
    <row r="68">
      <c r="A68" s="45" t="str">
        <f t="shared" si="2"/>
        <v>XTZ 250 TENERE</v>
      </c>
      <c r="B68" s="0" t="s">
        <v>348</v>
      </c>
      <c r="C68" s="45" t="s">
        <v>348</v>
      </c>
    </row>
    <row r="69">
      <c r="A69" s="44" t="str">
        <f t="shared" si="2"/>
        <v>TOTAL DE VENDAS - LINHA 250 cc</v>
      </c>
      <c r="B69" s="126" t="s">
        <v>3756</v>
      </c>
      <c r="C69" s="44" t="s">
        <v>358</v>
      </c>
    </row>
    <row r="70">
      <c r="A70" s="42" t="str">
        <f t="shared" si="2"/>
        <v>LINHA 320 cc</v>
      </c>
      <c r="B70" s="132" t="s">
        <v>3757</v>
      </c>
      <c r="C70" s="42" t="s">
        <v>367</v>
      </c>
    </row>
    <row r="71">
      <c r="A71" s="45" t="str">
        <f t="shared" si="2"/>
        <v>YZF R3 </v>
      </c>
      <c r="B71" s="0" t="s">
        <v>369</v>
      </c>
      <c r="C71" s="45" t="s">
        <v>369</v>
      </c>
    </row>
    <row r="72">
      <c r="A72" s="45" t="str">
        <f t="shared" si="2"/>
        <v>YZF R3 ABS</v>
      </c>
      <c r="B72" s="0" t="s">
        <v>379</v>
      </c>
      <c r="C72" s="45" t="s">
        <v>379</v>
      </c>
    </row>
    <row r="73">
      <c r="A73" s="45" t="str">
        <f t="shared" si="2"/>
        <v>MT03</v>
      </c>
      <c r="B73" s="0" t="s">
        <v>389</v>
      </c>
      <c r="C73" s="45" t="s">
        <v>389</v>
      </c>
    </row>
    <row r="74">
      <c r="A74" s="45" t="str">
        <f t="shared" si="2"/>
        <v>MT03 ABS</v>
      </c>
      <c r="B74" s="0" t="s">
        <v>399</v>
      </c>
      <c r="C74" s="45" t="s">
        <v>399</v>
      </c>
    </row>
    <row r="75">
      <c r="A75" s="44" t="str">
        <f t="shared" si="2"/>
        <v>TOTAL DE VENDAS - LINHA 320 cc</v>
      </c>
      <c r="B75" s="126" t="s">
        <v>3758</v>
      </c>
      <c r="C75" s="44" t="s">
        <v>409</v>
      </c>
    </row>
    <row r="76">
      <c r="A76" s="42" t="str">
        <f t="shared" si="2"/>
        <v>LINHA &gt; 500 cc</v>
      </c>
      <c r="B76" s="132" t="s">
        <v>3759</v>
      </c>
      <c r="C76" s="42" t="s">
        <v>418</v>
      </c>
    </row>
    <row r="77">
      <c r="A77" s="45" t="str">
        <f t="shared" si="2"/>
        <v>XJ6 N ABS</v>
      </c>
      <c r="B77" s="0" t="s">
        <v>420</v>
      </c>
      <c r="C77" s="45" t="s">
        <v>420</v>
      </c>
    </row>
    <row r="78">
      <c r="A78" s="45" t="str">
        <f t="shared" si="2"/>
        <v>XJ6 F ABS</v>
      </c>
      <c r="B78" s="0" t="s">
        <v>430</v>
      </c>
      <c r="C78" s="45" t="s">
        <v>430</v>
      </c>
    </row>
    <row r="79">
      <c r="A79" s="45" t="str">
        <f t="shared" si="2"/>
        <v>XT 660R</v>
      </c>
      <c r="B79" s="0" t="s">
        <v>440</v>
      </c>
      <c r="C79" s="45" t="s">
        <v>440</v>
      </c>
    </row>
    <row r="80">
      <c r="A80" s="45" t="str">
        <f t="shared" si="2"/>
        <v>XT 660Z TENERE ABS</v>
      </c>
      <c r="B80" s="0" t="s">
        <v>450</v>
      </c>
      <c r="C80" s="45" t="s">
        <v>450</v>
      </c>
    </row>
    <row r="81">
      <c r="A81" s="45" t="str">
        <f t="shared" si="2"/>
        <v>MT07</v>
      </c>
      <c r="B81" s="0" t="s">
        <v>460</v>
      </c>
      <c r="C81" s="45" t="s">
        <v>460</v>
      </c>
    </row>
    <row r="82">
      <c r="A82" s="45" t="str">
        <f t="shared" si="2"/>
        <v>MT07 ABS</v>
      </c>
      <c r="B82" s="0" t="s">
        <v>470</v>
      </c>
      <c r="C82" s="45" t="s">
        <v>470</v>
      </c>
    </row>
    <row r="83">
      <c r="A83" s="45" t="str">
        <f t="shared" si="2"/>
        <v>MT09</v>
      </c>
      <c r="B83" s="0" t="s">
        <v>480</v>
      </c>
      <c r="C83" s="45" t="s">
        <v>480</v>
      </c>
    </row>
    <row r="84">
      <c r="A84" s="45" t="str">
        <f t="shared" si="2"/>
        <v>MT09 SP</v>
      </c>
      <c r="B84" s="0" t="s">
        <v>490</v>
      </c>
      <c r="C84" s="45" t="s">
        <v>490</v>
      </c>
    </row>
    <row r="85">
      <c r="A85" s="45" t="str">
        <f t="shared" si="2"/>
        <v>MT09 TRACER</v>
      </c>
      <c r="B85" s="0" t="s">
        <v>500</v>
      </c>
      <c r="C85" s="45" t="s">
        <v>500</v>
      </c>
    </row>
    <row r="86">
      <c r="A86" s="45" t="str">
        <f t="shared" si="2"/>
        <v>YZF R1</v>
      </c>
      <c r="B86" s="0" t="s">
        <v>510</v>
      </c>
      <c r="C86" s="45" t="s">
        <v>510</v>
      </c>
    </row>
    <row r="87">
      <c r="A87" s="45" t="str">
        <f t="shared" si="2"/>
        <v>YZF R1M</v>
      </c>
      <c r="B87" s="0" t="s">
        <v>520</v>
      </c>
      <c r="C87" s="45" t="s">
        <v>520</v>
      </c>
    </row>
    <row r="88">
      <c r="A88" s="44" t="str">
        <f t="shared" si="2"/>
        <v>TOTAL DE VENDAS - LINHA &gt; 500 cc</v>
      </c>
      <c r="B88" s="126" t="s">
        <v>3760</v>
      </c>
      <c r="C88" s="44" t="s">
        <v>560</v>
      </c>
    </row>
    <row r="89">
      <c r="A89" s="45" t="str">
        <f t="shared" si="2"/>
        <v>TOTAL OUTROS</v>
      </c>
      <c r="B89" s="0" t="s">
        <v>3761</v>
      </c>
      <c r="C89" s="45" t="s">
        <v>1115</v>
      </c>
    </row>
    <row r="90">
      <c r="A90" s="44" t="str">
        <f t="shared" si="2"/>
        <v>TOTAL DE VENDAS DE NOVOS - MOTOCICLETAS</v>
      </c>
      <c r="B90" s="126" t="s">
        <v>3762</v>
      </c>
      <c r="C90" s="44" t="s">
        <v>580</v>
      </c>
    </row>
    <row r="91">
      <c r="A91" s="42" t="str">
        <f t="shared" si="2"/>
        <v>LINHA NÁUTICA</v>
      </c>
      <c r="B91" s="132" t="s">
        <v>3763</v>
      </c>
      <c r="C91" s="42" t="s">
        <v>589</v>
      </c>
    </row>
    <row r="92">
      <c r="A92" s="45" t="str">
        <f t="shared" si="2"/>
        <v>MOTORES</v>
      </c>
      <c r="B92" s="0" t="s">
        <v>3764</v>
      </c>
      <c r="C92" s="45" t="s">
        <v>591</v>
      </c>
    </row>
    <row r="93">
      <c r="A93" s="45" t="str">
        <f t="shared" si="2"/>
        <v>WAVERUNNER</v>
      </c>
      <c r="B93" s="0" t="s">
        <v>601</v>
      </c>
      <c r="C93" s="45" t="s">
        <v>601</v>
      </c>
    </row>
    <row r="94">
      <c r="A94" s="44" t="str">
        <f t="shared" si="2"/>
        <v>TOTAL DE VENDAS - LINHA NAÚTICA</v>
      </c>
      <c r="B94" s="126" t="s">
        <v>3765</v>
      </c>
      <c r="C94" s="44" t="s">
        <v>611</v>
      </c>
    </row>
    <row r="95">
      <c r="A95" s="42" t="str">
        <f t="shared" si="2"/>
        <v>LINHA QUADRICICLOS</v>
      </c>
      <c r="B95" s="132" t="s">
        <v>3766</v>
      </c>
      <c r="C95" s="42" t="s">
        <v>620</v>
      </c>
    </row>
    <row r="96">
      <c r="A96" s="45" t="str">
        <f t="shared" si="2"/>
        <v>MODELO 1</v>
      </c>
      <c r="B96" s="0" t="s">
        <v>3767</v>
      </c>
      <c r="C96" s="45" t="s">
        <v>622</v>
      </c>
    </row>
    <row r="97">
      <c r="A97" s="45" t="str">
        <f t="shared" si="2"/>
        <v>MODELO 2</v>
      </c>
      <c r="B97" s="0" t="s">
        <v>3768</v>
      </c>
      <c r="C97" s="45" t="s">
        <v>632</v>
      </c>
    </row>
    <row r="98">
      <c r="A98" s="45" t="str">
        <f t="shared" si="2"/>
        <v>MODELO 3</v>
      </c>
      <c r="B98" s="0" t="s">
        <v>3769</v>
      </c>
      <c r="C98" s="45" t="s">
        <v>642</v>
      </c>
    </row>
    <row r="99">
      <c r="A99" s="44" t="str">
        <f t="shared" si="2"/>
        <v>TOTAL DE VENDAS - LINHA QUADRICICLOS</v>
      </c>
      <c r="B99" s="126" t="s">
        <v>3770</v>
      </c>
      <c r="C99" s="44" t="s">
        <v>652</v>
      </c>
    </row>
    <row r="100">
      <c r="A100" s="44" t="str">
        <f t="shared" si="2"/>
        <v>TOTAL DE VENDAS DE VEÍCULOS</v>
      </c>
      <c r="B100" s="126" t="s">
        <v>3771</v>
      </c>
      <c r="C100" s="44" t="s">
        <v>662</v>
      </c>
    </row>
    <row r="101">
      <c r="A101" s="42" t="str">
        <f t="shared" si="2"/>
        <v>OUTRAS RECEITAS OPERACIONAIS</v>
      </c>
      <c r="B101" s="132" t="s">
        <v>3772</v>
      </c>
      <c r="C101" s="42" t="s">
        <v>671</v>
      </c>
    </row>
    <row r="102">
      <c r="A102" s="45" t="str">
        <f t="shared" si="2"/>
        <v>INCENTIVOS DE VAREJO</v>
      </c>
      <c r="B102" s="0" t="s">
        <v>3773</v>
      </c>
      <c r="C102" s="45" t="s">
        <v>673</v>
      </c>
    </row>
    <row r="103">
      <c r="A103" s="45" t="str">
        <f t="shared" si="2"/>
        <v>BONIFICAÇÕES 1</v>
      </c>
      <c r="B103" s="0" t="s">
        <v>3774</v>
      </c>
      <c r="C103" s="45" t="s">
        <v>676</v>
      </c>
    </row>
    <row r="104">
      <c r="A104" s="45" t="str">
        <f ref="A104:A171" t="shared" si="3">IF(LanguageID=1,B104,C104)</f>
        <v>BONIFICAÇÕES 2</v>
      </c>
      <c r="B104" s="0" t="s">
        <v>3775</v>
      </c>
      <c r="C104" s="45" t="s">
        <v>679</v>
      </c>
    </row>
    <row r="105">
      <c r="A105" s="45" t="str">
        <f t="shared" si="3"/>
        <v>COMISSÕES DIVERSAS</v>
      </c>
      <c r="B105" s="0" t="s">
        <v>3776</v>
      </c>
      <c r="C105" s="45" t="s">
        <v>682</v>
      </c>
    </row>
    <row r="106">
      <c r="A106" s="45" t="str">
        <f t="shared" si="3"/>
        <v>OUTRAS RECEITAS</v>
      </c>
      <c r="B106" s="0" t="s">
        <v>3777</v>
      </c>
      <c r="C106" s="45" t="s">
        <v>685</v>
      </c>
    </row>
    <row r="107">
      <c r="A107" s="44" t="str">
        <f t="shared" si="3"/>
        <v>TOTAL DE OUTRAS RECEITAS OPERACIONAIS</v>
      </c>
      <c r="B107" s="126" t="s">
        <v>3778</v>
      </c>
      <c r="C107" s="44" t="s">
        <v>688</v>
      </c>
    </row>
    <row r="108">
      <c r="A108" s="42" t="str">
        <f t="shared" si="3"/>
        <v>DESPESAS VARIÁVEIS</v>
      </c>
      <c r="B108" s="132" t="s">
        <v>3779</v>
      </c>
      <c r="C108" s="42" t="s">
        <v>690</v>
      </c>
    </row>
    <row r="109">
      <c r="A109" s="45" t="str">
        <f t="shared" si="3"/>
        <v>COMISSÕES SOBRE VENDAS</v>
      </c>
      <c r="B109" s="0" t="s">
        <v>3780</v>
      </c>
      <c r="C109" s="45" t="s">
        <v>692</v>
      </c>
    </row>
    <row r="110">
      <c r="A110" s="45" t="str">
        <f t="shared" si="3"/>
        <v>ENCARGOS SOBRE COMISSÕES (-)</v>
      </c>
      <c r="B110" s="0" t="s">
        <v>3781</v>
      </c>
      <c r="C110" s="45" t="s">
        <v>695</v>
      </c>
    </row>
    <row r="111">
      <c r="A111" s="45" t="str">
        <f t="shared" si="3"/>
        <v>OUTRAS DESPESAS</v>
      </c>
      <c r="B111" s="0" t="s">
        <v>3782</v>
      </c>
      <c r="C111" s="45" t="s">
        <v>698</v>
      </c>
    </row>
    <row r="112">
      <c r="A112" s="44" t="str">
        <f t="shared" si="3"/>
        <v>TOTAL DE DESPESAS VARIÁVEIS</v>
      </c>
      <c r="B112" s="126" t="s">
        <v>3783</v>
      </c>
      <c r="C112" s="44" t="s">
        <v>701</v>
      </c>
    </row>
    <row r="113">
      <c r="A113" s="27" t="str">
        <f t="shared" si="3"/>
        <v>MARGEM DE CONTRIBUIÇÃO</v>
      </c>
      <c r="B113" s="27" t="s">
        <v>3784</v>
      </c>
      <c r="C113" s="27" t="s">
        <v>703</v>
      </c>
    </row>
    <row r="114">
      <c r="A114" s="44" t="str">
        <f t="shared" si="3"/>
        <v>MARGEM DE CONTRIBUIÇÃO</v>
      </c>
      <c r="B114" s="126" t="s">
        <v>3784</v>
      </c>
      <c r="C114" s="44" t="s">
        <v>703</v>
      </c>
    </row>
    <row r="115">
      <c r="A115" s="27" t="str">
        <f t="shared" si="3"/>
        <v>DESPESAS</v>
      </c>
      <c r="B115" s="27" t="s">
        <v>3785</v>
      </c>
      <c r="C115" s="27" t="s">
        <v>706</v>
      </c>
    </row>
    <row r="116">
      <c r="A116" s="44" t="str">
        <f t="shared" si="3"/>
        <v>TOTAL DE DESPESAS COM PESSOAL (A)</v>
      </c>
      <c r="B116" s="126" t="s">
        <v>3786</v>
      </c>
      <c r="C116" s="44" t="s">
        <v>708</v>
      </c>
    </row>
    <row r="117">
      <c r="A117" s="44" t="str">
        <f t="shared" si="3"/>
        <v>TOTAL DE DESPESAS COM ESTRUTURA - IMÓVEIS (B)</v>
      </c>
      <c r="B117" s="126" t="s">
        <v>3787</v>
      </c>
      <c r="C117" s="44" t="s">
        <v>711</v>
      </c>
    </row>
    <row r="118">
      <c r="A118" s="44" t="str">
        <f t="shared" si="3"/>
        <v>TOTAL DE DESPESAS GERAIS (C)</v>
      </c>
      <c r="B118" s="126" t="s">
        <v>3788</v>
      </c>
      <c r="C118" s="44" t="s">
        <v>714</v>
      </c>
    </row>
    <row r="119">
      <c r="A119" s="44" t="str">
        <f t="shared" si="3"/>
        <v>TOTAL DE DESPESAS FIXAS (A+B+C)</v>
      </c>
      <c r="B119" s="126" t="s">
        <v>3789</v>
      </c>
      <c r="C119" s="44" t="s">
        <v>3790</v>
      </c>
    </row>
    <row r="120">
      <c r="A120" s="28" t="str">
        <f t="shared" si="3"/>
        <v>LUCRO / PREJUÍZO OPERACIONAL</v>
      </c>
      <c r="B120" s="28" t="s">
        <v>3791</v>
      </c>
      <c r="C120" s="28" t="s">
        <v>719</v>
      </c>
    </row>
    <row r="121">
      <c r="A121" s="44" t="str">
        <f t="shared" si="3"/>
        <v>LUCRO / PREJUÍZO OPERACIONAL</v>
      </c>
      <c r="B121" s="126" t="s">
        <v>3791</v>
      </c>
      <c r="C121" s="44" t="s">
        <v>719</v>
      </c>
    </row>
    <row r="122">
      <c r="A122" s="28" t="str">
        <f t="shared" si="3"/>
        <v>DESPESAS / RECEITAS NÃO-OPERACIONAIS E FINANCEIRAS </v>
      </c>
      <c r="B122" s="28" t="s">
        <v>3792</v>
      </c>
      <c r="C122" s="28" t="s">
        <v>722</v>
      </c>
    </row>
    <row r="123">
      <c r="A123" s="31" t="str">
        <f t="shared" si="3"/>
        <v>TOTAL DE DESPESAS NÃO-OPERACIONAIS</v>
      </c>
      <c r="B123" s="133" t="s">
        <v>3793</v>
      </c>
      <c r="C123" s="48" t="s">
        <v>724</v>
      </c>
    </row>
    <row r="124">
      <c r="A124" s="31" t="str">
        <f t="shared" si="3"/>
        <v>TOTAL DE DESPESAS FINANCEIRAS</v>
      </c>
      <c r="B124" s="133" t="s">
        <v>3794</v>
      </c>
      <c r="C124" s="48" t="s">
        <v>727</v>
      </c>
    </row>
    <row r="125">
      <c r="A125" s="31" t="str">
        <f t="shared" si="3"/>
        <v>TOTAL DE RECEITAS NÃO-OPERACIONAIS</v>
      </c>
      <c r="B125" s="133" t="s">
        <v>3795</v>
      </c>
      <c r="C125" s="48" t="s">
        <v>730</v>
      </c>
    </row>
    <row r="126">
      <c r="A126" s="31" t="str">
        <f t="shared" si="3"/>
        <v>TOTAL DE RECEITAS FINANCEIRAS</v>
      </c>
      <c r="B126" s="133" t="s">
        <v>3796</v>
      </c>
      <c r="C126" s="48" t="s">
        <v>733</v>
      </c>
    </row>
    <row r="127">
      <c r="A127" s="27" t="str">
        <f t="shared" si="3"/>
        <v>FLOOR PLAN</v>
      </c>
      <c r="B127" s="27" t="s">
        <v>735</v>
      </c>
      <c r="C127" s="27" t="s">
        <v>735</v>
      </c>
    </row>
    <row r="128">
      <c r="A128" s="29" t="str">
        <f t="shared" si="3"/>
        <v>IOF </v>
      </c>
      <c r="B128" s="29" t="s">
        <v>737</v>
      </c>
      <c r="C128" s="29" t="s">
        <v>737</v>
      </c>
    </row>
    <row r="129">
      <c r="A129" s="29" t="str">
        <f t="shared" si="3"/>
        <v>JUROS CONTRATUAIS</v>
      </c>
      <c r="B129" s="29" t="s">
        <v>3797</v>
      </c>
      <c r="C129" s="29" t="s">
        <v>740</v>
      </c>
    </row>
    <row r="130">
      <c r="A130" s="29" t="str">
        <f t="shared" si="3"/>
        <v>JUROS DE MORA</v>
      </c>
      <c r="B130" s="29" t="s">
        <v>3798</v>
      </c>
      <c r="C130" s="29" t="s">
        <v>743</v>
      </c>
    </row>
    <row r="131">
      <c r="A131" s="44" t="str">
        <f t="shared" si="3"/>
        <v>TOTAL DE DESPESAS DE FLOOR PLAN</v>
      </c>
      <c r="B131" s="126" t="s">
        <v>3799</v>
      </c>
      <c r="C131" s="44" t="s">
        <v>746</v>
      </c>
    </row>
    <row r="132">
      <c r="A132" s="27" t="str">
        <f t="shared" si="3"/>
        <v>RESULTADO DEPARTAMENTAL</v>
      </c>
      <c r="B132" s="27" t="s">
        <v>3800</v>
      </c>
      <c r="C132" s="27" t="s">
        <v>748</v>
      </c>
    </row>
    <row r="133">
      <c r="A133" s="44" t="str">
        <f t="shared" si="3"/>
        <v>RESULTADO DO DEPARTAMENTO DE NOVOS</v>
      </c>
      <c r="B133" s="133" t="s">
        <v>3801</v>
      </c>
      <c r="C133" s="44" t="s">
        <v>750</v>
      </c>
    </row>
    <row r="134">
      <c r="A134" s="27" t="str">
        <f t="shared" si="3"/>
        <v>ESTOQUE - LINHA SCOOTER &lt;200 cc</v>
      </c>
      <c r="B134" s="27" t="s">
        <v>3802</v>
      </c>
      <c r="C134" s="27" t="s">
        <v>752</v>
      </c>
    </row>
    <row r="135">
      <c r="A135" s="29" t="str">
        <f t="shared" si="3"/>
        <v>NEO 125</v>
      </c>
      <c r="B135" s="29" t="s">
        <v>11</v>
      </c>
      <c r="C135" s="29" t="s">
        <v>11</v>
      </c>
    </row>
    <row r="136">
      <c r="A136" s="29" t="str">
        <f t="shared" si="3"/>
        <v>NMAX 160 ABS</v>
      </c>
      <c r="B136" s="29" t="s">
        <v>21</v>
      </c>
      <c r="C136" s="29" t="s">
        <v>21</v>
      </c>
    </row>
    <row r="137">
      <c r="A137" s="27" t="str">
        <f t="shared" si="3"/>
        <v>ESTOQUE - LINHA SCOOTER &gt;200 cc</v>
      </c>
      <c r="B137" s="27" t="s">
        <v>3803</v>
      </c>
      <c r="C137" s="27" t="s">
        <v>757</v>
      </c>
    </row>
    <row r="138">
      <c r="A138" s="29" t="str">
        <f t="shared" si="3"/>
        <v>TMAX 530</v>
      </c>
      <c r="B138" s="29" t="s">
        <v>32</v>
      </c>
      <c r="C138" s="29" t="s">
        <v>32</v>
      </c>
    </row>
    <row r="139">
      <c r="A139" s="27" t="str">
        <f t="shared" si="3"/>
        <v>ESTOQUE - LINHA OFF ROAD</v>
      </c>
      <c r="B139" s="27" t="s">
        <v>3804</v>
      </c>
      <c r="C139" s="27" t="s">
        <v>764</v>
      </c>
    </row>
    <row r="140">
      <c r="A140" s="29" t="str">
        <f t="shared" si="3"/>
        <v>TTR 230 </v>
      </c>
      <c r="B140" s="29" t="s">
        <v>73</v>
      </c>
      <c r="C140" s="29" t="s">
        <v>73</v>
      </c>
    </row>
    <row r="141">
      <c r="A141" s="29" t="str">
        <f t="shared" si="3"/>
        <v>YZ 85LW</v>
      </c>
      <c r="B141" s="29" t="s">
        <v>82</v>
      </c>
      <c r="C141" s="29" t="s">
        <v>82</v>
      </c>
    </row>
    <row r="142">
      <c r="A142" s="29" t="str">
        <f t="shared" si="3"/>
        <v>YZ 250</v>
      </c>
      <c r="B142" s="29" t="s">
        <v>93</v>
      </c>
      <c r="C142" s="29" t="s">
        <v>93</v>
      </c>
    </row>
    <row r="143">
      <c r="A143" s="29" t="str">
        <f t="shared" si="3"/>
        <v>YZ 250F</v>
      </c>
      <c r="B143" s="29" t="s">
        <v>103</v>
      </c>
      <c r="C143" s="29" t="s">
        <v>103</v>
      </c>
    </row>
    <row r="144">
      <c r="A144" s="29" t="str">
        <f t="shared" si="3"/>
        <v>YZ 250FX</v>
      </c>
      <c r="B144" s="29" t="s">
        <v>113</v>
      </c>
      <c r="C144" s="29" t="s">
        <v>113</v>
      </c>
    </row>
    <row r="145">
      <c r="A145" s="29" t="str">
        <f t="shared" si="3"/>
        <v>YZ 250X </v>
      </c>
      <c r="B145" s="29" t="s">
        <v>776</v>
      </c>
      <c r="C145" s="29" t="s">
        <v>776</v>
      </c>
    </row>
    <row r="146">
      <c r="A146" s="29" t="str">
        <f t="shared" si="3"/>
        <v>YZ 450F</v>
      </c>
      <c r="B146" s="29" t="s">
        <v>133</v>
      </c>
      <c r="C146" s="29" t="s">
        <v>133</v>
      </c>
    </row>
    <row r="147">
      <c r="A147" s="29" t="str">
        <f t="shared" si="3"/>
        <v>YZ 450FX</v>
      </c>
      <c r="B147" s="29" t="s">
        <v>781</v>
      </c>
      <c r="C147" s="29" t="s">
        <v>781</v>
      </c>
    </row>
    <row r="148">
      <c r="A148" s="29" t="str">
        <f t="shared" si="3"/>
        <v>WR 250F</v>
      </c>
      <c r="B148" s="29" t="s">
        <v>153</v>
      </c>
      <c r="C148" s="29" t="s">
        <v>153</v>
      </c>
    </row>
    <row r="149">
      <c r="A149" s="29" t="str">
        <f t="shared" si="3"/>
        <v>WR 450F</v>
      </c>
      <c r="B149" s="29" t="s">
        <v>162</v>
      </c>
      <c r="C149" s="29" t="s">
        <v>162</v>
      </c>
    </row>
    <row r="150">
      <c r="A150" s="27" t="str">
        <f t="shared" si="3"/>
        <v>ESTOQUE - LINHA 125 cc</v>
      </c>
      <c r="B150" s="27" t="s">
        <v>3805</v>
      </c>
      <c r="C150" s="27" t="s">
        <v>787</v>
      </c>
    </row>
    <row r="151">
      <c r="A151" s="29" t="str">
        <f t="shared" si="3"/>
        <v>FACTOR YBR 125i ED</v>
      </c>
      <c r="B151" s="29" t="s">
        <v>184</v>
      </c>
      <c r="C151" s="29" t="s">
        <v>184</v>
      </c>
    </row>
    <row r="152">
      <c r="A152" s="27" t="str">
        <f t="shared" si="3"/>
        <v>ESTOQUE - LINHA 150 cc - Street</v>
      </c>
      <c r="B152" s="27" t="s">
        <v>3806</v>
      </c>
      <c r="C152" s="27" t="s">
        <v>792</v>
      </c>
    </row>
    <row r="153">
      <c r="A153" s="29" t="str">
        <f t="shared" si="3"/>
        <v>FACTOR 150E</v>
      </c>
      <c r="B153" s="29" t="s">
        <v>215</v>
      </c>
      <c r="C153" s="29" t="s">
        <v>215</v>
      </c>
    </row>
    <row r="154">
      <c r="A154" s="29" t="str">
        <f t="shared" si="3"/>
        <v>FACTOR 150ED</v>
      </c>
      <c r="B154" s="29" t="s">
        <v>225</v>
      </c>
      <c r="C154" s="29" t="s">
        <v>225</v>
      </c>
    </row>
    <row r="155">
      <c r="A155" s="29" t="str">
        <f t="shared" si="3"/>
        <v>YS 150 FAZER SED</v>
      </c>
      <c r="B155" s="29" t="s">
        <v>235</v>
      </c>
      <c r="C155" s="29" t="s">
        <v>235</v>
      </c>
    </row>
    <row r="156">
      <c r="A156" s="27" t="str">
        <f t="shared" si="3"/>
        <v>ESTOQUE - LINHA 150 cc - On/Off</v>
      </c>
      <c r="B156" s="27" t="s">
        <v>3807</v>
      </c>
      <c r="C156" s="27" t="s">
        <v>803</v>
      </c>
    </row>
    <row r="157">
      <c r="A157" s="29" t="str">
        <f t="shared" si="3"/>
        <v>XTZ 150 CROSSER E</v>
      </c>
      <c r="B157" s="29" t="s">
        <v>266</v>
      </c>
      <c r="C157" s="29" t="s">
        <v>266</v>
      </c>
    </row>
    <row r="158">
      <c r="A158" s="29" t="str">
        <f t="shared" si="3"/>
        <v>XTZ 150 CROSSER ED</v>
      </c>
      <c r="B158" s="29" t="s">
        <v>276</v>
      </c>
      <c r="C158" s="29" t="s">
        <v>276</v>
      </c>
    </row>
    <row r="159">
      <c r="A159" s="27" t="str">
        <f t="shared" si="3"/>
        <v>ESTOQUE - LINHA 250 cc - Street</v>
      </c>
      <c r="B159" s="27" t="s">
        <v>3808</v>
      </c>
      <c r="C159" s="27" t="s">
        <v>812</v>
      </c>
    </row>
    <row r="160">
      <c r="A160" s="29" t="str">
        <f t="shared" si="3"/>
        <v>YS 250 FAZER BLUEFLEX</v>
      </c>
      <c r="B160" s="29" t="s">
        <v>317</v>
      </c>
      <c r="C160" s="29" t="s">
        <v>317</v>
      </c>
    </row>
    <row r="161">
      <c r="A161" s="27" t="str">
        <f t="shared" si="3"/>
        <v>ESTOQUE - LINHA 250 cc - On/Off</v>
      </c>
      <c r="B161" s="27" t="s">
        <v>3809</v>
      </c>
      <c r="C161" s="27" t="s">
        <v>817</v>
      </c>
    </row>
    <row r="162">
      <c r="A162" s="29" t="str">
        <f t="shared" si="3"/>
        <v>XTZ 250 LANDER</v>
      </c>
      <c r="B162" s="29" t="s">
        <v>338</v>
      </c>
      <c r="C162" s="29" t="s">
        <v>338</v>
      </c>
    </row>
    <row r="163">
      <c r="A163" s="29" t="str">
        <f t="shared" si="3"/>
        <v>XTZ 250 TENERE</v>
      </c>
      <c r="B163" s="29" t="s">
        <v>348</v>
      </c>
      <c r="C163" s="29" t="s">
        <v>348</v>
      </c>
    </row>
    <row r="164">
      <c r="A164" s="27" t="str">
        <f t="shared" si="3"/>
        <v>ESTOQUE - LINHA 320 cc</v>
      </c>
      <c r="B164" s="27" t="s">
        <v>3810</v>
      </c>
      <c r="C164" s="27" t="s">
        <v>822</v>
      </c>
    </row>
    <row r="165">
      <c r="A165" s="29" t="str">
        <f t="shared" si="3"/>
        <v>YZF R3 </v>
      </c>
      <c r="B165" s="29" t="s">
        <v>369</v>
      </c>
      <c r="C165" s="29" t="s">
        <v>369</v>
      </c>
    </row>
    <row r="166">
      <c r="A166" s="29" t="str">
        <f t="shared" si="3"/>
        <v>YZF R3 ABS</v>
      </c>
      <c r="B166" s="29" t="s">
        <v>379</v>
      </c>
      <c r="C166" s="29" t="s">
        <v>379</v>
      </c>
    </row>
    <row r="167">
      <c r="A167" s="29" t="str">
        <f t="shared" si="3"/>
        <v>MT03</v>
      </c>
      <c r="B167" s="29" t="s">
        <v>389</v>
      </c>
      <c r="C167" s="29" t="s">
        <v>389</v>
      </c>
    </row>
    <row r="168">
      <c r="A168" s="29" t="str">
        <f t="shared" si="3"/>
        <v>MT03 ABS</v>
      </c>
      <c r="B168" s="29" t="s">
        <v>399</v>
      </c>
      <c r="C168" s="29" t="s">
        <v>399</v>
      </c>
    </row>
    <row r="169">
      <c r="A169" s="27" t="str">
        <f t="shared" si="3"/>
        <v>ESTOQUE - LINHA &gt; 500 cc</v>
      </c>
      <c r="B169" s="27" t="s">
        <v>3811</v>
      </c>
      <c r="C169" s="27" t="s">
        <v>831</v>
      </c>
    </row>
    <row r="170">
      <c r="A170" s="29" t="str">
        <f t="shared" si="3"/>
        <v>XJ6 N ABS</v>
      </c>
      <c r="B170" s="29" t="s">
        <v>420</v>
      </c>
      <c r="C170" s="29" t="s">
        <v>420</v>
      </c>
    </row>
    <row r="171">
      <c r="A171" s="29" t="str">
        <f t="shared" si="3"/>
        <v>XJ6 F ABS</v>
      </c>
      <c r="B171" s="29" t="s">
        <v>430</v>
      </c>
      <c r="C171" s="29" t="s">
        <v>430</v>
      </c>
    </row>
    <row r="172">
      <c r="A172" s="29" t="str">
        <f ref="A172:A235" t="shared" si="4">IF(LanguageID=1,B172,C172)</f>
        <v>XT 660R</v>
      </c>
      <c r="B172" s="29" t="s">
        <v>440</v>
      </c>
      <c r="C172" s="29" t="s">
        <v>440</v>
      </c>
    </row>
    <row r="173">
      <c r="A173" s="29" t="str">
        <f t="shared" si="4"/>
        <v>XT 660Z TENERE ABS</v>
      </c>
      <c r="B173" s="29" t="s">
        <v>450</v>
      </c>
      <c r="C173" s="29" t="s">
        <v>450</v>
      </c>
    </row>
    <row r="174">
      <c r="A174" s="29" t="str">
        <f t="shared" si="4"/>
        <v>MT07</v>
      </c>
      <c r="B174" s="29" t="s">
        <v>460</v>
      </c>
      <c r="C174" s="29" t="s">
        <v>460</v>
      </c>
    </row>
    <row r="175">
      <c r="A175" s="29" t="str">
        <f t="shared" si="4"/>
        <v>MT07 ABS</v>
      </c>
      <c r="B175" s="29" t="s">
        <v>470</v>
      </c>
      <c r="C175" s="29" t="s">
        <v>470</v>
      </c>
    </row>
    <row r="176">
      <c r="A176" s="29" t="str">
        <f t="shared" si="4"/>
        <v>MT09</v>
      </c>
      <c r="B176" s="29" t="s">
        <v>480</v>
      </c>
      <c r="C176" s="29" t="s">
        <v>480</v>
      </c>
    </row>
    <row r="177">
      <c r="A177" s="29" t="str">
        <f t="shared" si="4"/>
        <v>MT09 SP</v>
      </c>
      <c r="B177" s="29" t="s">
        <v>490</v>
      </c>
      <c r="C177" s="29" t="s">
        <v>490</v>
      </c>
    </row>
    <row r="178">
      <c r="A178" s="29" t="str">
        <f t="shared" si="4"/>
        <v>MT09 TRACER</v>
      </c>
      <c r="B178" s="29" t="s">
        <v>500</v>
      </c>
      <c r="C178" s="29" t="s">
        <v>500</v>
      </c>
    </row>
    <row r="179">
      <c r="A179" s="29" t="str">
        <f t="shared" si="4"/>
        <v>YZF R1</v>
      </c>
      <c r="B179" s="29" t="s">
        <v>510</v>
      </c>
      <c r="C179" s="29" t="s">
        <v>510</v>
      </c>
    </row>
    <row r="180">
      <c r="A180" s="29" t="str">
        <f t="shared" si="4"/>
        <v>YZF R1M</v>
      </c>
      <c r="B180" s="29" t="s">
        <v>520</v>
      </c>
      <c r="C180" s="29" t="s">
        <v>520</v>
      </c>
    </row>
    <row r="181">
      <c r="A181" s="44" t="str">
        <f t="shared" si="4"/>
        <v>TOTAL DE MOTOCICLETAS</v>
      </c>
      <c r="B181" s="126" t="s">
        <v>3812</v>
      </c>
      <c r="C181" s="44" t="s">
        <v>861</v>
      </c>
    </row>
    <row r="182">
      <c r="A182" s="27" t="str">
        <f t="shared" si="4"/>
        <v>ESTOQUE - LINHA NÁUTICA</v>
      </c>
      <c r="B182" s="27" t="s">
        <v>3813</v>
      </c>
      <c r="C182" s="27" t="s">
        <v>863</v>
      </c>
    </row>
    <row r="183">
      <c r="A183" s="29" t="str">
        <f t="shared" si="4"/>
        <v>MOTORES</v>
      </c>
      <c r="B183" s="29" t="s">
        <v>3764</v>
      </c>
      <c r="C183" s="29" t="s">
        <v>591</v>
      </c>
    </row>
    <row r="184">
      <c r="A184" s="29" t="str">
        <f t="shared" si="4"/>
        <v>WAVERUNNER</v>
      </c>
      <c r="B184" s="29" t="s">
        <v>601</v>
      </c>
      <c r="C184" s="29" t="s">
        <v>601</v>
      </c>
    </row>
    <row r="185">
      <c r="A185" s="44" t="str">
        <f t="shared" si="4"/>
        <v>TOTAL DE LINHA NÁUTICA</v>
      </c>
      <c r="B185" s="126" t="s">
        <v>3814</v>
      </c>
      <c r="C185" s="44" t="s">
        <v>869</v>
      </c>
    </row>
    <row r="186">
      <c r="A186" s="27" t="str">
        <f t="shared" si="4"/>
        <v>ESTOQUE - LINHA QUADRICICLOS</v>
      </c>
      <c r="B186" s="27" t="s">
        <v>3815</v>
      </c>
      <c r="C186" s="27" t="s">
        <v>871</v>
      </c>
    </row>
    <row r="187">
      <c r="A187" s="29" t="str">
        <f t="shared" si="4"/>
        <v>MODELO 1</v>
      </c>
      <c r="B187" s="29" t="s">
        <v>3767</v>
      </c>
      <c r="C187" s="29" t="s">
        <v>622</v>
      </c>
    </row>
    <row r="188">
      <c r="A188" s="29" t="str">
        <f t="shared" si="4"/>
        <v>MODELO 2</v>
      </c>
      <c r="B188" s="29" t="s">
        <v>3768</v>
      </c>
      <c r="C188" s="29" t="s">
        <v>632</v>
      </c>
    </row>
    <row r="189">
      <c r="A189" s="29" t="str">
        <f t="shared" si="4"/>
        <v>MODELO 3</v>
      </c>
      <c r="B189" s="29" t="s">
        <v>3769</v>
      </c>
      <c r="C189" s="29" t="s">
        <v>642</v>
      </c>
    </row>
    <row r="190">
      <c r="A190" s="44" t="str">
        <f t="shared" si="4"/>
        <v>TOTAL DE LINHA QUADRICICLOS</v>
      </c>
      <c r="B190" s="126" t="s">
        <v>3816</v>
      </c>
      <c r="C190" s="44" t="s">
        <v>879</v>
      </c>
    </row>
    <row r="191">
      <c r="A191" s="44" t="str">
        <f t="shared" si="4"/>
        <v>TOTAL DE ESTOQUE DE NOVOS</v>
      </c>
      <c r="B191" s="126" t="s">
        <v>3817</v>
      </c>
      <c r="C191" s="44" t="s">
        <v>882</v>
      </c>
    </row>
    <row r="192">
      <c r="A192" s="41" t="str">
        <f t="shared" si="4"/>
        <v>VENDA USADOS</v>
      </c>
      <c r="B192" s="127" t="s">
        <v>3818</v>
      </c>
      <c r="C192" s="41" t="s">
        <v>884</v>
      </c>
    </row>
    <row r="193">
      <c r="A193" s="42" t="str">
        <f t="shared" si="4"/>
        <v>VENDAS DE USADOS</v>
      </c>
      <c r="B193" s="132" t="s">
        <v>3818</v>
      </c>
      <c r="C193" s="42" t="s">
        <v>885</v>
      </c>
    </row>
    <row r="194">
      <c r="A194" s="26" t="str">
        <f t="shared" si="4"/>
        <v>MOTOCICLETAS YAMAHA</v>
      </c>
      <c r="B194" s="134" t="s">
        <v>3819</v>
      </c>
      <c r="C194" s="29" t="s">
        <v>887</v>
      </c>
    </row>
    <row r="195">
      <c r="A195" s="26" t="str">
        <f t="shared" si="4"/>
        <v>MOTOCICLETAS OUTRAS MARCAS</v>
      </c>
      <c r="B195" s="134" t="s">
        <v>3820</v>
      </c>
      <c r="C195" s="29" t="s">
        <v>897</v>
      </c>
    </row>
    <row r="196">
      <c r="A196" s="31" t="str">
        <f t="shared" si="4"/>
        <v>VENDAS DE USADOS - MOTOCICLETAS</v>
      </c>
      <c r="B196" s="133" t="s">
        <v>3821</v>
      </c>
      <c r="C196" s="48" t="s">
        <v>907</v>
      </c>
    </row>
    <row r="197">
      <c r="A197" s="30" t="str">
        <f t="shared" si="4"/>
        <v>VENDAS DE USADOS - OUTROS PRODUTOS</v>
      </c>
      <c r="B197" s="27" t="s">
        <v>3822</v>
      </c>
      <c r="C197" s="27" t="s">
        <v>916</v>
      </c>
    </row>
    <row r="198">
      <c r="A198" s="26" t="str">
        <f t="shared" si="4"/>
        <v>OUTROS PRODUTOS YAMAHA</v>
      </c>
      <c r="B198" s="134" t="s">
        <v>3823</v>
      </c>
      <c r="C198" s="29" t="s">
        <v>918</v>
      </c>
    </row>
    <row r="199">
      <c r="A199" s="31" t="str">
        <f t="shared" si="4"/>
        <v>TOTAL DE VENDAS DE USADOS</v>
      </c>
      <c r="B199" s="133" t="s">
        <v>3824</v>
      </c>
      <c r="C199" s="48" t="s">
        <v>928</v>
      </c>
    </row>
    <row r="200">
      <c r="A200" s="30" t="str">
        <f t="shared" si="4"/>
        <v>OUTRAS RECEITAS OPERACIONAIS</v>
      </c>
      <c r="B200" s="129" t="s">
        <v>3772</v>
      </c>
      <c r="C200" s="27" t="s">
        <v>671</v>
      </c>
    </row>
    <row r="201">
      <c r="A201" s="26" t="str">
        <f t="shared" si="4"/>
        <v>INCENTIVOS DE VAREJO</v>
      </c>
      <c r="B201" s="0" t="s">
        <v>3773</v>
      </c>
      <c r="C201" s="29" t="s">
        <v>673</v>
      </c>
    </row>
    <row r="202">
      <c r="A202" s="26" t="str">
        <f t="shared" si="4"/>
        <v>BONIFICAÇÕES 1</v>
      </c>
      <c r="B202" s="0" t="s">
        <v>3774</v>
      </c>
      <c r="C202" s="29" t="s">
        <v>676</v>
      </c>
    </row>
    <row r="203">
      <c r="A203" s="26" t="str">
        <f t="shared" si="4"/>
        <v>BONIFICAÇÕES 2</v>
      </c>
      <c r="B203" s="0" t="s">
        <v>3775</v>
      </c>
      <c r="C203" s="29" t="s">
        <v>679</v>
      </c>
    </row>
    <row r="204">
      <c r="A204" s="26" t="str">
        <f t="shared" si="4"/>
        <v>COMISSÕES DIVERSAS</v>
      </c>
      <c r="B204" s="0" t="s">
        <v>3776</v>
      </c>
      <c r="C204" s="29" t="s">
        <v>682</v>
      </c>
    </row>
    <row r="205">
      <c r="A205" s="26" t="str">
        <f t="shared" si="4"/>
        <v>OUTRAS RECEITAS</v>
      </c>
      <c r="B205" s="0" t="s">
        <v>3777</v>
      </c>
      <c r="C205" s="29" t="s">
        <v>685</v>
      </c>
    </row>
    <row r="206">
      <c r="A206" s="31" t="str">
        <f t="shared" si="4"/>
        <v>TOTAL DE OUTRAS RECEITAS OPERACIONAIS</v>
      </c>
      <c r="B206" s="126" t="s">
        <v>3778</v>
      </c>
      <c r="C206" s="48" t="s">
        <v>688</v>
      </c>
    </row>
    <row r="207">
      <c r="A207" s="30" t="str">
        <f t="shared" si="4"/>
        <v>DESPESAS VARIÁVEIS</v>
      </c>
      <c r="B207" s="132" t="s">
        <v>3779</v>
      </c>
      <c r="C207" s="27" t="s">
        <v>690</v>
      </c>
    </row>
    <row r="208">
      <c r="A208" s="26" t="str">
        <f t="shared" si="4"/>
        <v>COMISSÕES SOBRE VENDAS</v>
      </c>
      <c r="B208" s="0" t="s">
        <v>3780</v>
      </c>
      <c r="C208" s="29" t="s">
        <v>692</v>
      </c>
    </row>
    <row r="209">
      <c r="A209" s="26" t="str">
        <f t="shared" si="4"/>
        <v>ENCARGOS SOBRE COMISSÕES (-)</v>
      </c>
      <c r="B209" s="0" t="s">
        <v>3781</v>
      </c>
      <c r="C209" s="29" t="s">
        <v>695</v>
      </c>
    </row>
    <row r="210">
      <c r="A210" s="26" t="str">
        <f t="shared" si="4"/>
        <v>OUTRAS DESPESAS</v>
      </c>
      <c r="B210" s="0" t="s">
        <v>3782</v>
      </c>
      <c r="C210" s="29" t="s">
        <v>698</v>
      </c>
    </row>
    <row r="211">
      <c r="A211" s="31" t="str">
        <f t="shared" si="4"/>
        <v>TOTAL DE DESPESAS VARIÁVEIS</v>
      </c>
      <c r="B211" s="126" t="s">
        <v>3783</v>
      </c>
      <c r="C211" s="48" t="s">
        <v>701</v>
      </c>
    </row>
    <row r="212">
      <c r="A212" s="46" t="str">
        <f t="shared" si="4"/>
        <v>MARGEM DE CONTRIBUIÇÃO</v>
      </c>
      <c r="B212" s="27" t="s">
        <v>3784</v>
      </c>
      <c r="C212" s="28" t="s">
        <v>703</v>
      </c>
    </row>
    <row r="213">
      <c r="A213" s="31" t="str">
        <f t="shared" si="4"/>
        <v>MARGEM DE CONTRIBUIÇÃO</v>
      </c>
      <c r="B213" s="126" t="s">
        <v>3784</v>
      </c>
      <c r="C213" s="48" t="s">
        <v>703</v>
      </c>
    </row>
    <row r="214">
      <c r="A214" s="30" t="str">
        <f t="shared" si="4"/>
        <v>DESPESAS</v>
      </c>
      <c r="B214" s="129" t="s">
        <v>3785</v>
      </c>
      <c r="C214" s="27" t="s">
        <v>706</v>
      </c>
    </row>
    <row r="215">
      <c r="A215" s="31" t="str">
        <f t="shared" si="4"/>
        <v>TOTAL DE DESPESAS COM PESSOAL (A)</v>
      </c>
      <c r="B215" s="133" t="s">
        <v>3786</v>
      </c>
      <c r="C215" s="48" t="s">
        <v>708</v>
      </c>
    </row>
    <row r="216">
      <c r="A216" s="31" t="str">
        <f t="shared" si="4"/>
        <v>TOTAL DE DESPESAS COM ESTRUTURA - IMÓVEIS (B)</v>
      </c>
      <c r="B216" s="133" t="s">
        <v>3787</v>
      </c>
      <c r="C216" s="48" t="s">
        <v>711</v>
      </c>
    </row>
    <row r="217">
      <c r="A217" s="31" t="str">
        <f t="shared" si="4"/>
        <v>TOTAL DE DESPESAS GERAIS (C)</v>
      </c>
      <c r="B217" s="133" t="s">
        <v>3788</v>
      </c>
      <c r="C217" s="48" t="s">
        <v>714</v>
      </c>
    </row>
    <row r="218">
      <c r="A218" s="31" t="str">
        <f t="shared" si="4"/>
        <v>TOTAL DE DESPESAS FIXAS (A+B+C)</v>
      </c>
      <c r="B218" s="133" t="s">
        <v>3789</v>
      </c>
      <c r="C218" s="48" t="s">
        <v>3790</v>
      </c>
    </row>
    <row r="219">
      <c r="A219" s="46" t="str">
        <f t="shared" si="4"/>
        <v>LUCRO / PREJUÍZO OPERACIONAL</v>
      </c>
      <c r="B219" s="135" t="s">
        <v>3791</v>
      </c>
      <c r="C219" s="28" t="s">
        <v>719</v>
      </c>
    </row>
    <row r="220">
      <c r="A220" s="31" t="str">
        <f t="shared" si="4"/>
        <v>LUCRO / PREJUÍZO OPERACIONAL</v>
      </c>
      <c r="B220" s="133" t="s">
        <v>3791</v>
      </c>
      <c r="C220" s="48" t="s">
        <v>719</v>
      </c>
    </row>
    <row r="221">
      <c r="A221" s="46" t="str">
        <f t="shared" si="4"/>
        <v>DESPESAS / RECEITAS NÃO-OPERACIONAIS E FINANCEIRAS </v>
      </c>
      <c r="B221" s="135" t="s">
        <v>3792</v>
      </c>
      <c r="C221" s="28" t="s">
        <v>722</v>
      </c>
    </row>
    <row r="222">
      <c r="A222" s="31" t="str">
        <f t="shared" si="4"/>
        <v>TOTAL DE DESPESAS NÃO-OPERACIONAIS</v>
      </c>
      <c r="B222" s="133" t="s">
        <v>3793</v>
      </c>
      <c r="C222" s="48" t="s">
        <v>724</v>
      </c>
    </row>
    <row r="223">
      <c r="A223" s="31" t="str">
        <f t="shared" si="4"/>
        <v>TOTAL DE DESPESAS FINANCEIRAS</v>
      </c>
      <c r="B223" s="133" t="s">
        <v>3794</v>
      </c>
      <c r="C223" s="48" t="s">
        <v>727</v>
      </c>
    </row>
    <row r="224">
      <c r="A224" s="31" t="str">
        <f t="shared" si="4"/>
        <v>TOTAL DE RECEITAS NÃO-OPERACIONAIS</v>
      </c>
      <c r="B224" s="133" t="s">
        <v>3795</v>
      </c>
      <c r="C224" s="48" t="s">
        <v>730</v>
      </c>
    </row>
    <row r="225">
      <c r="A225" s="31" t="str">
        <f t="shared" si="4"/>
        <v>TOTAL DE RECEITAS FINANCEIRAS</v>
      </c>
      <c r="B225" s="133" t="s">
        <v>3796</v>
      </c>
      <c r="C225" s="48" t="s">
        <v>733</v>
      </c>
    </row>
    <row r="226">
      <c r="A226" s="46" t="str">
        <f t="shared" si="4"/>
        <v>FLOOR PLAN</v>
      </c>
      <c r="B226" s="135" t="s">
        <v>735</v>
      </c>
      <c r="C226" s="28" t="s">
        <v>735</v>
      </c>
    </row>
    <row r="227">
      <c r="A227" s="26" t="str">
        <f t="shared" si="4"/>
        <v>IOF </v>
      </c>
      <c r="B227" s="29" t="s">
        <v>737</v>
      </c>
      <c r="C227" s="29" t="s">
        <v>737</v>
      </c>
    </row>
    <row r="228">
      <c r="A228" s="26" t="str">
        <f t="shared" si="4"/>
        <v>JUROS CONTRATUAIS</v>
      </c>
      <c r="B228" s="29" t="s">
        <v>3797</v>
      </c>
      <c r="C228" s="29" t="s">
        <v>740</v>
      </c>
    </row>
    <row r="229">
      <c r="A229" s="26" t="str">
        <f t="shared" si="4"/>
        <v>JUROS DE MORA</v>
      </c>
      <c r="B229" s="29" t="s">
        <v>3798</v>
      </c>
      <c r="C229" s="29" t="s">
        <v>743</v>
      </c>
    </row>
    <row r="230">
      <c r="A230" s="31" t="str">
        <f t="shared" si="4"/>
        <v>TOTAL DE DESPESAS DE FLOOR PLAN</v>
      </c>
      <c r="B230" s="126" t="s">
        <v>3799</v>
      </c>
      <c r="C230" s="48" t="s">
        <v>746</v>
      </c>
    </row>
    <row r="231">
      <c r="A231" s="46" t="str">
        <f t="shared" si="4"/>
        <v>RESULTADO DEPARTAMENTAL</v>
      </c>
      <c r="B231" s="135" t="s">
        <v>3800</v>
      </c>
      <c r="C231" s="28" t="s">
        <v>748</v>
      </c>
    </row>
    <row r="232">
      <c r="A232" s="31" t="str">
        <f t="shared" si="4"/>
        <v>RESULTADO DO DEPARTAMENTO DE USADOS</v>
      </c>
      <c r="B232" s="133" t="s">
        <v>3825</v>
      </c>
      <c r="C232" s="48" t="s">
        <v>986</v>
      </c>
    </row>
    <row r="233">
      <c r="A233" s="30" t="str">
        <f t="shared" si="4"/>
        <v>ESTOQUE (UNIDADES)</v>
      </c>
      <c r="B233" s="27" t="s">
        <v>3826</v>
      </c>
      <c r="C233" s="27" t="s">
        <v>988</v>
      </c>
    </row>
    <row r="234">
      <c r="A234" s="26" t="str">
        <f t="shared" si="4"/>
        <v>MOTOCICLETAS YAMAHA</v>
      </c>
      <c r="B234" s="134" t="s">
        <v>3819</v>
      </c>
      <c r="C234" s="29" t="s">
        <v>887</v>
      </c>
    </row>
    <row r="235">
      <c r="A235" s="26" t="str">
        <f t="shared" si="4"/>
        <v>MOTOCICLETAS OUTRAS MARCAS</v>
      </c>
      <c r="B235" s="134" t="s">
        <v>3820</v>
      </c>
      <c r="C235" s="29" t="s">
        <v>897</v>
      </c>
    </row>
    <row r="236">
      <c r="A236" s="31" t="str">
        <f ref="A236:A299" t="shared" si="5">IF(LanguageID=1,B236,C236)</f>
        <v>TOTAL DE MOTOCICLETAS</v>
      </c>
      <c r="B236" s="133" t="s">
        <v>3812</v>
      </c>
      <c r="C236" s="48" t="s">
        <v>861</v>
      </c>
    </row>
    <row r="237">
      <c r="A237" s="26" t="str">
        <f t="shared" si="5"/>
        <v>OUTROS PRODUTOS YAMAHA</v>
      </c>
      <c r="B237" s="134" t="s">
        <v>3823</v>
      </c>
      <c r="C237" s="29" t="s">
        <v>918</v>
      </c>
    </row>
    <row r="238">
      <c r="A238" s="31" t="str">
        <f t="shared" si="5"/>
        <v>TOTAL DE ESTOQUE DE USADOS</v>
      </c>
      <c r="B238" s="133" t="s">
        <v>3827</v>
      </c>
      <c r="C238" s="48" t="s">
        <v>998</v>
      </c>
    </row>
    <row r="239">
      <c r="A239" s="41" t="str">
        <f t="shared" si="5"/>
        <v>PEÇAS &amp; ACESSÓRIOS</v>
      </c>
      <c r="B239" s="127" t="s">
        <v>3828</v>
      </c>
      <c r="C239" s="41" t="s">
        <v>1000</v>
      </c>
    </row>
    <row r="240">
      <c r="A240" s="30" t="str">
        <f t="shared" si="5"/>
        <v>PEÇAS &amp; ACESSÓRIOS</v>
      </c>
      <c r="B240" s="27" t="s">
        <v>3828</v>
      </c>
      <c r="C240" s="27" t="s">
        <v>1000</v>
      </c>
    </row>
    <row r="241">
      <c r="A241" s="26" t="str">
        <f t="shared" si="5"/>
        <v>PEÇAS GENUÍNAS</v>
      </c>
      <c r="B241" s="134" t="s">
        <v>3829</v>
      </c>
      <c r="C241" s="29" t="s">
        <v>1003</v>
      </c>
    </row>
    <row r="242">
      <c r="A242" s="26" t="str">
        <f t="shared" si="5"/>
        <v>PEÇAS YTEC</v>
      </c>
      <c r="B242" s="134" t="s">
        <v>3830</v>
      </c>
      <c r="C242" s="29" t="s">
        <v>1011</v>
      </c>
    </row>
    <row r="243">
      <c r="A243" s="26" t="str">
        <f t="shared" si="5"/>
        <v>PEÇAS NÃO GENUÍNAS</v>
      </c>
      <c r="B243" s="134" t="s">
        <v>3831</v>
      </c>
      <c r="C243" s="29" t="s">
        <v>1019</v>
      </c>
    </row>
    <row r="244">
      <c r="A244" s="26" t="str">
        <f t="shared" si="5"/>
        <v>ACESSÓRIOS</v>
      </c>
      <c r="B244" s="134" t="s">
        <v>3832</v>
      </c>
      <c r="C244" s="29" t="s">
        <v>1027</v>
      </c>
    </row>
    <row r="245">
      <c r="A245" s="31" t="str">
        <f t="shared" si="5"/>
        <v>RECEITA DE VENDA BALCÃO</v>
      </c>
      <c r="B245" s="133" t="s">
        <v>3833</v>
      </c>
      <c r="C245" s="48" t="s">
        <v>1035</v>
      </c>
    </row>
    <row r="246">
      <c r="A246" s="26" t="str">
        <f t="shared" si="5"/>
        <v>PEÇAS GENUÍNAS</v>
      </c>
      <c r="B246" s="134" t="s">
        <v>3829</v>
      </c>
      <c r="C246" s="29" t="s">
        <v>1003</v>
      </c>
    </row>
    <row r="247">
      <c r="A247" s="26" t="str">
        <f t="shared" si="5"/>
        <v>PEÇAS YTEC</v>
      </c>
      <c r="B247" s="134" t="s">
        <v>3830</v>
      </c>
      <c r="C247" s="29" t="s">
        <v>1011</v>
      </c>
    </row>
    <row r="248">
      <c r="A248" s="26" t="str">
        <f t="shared" si="5"/>
        <v>PEÇAS NÃO GENUÍNAS</v>
      </c>
      <c r="B248" s="134" t="s">
        <v>3831</v>
      </c>
      <c r="C248" s="29" t="s">
        <v>1019</v>
      </c>
    </row>
    <row r="249">
      <c r="A249" s="26" t="str">
        <f t="shared" si="5"/>
        <v>ACESSÓRIOS</v>
      </c>
      <c r="B249" s="134" t="s">
        <v>3832</v>
      </c>
      <c r="C249" s="29" t="s">
        <v>1027</v>
      </c>
    </row>
    <row r="250">
      <c r="A250" s="31" t="str">
        <f t="shared" si="5"/>
        <v>RECEITA DE VENDA ATACADO</v>
      </c>
      <c r="B250" s="133" t="s">
        <v>3834</v>
      </c>
      <c r="C250" s="48" t="s">
        <v>1071</v>
      </c>
    </row>
    <row r="251">
      <c r="A251" s="26" t="str">
        <f t="shared" si="5"/>
        <v>PEÇAS GENUÍNAS</v>
      </c>
      <c r="B251" s="134" t="s">
        <v>3829</v>
      </c>
      <c r="C251" s="29" t="s">
        <v>1003</v>
      </c>
    </row>
    <row r="252">
      <c r="A252" s="26" t="str">
        <f t="shared" si="5"/>
        <v>PEÇAS YTEC</v>
      </c>
      <c r="B252" s="134" t="s">
        <v>3830</v>
      </c>
      <c r="C252" s="29" t="s">
        <v>1011</v>
      </c>
    </row>
    <row r="253">
      <c r="A253" s="26" t="str">
        <f t="shared" si="5"/>
        <v>PEÇAS NÃO GENUÍNAS</v>
      </c>
      <c r="B253" s="134" t="s">
        <v>3831</v>
      </c>
      <c r="C253" s="29" t="s">
        <v>1019</v>
      </c>
    </row>
    <row r="254">
      <c r="A254" s="26" t="str">
        <f t="shared" si="5"/>
        <v>ACESSÓRIOS</v>
      </c>
      <c r="B254" s="134" t="s">
        <v>3832</v>
      </c>
      <c r="C254" s="29" t="s">
        <v>1027</v>
      </c>
    </row>
    <row r="255">
      <c r="A255" s="31" t="str">
        <f t="shared" si="5"/>
        <v>PRODUTOS APLICADOS NA OFICINA</v>
      </c>
      <c r="B255" s="133" t="s">
        <v>3835</v>
      </c>
      <c r="C255" s="48" t="s">
        <v>1107</v>
      </c>
    </row>
    <row r="256">
      <c r="A256" s="31" t="str">
        <f t="shared" si="5"/>
        <v>TOTAL DE RECEITA DE VENDAS DE PEÇAS E ACESSÓRIOS</v>
      </c>
      <c r="B256" s="133" t="s">
        <v>3836</v>
      </c>
      <c r="C256" s="48" t="s">
        <v>1123</v>
      </c>
    </row>
    <row r="257">
      <c r="A257" s="30" t="str">
        <f t="shared" si="5"/>
        <v>OUTRAS RECEITAS OPERACIONAIS</v>
      </c>
      <c r="B257" s="129" t="s">
        <v>3772</v>
      </c>
      <c r="C257" s="27" t="s">
        <v>671</v>
      </c>
    </row>
    <row r="258">
      <c r="A258" s="26" t="str">
        <f t="shared" si="5"/>
        <v>INCENTIVOS DE VAREJO</v>
      </c>
      <c r="B258" s="134" t="s">
        <v>3773</v>
      </c>
      <c r="C258" s="29" t="s">
        <v>673</v>
      </c>
    </row>
    <row r="259">
      <c r="A259" s="26" t="str">
        <f t="shared" si="5"/>
        <v>BONIFICAÇÕES 1</v>
      </c>
      <c r="B259" s="134" t="s">
        <v>3774</v>
      </c>
      <c r="C259" s="29" t="s">
        <v>676</v>
      </c>
    </row>
    <row r="260">
      <c r="A260" s="26" t="str">
        <f t="shared" si="5"/>
        <v>BONIFICAÇÕES 2</v>
      </c>
      <c r="B260" s="134" t="s">
        <v>3775</v>
      </c>
      <c r="C260" s="29" t="s">
        <v>679</v>
      </c>
    </row>
    <row r="261">
      <c r="A261" s="26" t="str">
        <f t="shared" si="5"/>
        <v>COMISSÕES DIVERSAS</v>
      </c>
      <c r="B261" s="134" t="s">
        <v>3776</v>
      </c>
      <c r="C261" s="29" t="s">
        <v>682</v>
      </c>
    </row>
    <row r="262">
      <c r="A262" s="26" t="str">
        <f t="shared" si="5"/>
        <v>OUTRAS RECEITAS</v>
      </c>
      <c r="B262" s="134" t="s">
        <v>3777</v>
      </c>
      <c r="C262" s="29" t="s">
        <v>685</v>
      </c>
    </row>
    <row r="263">
      <c r="A263" s="31" t="str">
        <f t="shared" si="5"/>
        <v>TOTAL DE OUTRAS RECEITAS OPERACIONAIS</v>
      </c>
      <c r="B263" s="48" t="s">
        <v>3778</v>
      </c>
      <c r="C263" s="48" t="s">
        <v>688</v>
      </c>
    </row>
    <row r="264">
      <c r="A264" s="30" t="str">
        <f t="shared" si="5"/>
        <v>DESPESAS VARIÁVEIS</v>
      </c>
      <c r="B264" s="129" t="s">
        <v>3837</v>
      </c>
      <c r="C264" s="27" t="s">
        <v>690</v>
      </c>
    </row>
    <row r="265">
      <c r="A265" s="26" t="str">
        <f t="shared" si="5"/>
        <v>COMISSÕES SOBRE VENDAS DE PEÇAS</v>
      </c>
      <c r="B265" s="134" t="s">
        <v>3838</v>
      </c>
      <c r="C265" s="29" t="s">
        <v>1143</v>
      </c>
    </row>
    <row r="266">
      <c r="A266" s="26" t="str">
        <f t="shared" si="5"/>
        <v>ENCARGOS SOBRE COMISSÕES (-)</v>
      </c>
      <c r="B266" s="134" t="s">
        <v>3781</v>
      </c>
      <c r="C266" s="29" t="s">
        <v>695</v>
      </c>
    </row>
    <row r="267">
      <c r="A267" s="26" t="str">
        <f t="shared" si="5"/>
        <v>OUTRAS DESPESAS</v>
      </c>
      <c r="B267" s="134" t="s">
        <v>3782</v>
      </c>
      <c r="C267" s="29" t="s">
        <v>698</v>
      </c>
    </row>
    <row r="268">
      <c r="A268" s="31" t="str">
        <f t="shared" si="5"/>
        <v>TOTAL DE DESPESAS VARIÁVEIS</v>
      </c>
      <c r="B268" s="133" t="s">
        <v>3783</v>
      </c>
      <c r="C268" s="48" t="s">
        <v>701</v>
      </c>
    </row>
    <row r="269">
      <c r="A269" s="47" t="str">
        <f t="shared" si="5"/>
        <v>MARGEM DE CONTRIBUIÇÃO</v>
      </c>
      <c r="B269" s="136" t="s">
        <v>3784</v>
      </c>
      <c r="C269" s="49" t="s">
        <v>703</v>
      </c>
    </row>
    <row r="270">
      <c r="A270" s="31" t="str">
        <f t="shared" si="5"/>
        <v>MARGEM DE CONTRIBUIÇÃO</v>
      </c>
      <c r="B270" s="133" t="s">
        <v>3784</v>
      </c>
      <c r="C270" s="48" t="s">
        <v>703</v>
      </c>
    </row>
    <row r="271">
      <c r="A271" s="30" t="str">
        <f t="shared" si="5"/>
        <v>DESPESAS</v>
      </c>
      <c r="B271" s="129" t="s">
        <v>3785</v>
      </c>
      <c r="C271" s="27" t="s">
        <v>706</v>
      </c>
    </row>
    <row r="272">
      <c r="A272" s="31" t="str">
        <f t="shared" si="5"/>
        <v>TOTAL DE DESPESAS COM PESSOAL (A)</v>
      </c>
      <c r="B272" s="133" t="s">
        <v>3786</v>
      </c>
      <c r="C272" s="48" t="s">
        <v>708</v>
      </c>
    </row>
    <row r="273">
      <c r="A273" s="31" t="str">
        <f t="shared" si="5"/>
        <v>TOTAL DE DESPESAS COM ESTRUTURA - IMÓVEIS (B)</v>
      </c>
      <c r="B273" s="133" t="s">
        <v>3787</v>
      </c>
      <c r="C273" s="48" t="s">
        <v>711</v>
      </c>
    </row>
    <row r="274">
      <c r="A274" s="31" t="str">
        <f t="shared" si="5"/>
        <v>TOTAL DE DESPESAS GERAIS (C)</v>
      </c>
      <c r="B274" s="133" t="s">
        <v>3788</v>
      </c>
      <c r="C274" s="48" t="s">
        <v>714</v>
      </c>
    </row>
    <row r="275">
      <c r="A275" s="31" t="str">
        <f t="shared" si="5"/>
        <v>TOTAL DE DESPESAS FIXAS (A+B+C)</v>
      </c>
      <c r="B275" s="133" t="s">
        <v>3789</v>
      </c>
      <c r="C275" s="48" t="s">
        <v>3790</v>
      </c>
    </row>
    <row r="276">
      <c r="A276" s="46" t="str">
        <f t="shared" si="5"/>
        <v>LUCRO / PREJUÍZO OPERACIONAL</v>
      </c>
      <c r="B276" s="135" t="s">
        <v>3791</v>
      </c>
      <c r="C276" s="28" t="s">
        <v>719</v>
      </c>
    </row>
    <row r="277">
      <c r="A277" s="31" t="str">
        <f t="shared" si="5"/>
        <v>LUCRO / PREJUÍZO OPERACIONAL</v>
      </c>
      <c r="B277" s="133" t="s">
        <v>3791</v>
      </c>
      <c r="C277" s="48" t="s">
        <v>719</v>
      </c>
    </row>
    <row r="278">
      <c r="A278" s="46" t="str">
        <f t="shared" si="5"/>
        <v>DESPESAS / RECEITAS NÃO-OPERACIONAIS E FINANCEIRAS </v>
      </c>
      <c r="B278" s="135" t="s">
        <v>3792</v>
      </c>
      <c r="C278" s="28" t="s">
        <v>722</v>
      </c>
    </row>
    <row r="279">
      <c r="A279" s="31" t="str">
        <f t="shared" si="5"/>
        <v>TOTAL DE DESPESAS NÃO-OPERACIONAIS</v>
      </c>
      <c r="B279" s="133" t="s">
        <v>3793</v>
      </c>
      <c r="C279" s="48" t="s">
        <v>724</v>
      </c>
    </row>
    <row r="280">
      <c r="A280" s="31" t="str">
        <f t="shared" si="5"/>
        <v>TOTAL DE DESPESAS FINANCEIRAS</v>
      </c>
      <c r="B280" s="133" t="s">
        <v>3794</v>
      </c>
      <c r="C280" s="48" t="s">
        <v>727</v>
      </c>
    </row>
    <row r="281">
      <c r="A281" s="31" t="str">
        <f t="shared" si="5"/>
        <v>TOTAL DE RECEITAS NÃO-OPERACIONAIS</v>
      </c>
      <c r="B281" s="133" t="s">
        <v>3795</v>
      </c>
      <c r="C281" s="48" t="s">
        <v>730</v>
      </c>
    </row>
    <row r="282">
      <c r="A282" s="31" t="str">
        <f t="shared" si="5"/>
        <v>TOTAL DE RECEITAS FINANCEIRAS</v>
      </c>
      <c r="B282" s="133" t="s">
        <v>3796</v>
      </c>
      <c r="C282" s="48" t="s">
        <v>733</v>
      </c>
    </row>
    <row r="283">
      <c r="A283" s="46" t="str">
        <f t="shared" si="5"/>
        <v>RESULTADO DEPARTAMENTAL</v>
      </c>
      <c r="B283" s="135" t="s">
        <v>3800</v>
      </c>
      <c r="C283" s="28" t="s">
        <v>748</v>
      </c>
    </row>
    <row r="284">
      <c r="A284" s="31" t="str">
        <f t="shared" si="5"/>
        <v>RESULTADO DO DEPARTAMENTO DE PEÇAS</v>
      </c>
      <c r="B284" s="133" t="s">
        <v>3839</v>
      </c>
      <c r="C284" s="48" t="s">
        <v>1172</v>
      </c>
    </row>
    <row r="285">
      <c r="A285" s="41" t="str">
        <f t="shared" si="5"/>
        <v>SERVIÇOS</v>
      </c>
      <c r="B285" s="127" t="s">
        <v>3840</v>
      </c>
      <c r="C285" s="41" t="s">
        <v>1174</v>
      </c>
    </row>
    <row r="286">
      <c r="A286" s="30" t="str">
        <f t="shared" si="5"/>
        <v>SERVIÇOS</v>
      </c>
      <c r="B286" s="27" t="s">
        <v>3840</v>
      </c>
      <c r="C286" s="27" t="s">
        <v>1174</v>
      </c>
    </row>
    <row r="287">
      <c r="A287" s="26" t="str">
        <f t="shared" si="5"/>
        <v>REVISÃO GRATUITA</v>
      </c>
      <c r="B287" s="134" t="s">
        <v>3841</v>
      </c>
      <c r="C287" s="29" t="s">
        <v>1176</v>
      </c>
    </row>
    <row r="288">
      <c r="A288" s="26" t="str">
        <f t="shared" si="5"/>
        <v>SERVIÇOS EM GARANTIA</v>
      </c>
      <c r="B288" s="134" t="s">
        <v>3842</v>
      </c>
      <c r="C288" s="29" t="s">
        <v>1182</v>
      </c>
    </row>
    <row r="289">
      <c r="A289" s="26" t="str">
        <f t="shared" si="5"/>
        <v>SERVIÇOS EM GERAL</v>
      </c>
      <c r="B289" s="134" t="s">
        <v>3843</v>
      </c>
      <c r="C289" s="29" t="s">
        <v>1188</v>
      </c>
    </row>
    <row r="290">
      <c r="A290" s="31" t="str">
        <f t="shared" si="5"/>
        <v>TOTAL DE RECEITA DE VENDA DE SERVIÇOS</v>
      </c>
      <c r="B290" s="133" t="s">
        <v>3844</v>
      </c>
      <c r="C290" s="48" t="s">
        <v>1199</v>
      </c>
    </row>
    <row r="291">
      <c r="A291" s="30" t="str">
        <f t="shared" si="5"/>
        <v>OUTRAS RECEITAS OPERACIONAIS</v>
      </c>
      <c r="B291" s="129" t="s">
        <v>3772</v>
      </c>
      <c r="C291" s="27" t="s">
        <v>671</v>
      </c>
    </row>
    <row r="292">
      <c r="A292" s="26" t="str">
        <f t="shared" si="5"/>
        <v>INCENTIVOS DE VAREJO</v>
      </c>
      <c r="B292" s="134" t="s">
        <v>3773</v>
      </c>
      <c r="C292" s="29" t="s">
        <v>673</v>
      </c>
    </row>
    <row r="293">
      <c r="A293" s="26" t="str">
        <f t="shared" si="5"/>
        <v>BONIFICAÇÕES 1</v>
      </c>
      <c r="B293" s="134" t="s">
        <v>3774</v>
      </c>
      <c r="C293" s="29" t="s">
        <v>676</v>
      </c>
    </row>
    <row r="294">
      <c r="A294" s="26" t="str">
        <f t="shared" si="5"/>
        <v>BONIFICAÇÕES 2</v>
      </c>
      <c r="B294" s="134" t="s">
        <v>3775</v>
      </c>
      <c r="C294" s="29" t="s">
        <v>679</v>
      </c>
    </row>
    <row r="295">
      <c r="A295" s="26" t="str">
        <f t="shared" si="5"/>
        <v>COMISSÕES DIVERSAS</v>
      </c>
      <c r="B295" s="134" t="s">
        <v>3776</v>
      </c>
      <c r="C295" s="29" t="s">
        <v>682</v>
      </c>
    </row>
    <row r="296">
      <c r="A296" s="26" t="str">
        <f t="shared" si="5"/>
        <v>OUTRAS RECEITAS</v>
      </c>
      <c r="B296" s="134" t="s">
        <v>3777</v>
      </c>
      <c r="C296" s="29" t="s">
        <v>685</v>
      </c>
    </row>
    <row r="297">
      <c r="A297" s="31" t="str">
        <f t="shared" si="5"/>
        <v>TOTAL DE OUTRAS RECEITAS OPERACIONAIS</v>
      </c>
      <c r="B297" s="133" t="s">
        <v>3778</v>
      </c>
      <c r="C297" s="48" t="s">
        <v>688</v>
      </c>
    </row>
    <row r="298">
      <c r="A298" s="30" t="str">
        <f t="shared" si="5"/>
        <v>DESPESAS VARIÁVEIS</v>
      </c>
      <c r="B298" s="132" t="s">
        <v>3779</v>
      </c>
      <c r="C298" s="27" t="s">
        <v>690</v>
      </c>
    </row>
    <row r="299">
      <c r="A299" s="26" t="str">
        <f t="shared" si="5"/>
        <v>COMISSÕES SOBRE SERVIÇOS</v>
      </c>
      <c r="B299" s="134" t="s">
        <v>3845</v>
      </c>
      <c r="C299" s="29" t="s">
        <v>1217</v>
      </c>
    </row>
    <row r="300">
      <c r="A300" s="26" t="str">
        <f ref="A300:A363" t="shared" si="6">IF(LanguageID=1,B300,C300)</f>
        <v>ENCARGOS SOBRE COMISSÕES (-)</v>
      </c>
      <c r="B300" s="134" t="s">
        <v>3781</v>
      </c>
      <c r="C300" s="29" t="s">
        <v>695</v>
      </c>
    </row>
    <row r="301">
      <c r="A301" s="26" t="str">
        <f t="shared" si="6"/>
        <v>OUTRAS DESPESAS</v>
      </c>
      <c r="B301" s="134" t="s">
        <v>3782</v>
      </c>
      <c r="C301" s="29" t="s">
        <v>698</v>
      </c>
    </row>
    <row r="302">
      <c r="A302" s="31" t="str">
        <f t="shared" si="6"/>
        <v>TOTAL DE DESPESAS VARIÁVEIS</v>
      </c>
      <c r="B302" s="133" t="s">
        <v>3783</v>
      </c>
      <c r="C302" s="48" t="s">
        <v>701</v>
      </c>
    </row>
    <row r="303">
      <c r="A303" s="47" t="str">
        <f t="shared" si="6"/>
        <v>MARGEM DE CONTRIBUIÇÃO</v>
      </c>
      <c r="B303" s="136" t="s">
        <v>3784</v>
      </c>
      <c r="C303" s="49" t="s">
        <v>703</v>
      </c>
    </row>
    <row r="304">
      <c r="A304" s="31" t="str">
        <f t="shared" si="6"/>
        <v>MARGEM DE CONTRIBUIÇÃO</v>
      </c>
      <c r="B304" s="133" t="s">
        <v>3784</v>
      </c>
      <c r="C304" s="48" t="s">
        <v>703</v>
      </c>
    </row>
    <row r="305">
      <c r="A305" s="30" t="str">
        <f t="shared" si="6"/>
        <v>DESPESAS</v>
      </c>
      <c r="B305" s="129" t="s">
        <v>3785</v>
      </c>
      <c r="C305" s="27" t="s">
        <v>706</v>
      </c>
    </row>
    <row r="306">
      <c r="A306" s="31" t="str">
        <f t="shared" si="6"/>
        <v>TOTAL DE DESPESAS COM PESSOAL (A)</v>
      </c>
      <c r="B306" s="133" t="s">
        <v>3786</v>
      </c>
      <c r="C306" s="48" t="s">
        <v>708</v>
      </c>
    </row>
    <row r="307">
      <c r="A307" s="31" t="str">
        <f t="shared" si="6"/>
        <v>TOTAL DE DESPESAS COM ESTRUTURA - IMÓVEIS (B)</v>
      </c>
      <c r="B307" s="133" t="s">
        <v>3787</v>
      </c>
      <c r="C307" s="48" t="s">
        <v>711</v>
      </c>
    </row>
    <row r="308">
      <c r="A308" s="31" t="str">
        <f t="shared" si="6"/>
        <v>TOTAL DE DESPESAS GERAIS (C)</v>
      </c>
      <c r="B308" s="133" t="s">
        <v>3788</v>
      </c>
      <c r="C308" s="48" t="s">
        <v>714</v>
      </c>
    </row>
    <row r="309">
      <c r="A309" s="31" t="str">
        <f t="shared" si="6"/>
        <v>TOTAL DE DESPESAS FIXAS (A+B+C)</v>
      </c>
      <c r="B309" s="133" t="s">
        <v>3789</v>
      </c>
      <c r="C309" s="48" t="s">
        <v>3790</v>
      </c>
    </row>
    <row r="310">
      <c r="A310" s="46" t="str">
        <f t="shared" si="6"/>
        <v>LUCRO / PREJUÍZO OPERACIONAL</v>
      </c>
      <c r="B310" s="135" t="s">
        <v>3791</v>
      </c>
      <c r="C310" s="28" t="s">
        <v>719</v>
      </c>
    </row>
    <row r="311">
      <c r="A311" s="31" t="str">
        <f t="shared" si="6"/>
        <v>LUCRO / PREJUÍZO OPERACIONAL</v>
      </c>
      <c r="B311" s="133" t="s">
        <v>3791</v>
      </c>
      <c r="C311" s="48" t="s">
        <v>719</v>
      </c>
    </row>
    <row r="312">
      <c r="A312" s="46" t="str">
        <f t="shared" si="6"/>
        <v>DESPESAS / RECEITAS NÃO-OPERACIONAIS E FINANCEIRAS </v>
      </c>
      <c r="B312" s="135" t="s">
        <v>3792</v>
      </c>
      <c r="C312" s="28" t="s">
        <v>722</v>
      </c>
    </row>
    <row r="313">
      <c r="A313" s="31" t="str">
        <f t="shared" si="6"/>
        <v>TOTAL DE DESPESAS NÃO-OPERACIONAIS</v>
      </c>
      <c r="B313" s="133" t="s">
        <v>3793</v>
      </c>
      <c r="C313" s="48" t="s">
        <v>724</v>
      </c>
    </row>
    <row r="314">
      <c r="A314" s="31" t="str">
        <f t="shared" si="6"/>
        <v>TOTAL DE DESPESAS FINANCEIRAS</v>
      </c>
      <c r="B314" s="133" t="s">
        <v>3794</v>
      </c>
      <c r="C314" s="48" t="s">
        <v>727</v>
      </c>
    </row>
    <row r="315">
      <c r="A315" s="31" t="str">
        <f t="shared" si="6"/>
        <v>TOTAL DE RECEITAS NÃO-OPERACIONAIS</v>
      </c>
      <c r="B315" s="133" t="s">
        <v>3795</v>
      </c>
      <c r="C315" s="48" t="s">
        <v>730</v>
      </c>
    </row>
    <row r="316">
      <c r="A316" s="31" t="str">
        <f t="shared" si="6"/>
        <v>TOTAL DE RECEITAS FINANCEIRAS</v>
      </c>
      <c r="B316" s="133" t="s">
        <v>3796</v>
      </c>
      <c r="C316" s="48" t="s">
        <v>733</v>
      </c>
    </row>
    <row r="317">
      <c r="A317" s="46" t="str">
        <f t="shared" si="6"/>
        <v>RESULTADO DEPARTAMENTAL</v>
      </c>
      <c r="B317" s="135" t="s">
        <v>3800</v>
      </c>
      <c r="C317" s="28" t="s">
        <v>748</v>
      </c>
    </row>
    <row r="318">
      <c r="A318" s="31" t="str">
        <f t="shared" si="6"/>
        <v>RESULTADO DO DEPARTAMENTO DE SERVIÇO</v>
      </c>
      <c r="B318" s="133" t="s">
        <v>3846</v>
      </c>
      <c r="C318" s="48" t="s">
        <v>1246</v>
      </c>
    </row>
    <row r="319">
      <c r="A319" s="41" t="str">
        <f t="shared" si="6"/>
        <v>F &amp; I</v>
      </c>
      <c r="B319" s="127" t="s">
        <v>1248</v>
      </c>
      <c r="C319" s="41" t="s">
        <v>1248</v>
      </c>
    </row>
    <row r="320">
      <c r="A320" s="30" t="str">
        <f t="shared" si="6"/>
        <v>VENDAS</v>
      </c>
      <c r="B320" s="129" t="s">
        <v>3847</v>
      </c>
      <c r="C320" s="27" t="s">
        <v>1249</v>
      </c>
    </row>
    <row r="321">
      <c r="A321" s="26" t="str">
        <f t="shared" si="6"/>
        <v>COMISSÃO SOBRE VENDA DE COTAS DE CONSÓRCIO</v>
      </c>
      <c r="B321" s="134" t="s">
        <v>3848</v>
      </c>
      <c r="C321" s="29" t="s">
        <v>1251</v>
      </c>
    </row>
    <row r="322">
      <c r="A322" s="26" t="str">
        <f t="shared" si="6"/>
        <v>COMISSÃO SOBRE VENDAS DE SEGUROS</v>
      </c>
      <c r="B322" s="134" t="s">
        <v>3849</v>
      </c>
      <c r="C322" s="29" t="s">
        <v>1254</v>
      </c>
    </row>
    <row r="323" ht="30">
      <c r="A323" s="26" t="str">
        <f t="shared" si="6"/>
        <v>COMISSÃO S/ SEGURO DE PROTEÇÃO FINANC. - FINANCIAMENTOS</v>
      </c>
      <c r="B323" s="134" t="s">
        <v>3850</v>
      </c>
      <c r="C323" s="29" t="s">
        <v>1257</v>
      </c>
    </row>
    <row r="324">
      <c r="A324" s="26" t="str">
        <f t="shared" si="6"/>
        <v>DESPACHANTE</v>
      </c>
      <c r="B324" s="134" t="s">
        <v>3851</v>
      </c>
      <c r="C324" s="29" t="s">
        <v>1260</v>
      </c>
    </row>
    <row r="325">
      <c r="A325" s="26" t="str">
        <f t="shared" si="6"/>
        <v>COMISSÃO SOBRE FINANCIAMENTOS</v>
      </c>
      <c r="B325" s="134" t="s">
        <v>3852</v>
      </c>
      <c r="C325" s="29" t="s">
        <v>1263</v>
      </c>
    </row>
    <row r="326">
      <c r="A326" s="26" t="str">
        <f t="shared" si="6"/>
        <v>BONIFICAÇÃO SOBRE FINANCIAMENTOS - ACORDO</v>
      </c>
      <c r="B326" s="134" t="s">
        <v>3853</v>
      </c>
      <c r="C326" s="29" t="s">
        <v>1266</v>
      </c>
    </row>
    <row r="327">
      <c r="A327" s="31" t="str">
        <f t="shared" si="6"/>
        <v>TOTAL DE RECEITA DE F &amp; I</v>
      </c>
      <c r="B327" s="133" t="s">
        <v>3854</v>
      </c>
      <c r="C327" s="48" t="s">
        <v>1269</v>
      </c>
    </row>
    <row r="328">
      <c r="A328" s="30" t="str">
        <f t="shared" si="6"/>
        <v>DESPESAS VARIÁVEIS</v>
      </c>
      <c r="B328" s="132" t="s">
        <v>3779</v>
      </c>
      <c r="C328" s="27" t="s">
        <v>690</v>
      </c>
    </row>
    <row r="329">
      <c r="A329" s="26" t="str">
        <f t="shared" si="6"/>
        <v>COMISSÕES SOBRE VENDAS</v>
      </c>
      <c r="B329" s="134" t="s">
        <v>3780</v>
      </c>
      <c r="C329" s="29" t="s">
        <v>692</v>
      </c>
    </row>
    <row r="330">
      <c r="A330" s="26" t="str">
        <f t="shared" si="6"/>
        <v>ENCARGOS SOBRE COMISSÕES (-)</v>
      </c>
      <c r="B330" s="134" t="s">
        <v>3855</v>
      </c>
      <c r="C330" s="29" t="s">
        <v>695</v>
      </c>
    </row>
    <row r="331">
      <c r="A331" s="26" t="str">
        <f t="shared" si="6"/>
        <v>OUTRAS DESPESAS</v>
      </c>
      <c r="B331" s="134" t="s">
        <v>3782</v>
      </c>
      <c r="C331" s="29" t="s">
        <v>698</v>
      </c>
    </row>
    <row r="332">
      <c r="A332" s="31" t="str">
        <f t="shared" si="6"/>
        <v>TOTAL DE DESPESAS VARIÁVEIS</v>
      </c>
      <c r="B332" s="133" t="s">
        <v>3783</v>
      </c>
      <c r="C332" s="48" t="s">
        <v>701</v>
      </c>
    </row>
    <row r="333">
      <c r="A333" s="47" t="str">
        <f t="shared" si="6"/>
        <v>MARGEM DE CONTRIBUIÇÃO</v>
      </c>
      <c r="B333" s="136" t="s">
        <v>3784</v>
      </c>
      <c r="C333" s="49" t="s">
        <v>703</v>
      </c>
    </row>
    <row r="334">
      <c r="A334" s="31" t="str">
        <f t="shared" si="6"/>
        <v>MARGEM DE CONTRIBUIÇÃO</v>
      </c>
      <c r="B334" s="133" t="s">
        <v>3784</v>
      </c>
      <c r="C334" s="48" t="s">
        <v>703</v>
      </c>
    </row>
    <row r="335">
      <c r="A335" s="36" t="str">
        <f t="shared" si="6"/>
        <v>DESPESAS FIXAS</v>
      </c>
      <c r="B335" s="137" t="s">
        <v>3856</v>
      </c>
      <c r="C335" s="50" t="s">
        <v>1281</v>
      </c>
    </row>
    <row r="336">
      <c r="A336" s="31" t="str">
        <f t="shared" si="6"/>
        <v>TOTAL DE DESPESAS COM PESSOAL (A)</v>
      </c>
      <c r="B336" s="133" t="s">
        <v>3786</v>
      </c>
      <c r="C336" s="48" t="s">
        <v>708</v>
      </c>
    </row>
    <row r="337">
      <c r="A337" s="31" t="str">
        <f t="shared" si="6"/>
        <v>TOTAL DE DESPESAS COM ESTRUTURA - IMÓVEIS (B)</v>
      </c>
      <c r="B337" s="133" t="s">
        <v>3787</v>
      </c>
      <c r="C337" s="48" t="s">
        <v>711</v>
      </c>
    </row>
    <row r="338">
      <c r="A338" s="31" t="str">
        <f t="shared" si="6"/>
        <v>TOTAL DE DESPESAS GERAIS (C)</v>
      </c>
      <c r="B338" s="133" t="s">
        <v>3788</v>
      </c>
      <c r="C338" s="48" t="s">
        <v>714</v>
      </c>
    </row>
    <row r="339">
      <c r="A339" s="31" t="str">
        <f t="shared" si="6"/>
        <v>TOTAL DE DESPESAS FIXAS (A+B+C)</v>
      </c>
      <c r="B339" s="133" t="s">
        <v>3789</v>
      </c>
      <c r="C339" s="48" t="s">
        <v>3790</v>
      </c>
    </row>
    <row r="340">
      <c r="A340" s="46" t="str">
        <f t="shared" si="6"/>
        <v>LUCRO / PREJUÍZO OPERACIONAL</v>
      </c>
      <c r="B340" s="135" t="s">
        <v>3791</v>
      </c>
      <c r="C340" s="28" t="s">
        <v>719</v>
      </c>
    </row>
    <row r="341">
      <c r="A341" s="31" t="str">
        <f t="shared" si="6"/>
        <v>LUCRO / PREJUÍZO OPERACIONAL</v>
      </c>
      <c r="B341" s="133" t="s">
        <v>3791</v>
      </c>
      <c r="C341" s="48" t="s">
        <v>719</v>
      </c>
    </row>
    <row r="342">
      <c r="A342" s="46" t="str">
        <f t="shared" si="6"/>
        <v>DESPESAS / RECEITAS NÃO-OPERACIONAIS E FINANCEIRAS </v>
      </c>
      <c r="B342" s="135" t="s">
        <v>3792</v>
      </c>
      <c r="C342" s="28" t="s">
        <v>722</v>
      </c>
    </row>
    <row r="343">
      <c r="A343" s="31" t="str">
        <f t="shared" si="6"/>
        <v>TOTAL DE DESPESAS NÃO-OPERACIONAIS</v>
      </c>
      <c r="B343" s="133" t="s">
        <v>3793</v>
      </c>
      <c r="C343" s="48" t="s">
        <v>724</v>
      </c>
    </row>
    <row r="344">
      <c r="A344" s="31" t="str">
        <f t="shared" si="6"/>
        <v>TOTAL DE DESPESAS FINANCEIRAS</v>
      </c>
      <c r="B344" s="133" t="s">
        <v>3794</v>
      </c>
      <c r="C344" s="48" t="s">
        <v>727</v>
      </c>
    </row>
    <row r="345">
      <c r="A345" s="31" t="str">
        <f t="shared" si="6"/>
        <v>TOTAL DE RECEITAS NÃO-OPERACIONAIS</v>
      </c>
      <c r="B345" s="133" t="s">
        <v>3795</v>
      </c>
      <c r="C345" s="48" t="s">
        <v>730</v>
      </c>
    </row>
    <row r="346">
      <c r="A346" s="31" t="str">
        <f t="shared" si="6"/>
        <v>TOTAL DE RECEITAS FINANCEIRAS</v>
      </c>
      <c r="B346" s="133" t="s">
        <v>3796</v>
      </c>
      <c r="C346" s="48" t="s">
        <v>733</v>
      </c>
    </row>
    <row r="347">
      <c r="A347" s="46" t="str">
        <f t="shared" si="6"/>
        <v>RESULTADO DEPARTAMENTAL</v>
      </c>
      <c r="B347" s="135" t="s">
        <v>3800</v>
      </c>
      <c r="C347" s="28" t="s">
        <v>748</v>
      </c>
    </row>
    <row r="348">
      <c r="A348" s="31" t="str">
        <f t="shared" si="6"/>
        <v>RESULTADO DO DEPARTAMENTO DE F&amp;I</v>
      </c>
      <c r="B348" s="133" t="s">
        <v>3857</v>
      </c>
      <c r="C348" s="48" t="s">
        <v>1301</v>
      </c>
    </row>
    <row r="349">
      <c r="A349" s="41" t="str">
        <f t="shared" si="6"/>
        <v>ADMIN</v>
      </c>
      <c r="B349" s="127" t="s">
        <v>1303</v>
      </c>
      <c r="C349" s="41" t="s">
        <v>1303</v>
      </c>
    </row>
    <row r="350">
      <c r="A350" s="32" t="str">
        <f t="shared" si="6"/>
        <v>DESPESAS DO ADMINISTRATIVO</v>
      </c>
      <c r="B350" s="51" t="s">
        <v>3858</v>
      </c>
      <c r="C350" s="51" t="s">
        <v>1304</v>
      </c>
    </row>
    <row r="351">
      <c r="A351" s="33" t="str">
        <f t="shared" si="6"/>
        <v>SALÁRIOS, GRATIFICAÇÕES E OUTRAS REMUNERAÇÕES</v>
      </c>
      <c r="B351" s="52" t="s">
        <v>3859</v>
      </c>
      <c r="C351" s="52" t="s">
        <v>1313</v>
      </c>
    </row>
    <row r="352">
      <c r="A352" s="34" t="str">
        <f t="shared" si="6"/>
        <v>ENCARGOS SOCIAIS E BENEFÍCIOS (FGTS, PREV SOCIAL ETC)</v>
      </c>
      <c r="B352" s="53" t="s">
        <v>3860</v>
      </c>
      <c r="C352" s="53" t="s">
        <v>1322</v>
      </c>
    </row>
    <row r="353">
      <c r="A353" s="34" t="str">
        <f t="shared" si="6"/>
        <v>PROVISÕES PARA FÉRIAS E 13º SALÁRIO</v>
      </c>
      <c r="B353" s="53" t="s">
        <v>3861</v>
      </c>
      <c r="C353" s="53" t="s">
        <v>1331</v>
      </c>
    </row>
    <row r="354" ht="30">
      <c r="A354" s="34" t="str">
        <f t="shared" si="6"/>
        <v>FUNDO DE APOSENTADORIA PROGR. INDIVIDUAL DE EMPREGADOS</v>
      </c>
      <c r="B354" s="53" t="s">
        <v>3862</v>
      </c>
      <c r="C354" s="53" t="s">
        <v>1340</v>
      </c>
    </row>
    <row r="355" ht="30">
      <c r="A355" s="34" t="str">
        <f t="shared" si="6"/>
        <v>REMUNERAÇÃO A DIRIGENTES E A CONSELHO DE ADMINISTRAÇÃO</v>
      </c>
      <c r="B355" s="53" t="s">
        <v>3863</v>
      </c>
      <c r="C355" s="53" t="s">
        <v>1349</v>
      </c>
    </row>
    <row r="356">
      <c r="A356" s="34" t="str">
        <f t="shared" si="6"/>
        <v>FORMAÇÃO PROFISSIONAL</v>
      </c>
      <c r="B356" s="53" t="s">
        <v>3864</v>
      </c>
      <c r="C356" s="53" t="s">
        <v>1358</v>
      </c>
    </row>
    <row r="357">
      <c r="A357" s="34" t="str">
        <f t="shared" si="6"/>
        <v>ASSISTÊNCIA MÉDICA, ODONTOLÓGICA E FARMACÊUTICA</v>
      </c>
      <c r="B357" s="53" t="s">
        <v>3865</v>
      </c>
      <c r="C357" s="53" t="s">
        <v>1367</v>
      </c>
    </row>
    <row r="358">
      <c r="A358" s="34" t="str">
        <f t="shared" si="6"/>
        <v>ALIMENTAÇÃO</v>
      </c>
      <c r="B358" s="53" t="s">
        <v>3866</v>
      </c>
      <c r="C358" s="53" t="s">
        <v>1376</v>
      </c>
    </row>
    <row r="359">
      <c r="A359" s="34" t="str">
        <f t="shared" si="6"/>
        <v>OUTROS GASTOS COM PESSOAL (VIAGENS, TRANSPORTE ETC)</v>
      </c>
      <c r="B359" s="53" t="s">
        <v>3867</v>
      </c>
      <c r="C359" s="53" t="s">
        <v>1385</v>
      </c>
    </row>
    <row r="360">
      <c r="A360" s="35" t="str">
        <f t="shared" si="6"/>
        <v>TOTAL DE DESPESAS COM PESSOAL (A)</v>
      </c>
      <c r="B360" s="54" t="s">
        <v>3786</v>
      </c>
      <c r="C360" s="54" t="s">
        <v>708</v>
      </c>
    </row>
    <row r="361">
      <c r="A361" s="34" t="str">
        <f t="shared" si="6"/>
        <v>ÁGUA E ENERGIA ELÉTRICA</v>
      </c>
      <c r="B361" s="53" t="s">
        <v>3868</v>
      </c>
      <c r="C361" s="53" t="s">
        <v>1402</v>
      </c>
    </row>
    <row r="362">
      <c r="A362" s="34" t="str">
        <f t="shared" si="6"/>
        <v>ALUGUÉIS E IMPOSTOS</v>
      </c>
      <c r="B362" s="53" t="s">
        <v>3869</v>
      </c>
      <c r="C362" s="53" t="s">
        <v>1411</v>
      </c>
    </row>
    <row r="363">
      <c r="A363" s="34" t="str">
        <f t="shared" si="6"/>
        <v>CONSERVAÇÃO DE PRÉDIOS, MÁQUINAS E MÓVEIS </v>
      </c>
      <c r="B363" s="53" t="s">
        <v>3870</v>
      </c>
      <c r="C363" s="53" t="s">
        <v>1420</v>
      </c>
    </row>
    <row r="364">
      <c r="A364" s="34" t="str">
        <f ref="A364:A430" t="shared" si="7">IF(LanguageID=1,B364,C364)</f>
        <v>VIGILÂNCIA PATRIMONIAL</v>
      </c>
      <c r="B364" s="53" t="s">
        <v>3871</v>
      </c>
      <c r="C364" s="53" t="s">
        <v>1429</v>
      </c>
    </row>
    <row r="365">
      <c r="A365" s="34" t="str">
        <f t="shared" si="7"/>
        <v>DEPRECIAÇÕES E AMORTIZAÇÕES</v>
      </c>
      <c r="B365" s="53" t="s">
        <v>3872</v>
      </c>
      <c r="C365" s="53" t="s">
        <v>1438</v>
      </c>
    </row>
    <row r="366">
      <c r="A366" s="34" t="str">
        <f t="shared" si="7"/>
        <v>SEGUROS</v>
      </c>
      <c r="B366" s="53" t="s">
        <v>3873</v>
      </c>
      <c r="C366" s="53" t="s">
        <v>1447</v>
      </c>
    </row>
    <row r="367">
      <c r="A367" s="34" t="str">
        <f t="shared" si="7"/>
        <v>OUTROS GASTOS COM ESTRUTURA</v>
      </c>
      <c r="B367" s="53" t="s">
        <v>3874</v>
      </c>
      <c r="C367" s="53" t="s">
        <v>1456</v>
      </c>
    </row>
    <row r="368">
      <c r="A368" s="35" t="str">
        <f t="shared" si="7"/>
        <v>TOTAL DE DESPESAS COM ESTRUTURA - IMÓVEIS (B)</v>
      </c>
      <c r="B368" s="54" t="s">
        <v>3787</v>
      </c>
      <c r="C368" s="54" t="s">
        <v>711</v>
      </c>
    </row>
    <row r="369">
      <c r="A369" s="33" t="str">
        <f t="shared" si="7"/>
        <v>ADVOGADO </v>
      </c>
      <c r="B369" s="128" t="s">
        <v>3875</v>
      </c>
      <c r="C369" s="52" t="s">
        <v>1473</v>
      </c>
    </row>
    <row r="370">
      <c r="A370" s="33" t="str">
        <f t="shared" si="7"/>
        <v>CONTADOR</v>
      </c>
      <c r="B370" s="52" t="s">
        <v>3876</v>
      </c>
      <c r="C370" s="52" t="s">
        <v>1482</v>
      </c>
    </row>
    <row r="371">
      <c r="A371" s="33" t="str">
        <f t="shared" si="7"/>
        <v>DESPESAS LEGAIS</v>
      </c>
      <c r="B371" s="128" t="s">
        <v>3877</v>
      </c>
      <c r="C371" s="52" t="s">
        <v>1491</v>
      </c>
    </row>
    <row r="372">
      <c r="A372" s="33" t="str">
        <f t="shared" si="7"/>
        <v>DESPACHANTE </v>
      </c>
      <c r="B372" s="128" t="s">
        <v>3851</v>
      </c>
      <c r="C372" s="52" t="s">
        <v>1500</v>
      </c>
    </row>
    <row r="373">
      <c r="A373" s="33" t="str">
        <f t="shared" si="7"/>
        <v>INFORMÁTICA, TELEFONE E INTERNET</v>
      </c>
      <c r="B373" s="128" t="s">
        <v>3878</v>
      </c>
      <c r="C373" s="52" t="s">
        <v>1509</v>
      </c>
    </row>
    <row r="374">
      <c r="A374" s="33" t="str">
        <f t="shared" si="7"/>
        <v>MATERIAIS DE CONSUMO</v>
      </c>
      <c r="B374" s="128" t="s">
        <v>3879</v>
      </c>
      <c r="C374" s="52" t="s">
        <v>1518</v>
      </c>
    </row>
    <row r="375">
      <c r="A375" s="33" t="str">
        <f t="shared" si="7"/>
        <v>MULTAS</v>
      </c>
      <c r="B375" s="128" t="s">
        <v>3880</v>
      </c>
      <c r="C375" s="52" t="s">
        <v>1527</v>
      </c>
    </row>
    <row r="376">
      <c r="A376" s="33" t="str">
        <f t="shared" si="7"/>
        <v>FRETES</v>
      </c>
      <c r="B376" s="52" t="s">
        <v>3881</v>
      </c>
      <c r="C376" s="52" t="s">
        <v>1536</v>
      </c>
    </row>
    <row r="377">
      <c r="A377" s="33" t="str">
        <f t="shared" si="7"/>
        <v>PROPAGANDA E PROMOÇÃO</v>
      </c>
      <c r="B377" s="52" t="s">
        <v>3882</v>
      </c>
      <c r="C377" s="52" t="s">
        <v>3883</v>
      </c>
    </row>
    <row r="378">
      <c r="A378" s="33" t="str">
        <f t="shared" si="7"/>
        <v>IMPOSTOS, TAXAS E CONTRIBUIÇÕES(EXCETO IRPJ E CSLL)</v>
      </c>
      <c r="B378" s="52" t="s">
        <v>3884</v>
      </c>
      <c r="C378" s="52" t="s">
        <v>1554</v>
      </c>
    </row>
    <row r="379">
      <c r="A379" s="33" t="str">
        <f t="shared" si="7"/>
        <v>SEGUROS DE VEÍCULOS</v>
      </c>
      <c r="B379" s="128" t="s">
        <v>3885</v>
      </c>
      <c r="C379" s="52" t="s">
        <v>1563</v>
      </c>
    </row>
    <row r="380">
      <c r="A380" s="33" t="str">
        <f t="shared" si="7"/>
        <v>DESPESAS COM VEÍCULOS (CONSERVAÇÃO, USO E REPAROS)</v>
      </c>
      <c r="B380" s="52" t="s">
        <v>3886</v>
      </c>
      <c r="C380" s="52" t="s">
        <v>1572</v>
      </c>
    </row>
    <row r="381">
      <c r="A381" s="33" t="str">
        <f t="shared" si="7"/>
        <v>PRESTAÇÃO DE SERVIÇOS DE P.F. SEM VÍNC. EMPREGATÍCIO</v>
      </c>
      <c r="B381" s="52" t="s">
        <v>3887</v>
      </c>
      <c r="C381" s="52" t="s">
        <v>1581</v>
      </c>
    </row>
    <row r="382">
      <c r="A382" s="33" t="str">
        <f t="shared" si="7"/>
        <v>PRESTAÇÃO DE SERVIÇOS PESSOA JURÍDICA</v>
      </c>
      <c r="B382" s="52" t="s">
        <v>3888</v>
      </c>
      <c r="C382" s="52" t="s">
        <v>1590</v>
      </c>
    </row>
    <row r="383">
      <c r="A383" s="33" t="str">
        <f t="shared" si="7"/>
        <v>CORTESIAS COMERCIAIS</v>
      </c>
      <c r="B383" s="52" t="s">
        <v>3889</v>
      </c>
      <c r="C383" s="52" t="s">
        <v>1599</v>
      </c>
    </row>
    <row r="384">
      <c r="A384" s="33" t="str">
        <f t="shared" si="7"/>
        <v>CONTRIBUIÇÕES E DOAÇÕES</v>
      </c>
      <c r="B384" s="52" t="s">
        <v>3890</v>
      </c>
      <c r="C384" s="52" t="s">
        <v>1608</v>
      </c>
    </row>
    <row r="385">
      <c r="A385" s="33" t="str">
        <f t="shared" si="7"/>
        <v>PERDAS EM OPERAÇÕES DE CRÉDITO</v>
      </c>
      <c r="B385" s="52" t="s">
        <v>3891</v>
      </c>
      <c r="C385" s="52" t="s">
        <v>1617</v>
      </c>
    </row>
    <row r="386">
      <c r="A386" s="33" t="str">
        <f t="shared" si="7"/>
        <v>PERDAS DE ESTOQUE</v>
      </c>
      <c r="B386" s="52" t="s">
        <v>3892</v>
      </c>
      <c r="C386" s="52" t="s">
        <v>1626</v>
      </c>
    </row>
    <row r="387">
      <c r="A387" s="33" t="str">
        <f t="shared" si="7"/>
        <v>OUTRAS DESPESAS GERAIS</v>
      </c>
      <c r="B387" s="52" t="s">
        <v>3893</v>
      </c>
      <c r="C387" s="52" t="s">
        <v>1635</v>
      </c>
    </row>
    <row r="388">
      <c r="A388" s="35" t="str">
        <f t="shared" si="7"/>
        <v>TOTAL DE DESPESAS GERAIS (C)</v>
      </c>
      <c r="B388" s="54" t="s">
        <v>3788</v>
      </c>
      <c r="C388" s="54" t="s">
        <v>714</v>
      </c>
    </row>
    <row r="389">
      <c r="A389" s="35" t="str">
        <f t="shared" si="7"/>
        <v>RECUPERAÇÃO DE DESPESAS (D)</v>
      </c>
      <c r="B389" s="54" t="s">
        <v>3894</v>
      </c>
      <c r="C389" s="35" t="s">
        <v>1652</v>
      </c>
    </row>
    <row r="390">
      <c r="A390" s="35" t="str">
        <f t="shared" si="7"/>
        <v>TOTAL DE DESPESAS FIXAS (A + B + C - D)</v>
      </c>
      <c r="B390" s="54" t="s">
        <v>3895</v>
      </c>
      <c r="C390" s="54" t="s">
        <v>3896</v>
      </c>
    </row>
    <row r="391">
      <c r="A391" s="36" t="str">
        <f t="shared" si="7"/>
        <v>DESPESAS NÃO-OPERACIONAIS</v>
      </c>
      <c r="B391" s="50" t="s">
        <v>3897</v>
      </c>
      <c r="C391" s="50" t="s">
        <v>1669</v>
      </c>
    </row>
    <row r="392">
      <c r="A392" s="33" t="str">
        <f t="shared" si="7"/>
        <v>DOAÇÕES A ENTIDADES CIVIS</v>
      </c>
      <c r="B392" s="52" t="s">
        <v>3898</v>
      </c>
      <c r="C392" s="52" t="s">
        <v>1671</v>
      </c>
    </row>
    <row r="393">
      <c r="A393" s="33" t="str">
        <f t="shared" si="7"/>
        <v>DOAÇÕES INSTIT. ENSINO E PESQUISA (LEI 9249/1995)</v>
      </c>
      <c r="B393" s="52" t="s">
        <v>3899</v>
      </c>
      <c r="C393" s="52" t="s">
        <v>1680</v>
      </c>
    </row>
    <row r="394">
      <c r="A394" s="33" t="str">
        <f t="shared" si="7"/>
        <v>DOAÇÕES A PATROC. DE CARÁTER CULT. E ARTÍST. (LEI 8313)</v>
      </c>
      <c r="B394" s="52" t="s">
        <v>3900</v>
      </c>
      <c r="C394" s="52" t="s">
        <v>1689</v>
      </c>
    </row>
    <row r="395">
      <c r="A395" s="33" t="str">
        <f t="shared" si="7"/>
        <v>OUTRAS DESPESAS NÃO-OPERACIONAIS</v>
      </c>
      <c r="B395" s="52" t="s">
        <v>3901</v>
      </c>
      <c r="C395" s="52" t="s">
        <v>1698</v>
      </c>
    </row>
    <row r="396">
      <c r="A396" s="35" t="str">
        <f t="shared" si="7"/>
        <v>TOTAL DE DESPESAS NÃO-OPERACIONAIS</v>
      </c>
      <c r="B396" s="54" t="s">
        <v>3793</v>
      </c>
      <c r="C396" s="54" t="s">
        <v>724</v>
      </c>
    </row>
    <row r="397">
      <c r="A397" s="36" t="str">
        <f t="shared" si="7"/>
        <v>DESPESAS FINANCEIRAS</v>
      </c>
      <c r="B397" s="50" t="s">
        <v>3902</v>
      </c>
      <c r="C397" s="50" t="s">
        <v>1714</v>
      </c>
    </row>
    <row r="398">
      <c r="A398" s="34" t="str">
        <f t="shared" si="7"/>
        <v>IOF</v>
      </c>
      <c r="B398" s="53" t="s">
        <v>1716</v>
      </c>
      <c r="C398" s="53" t="s">
        <v>1716</v>
      </c>
    </row>
    <row r="399">
      <c r="A399" s="34" t="str">
        <f t="shared" si="7"/>
        <v>JUROS LINHA DE CRÉDITO BANCO YAMAHA</v>
      </c>
      <c r="B399" s="128" t="s">
        <v>3903</v>
      </c>
      <c r="C399" s="53" t="s">
        <v>1725</v>
      </c>
    </row>
    <row r="400">
      <c r="A400" s="34" t="str">
        <f t="shared" si="7"/>
        <v>JUROS PASSIVOS</v>
      </c>
      <c r="B400" s="128" t="s">
        <v>3904</v>
      </c>
      <c r="C400" s="53" t="s">
        <v>1730</v>
      </c>
    </row>
    <row r="401">
      <c r="A401" s="33" t="str">
        <f t="shared" si="7"/>
        <v>JUROS DE MORA</v>
      </c>
      <c r="B401" s="128" t="s">
        <v>3798</v>
      </c>
      <c r="C401" s="52" t="s">
        <v>743</v>
      </c>
    </row>
    <row r="402">
      <c r="A402" s="33" t="str">
        <f t="shared" si="7"/>
        <v>DESCONTOS CONCEDIDOS</v>
      </c>
      <c r="B402" s="128" t="s">
        <v>3905</v>
      </c>
      <c r="C402" s="52" t="s">
        <v>1747</v>
      </c>
    </row>
    <row r="403">
      <c r="A403" s="33" t="str">
        <f t="shared" si="7"/>
        <v>MULTAS E ENCARGOS FINANCEIROS</v>
      </c>
      <c r="B403" s="128" t="s">
        <v>3906</v>
      </c>
      <c r="C403" s="52" t="s">
        <v>1756</v>
      </c>
    </row>
    <row r="404">
      <c r="A404" s="33" t="str">
        <f t="shared" si="7"/>
        <v>TARIFA BANCÁRIA</v>
      </c>
      <c r="B404" s="128" t="s">
        <v>3907</v>
      </c>
      <c r="C404" s="52" t="s">
        <v>1764</v>
      </c>
    </row>
    <row r="405">
      <c r="A405" s="33" t="str">
        <f t="shared" si="7"/>
        <v>DESPESAS COM CARTÃO DE CRÉDITO</v>
      </c>
      <c r="B405" s="128" t="s">
        <v>3908</v>
      </c>
      <c r="C405" s="52" t="s">
        <v>1773</v>
      </c>
    </row>
    <row r="406">
      <c r="A406" s="35" t="str">
        <f t="shared" si="7"/>
        <v>TOTAL DE DESPESAS FINANCEIRAS</v>
      </c>
      <c r="B406" s="54" t="s">
        <v>3794</v>
      </c>
      <c r="C406" s="54" t="s">
        <v>727</v>
      </c>
    </row>
    <row r="407">
      <c r="A407" s="36" t="str">
        <f t="shared" si="7"/>
        <v>RECEITAS NÃO-OPERACIONAIS</v>
      </c>
      <c r="B407" s="50" t="s">
        <v>1789</v>
      </c>
      <c r="C407" s="50" t="s">
        <v>1789</v>
      </c>
    </row>
    <row r="408">
      <c r="A408" s="34" t="str">
        <f t="shared" si="7"/>
        <v>RECEITAS DIVERSAS</v>
      </c>
      <c r="B408" s="128" t="s">
        <v>3909</v>
      </c>
      <c r="C408" s="53" t="s">
        <v>1791</v>
      </c>
    </row>
    <row r="409">
      <c r="A409" s="34" t="str">
        <f t="shared" si="7"/>
        <v>REEMBOLSO DE EMPLACAMENTOS</v>
      </c>
      <c r="B409" s="128" t="s">
        <v>3910</v>
      </c>
      <c r="C409" s="53" t="s">
        <v>1800</v>
      </c>
    </row>
    <row r="410">
      <c r="A410" s="34" t="str">
        <f t="shared" si="7"/>
        <v>RECEITAS COM ALIENAÇÃO DE BENS</v>
      </c>
      <c r="B410" s="128" t="s">
        <v>3911</v>
      </c>
      <c r="C410" s="53" t="s">
        <v>1805</v>
      </c>
    </row>
    <row r="411">
      <c r="A411" s="35" t="str">
        <f t="shared" si="7"/>
        <v>TOTAL DE RECEITAS NÃO-OPERACIONAIS</v>
      </c>
      <c r="B411" s="54" t="s">
        <v>3795</v>
      </c>
      <c r="C411" s="54" t="s">
        <v>730</v>
      </c>
    </row>
    <row r="412">
      <c r="A412" s="36" t="str">
        <f t="shared" si="7"/>
        <v>RECEITAS FINANCEIRAS</v>
      </c>
      <c r="B412" s="50" t="s">
        <v>1821</v>
      </c>
      <c r="C412" s="50" t="s">
        <v>1821</v>
      </c>
    </row>
    <row r="413">
      <c r="A413" s="34" t="str">
        <f t="shared" si="7"/>
        <v>RENDIMENTO SOBRE APLICAÇÕES</v>
      </c>
      <c r="B413" s="128" t="s">
        <v>3912</v>
      </c>
      <c r="C413" s="53" t="s">
        <v>1823</v>
      </c>
    </row>
    <row r="414">
      <c r="A414" s="34" t="str">
        <f t="shared" si="7"/>
        <v>DESCONTOS OBTIDOS</v>
      </c>
      <c r="B414" s="128" t="s">
        <v>3913</v>
      </c>
      <c r="C414" s="53" t="s">
        <v>1832</v>
      </c>
    </row>
    <row r="415">
      <c r="A415" s="34" t="str">
        <f t="shared" si="7"/>
        <v>COMISSÕES / BONIFICAÇÕES DIVERSAS</v>
      </c>
      <c r="B415" s="0" t="s">
        <v>3914</v>
      </c>
      <c r="C415" s="53" t="s">
        <v>1841</v>
      </c>
    </row>
    <row r="416">
      <c r="A416" s="35" t="str">
        <f t="shared" si="7"/>
        <v>TOTAL DE RECEITAS FINANCEIRAS</v>
      </c>
      <c r="B416" s="54" t="s">
        <v>3796</v>
      </c>
      <c r="C416" s="54" t="s">
        <v>733</v>
      </c>
    </row>
    <row r="417">
      <c r="A417" s="36" t="str">
        <f t="shared" si="7"/>
        <v>RESULTADO ANTES DO IRPJ/CSLL</v>
      </c>
      <c r="B417" s="36" t="s">
        <v>3915</v>
      </c>
      <c r="C417" s="36" t="s">
        <v>1853</v>
      </c>
    </row>
    <row r="418">
      <c r="A418" s="34" t="str">
        <f t="shared" si="7"/>
        <v>RESULTADO ANTES DO IRPJ/CSLL</v>
      </c>
      <c r="B418" s="0" t="s">
        <v>3915</v>
      </c>
      <c r="C418" s="0" t="s">
        <v>1853</v>
      </c>
    </row>
    <row r="419">
      <c r="A419" s="36" t="str">
        <f t="shared" si="7"/>
        <v>ESTATÍSTICA DE PESSOAL - NÚMERO DE FUNCIONÁRIOS</v>
      </c>
      <c r="B419" s="50" t="s">
        <v>1862</v>
      </c>
      <c r="C419" s="50" t="s">
        <v>1862</v>
      </c>
    </row>
    <row r="420">
      <c r="A420" s="34" t="str">
        <f t="shared" si="7"/>
        <v>GERENTES</v>
      </c>
      <c r="B420" s="0" t="s">
        <v>3916</v>
      </c>
      <c r="C420" s="53" t="s">
        <v>1871</v>
      </c>
    </row>
    <row r="421">
      <c r="A421" s="34" t="str">
        <f t="shared" si="7"/>
        <v>SUPERVISOR</v>
      </c>
      <c r="B421" s="0" t="s">
        <v>1880</v>
      </c>
      <c r="C421" s="53" t="s">
        <v>1880</v>
      </c>
    </row>
    <row r="422">
      <c r="A422" s="34" t="str">
        <f t="shared" si="7"/>
        <v>VENDEDORES EXTERNOS</v>
      </c>
      <c r="B422" s="0" t="s">
        <v>3917</v>
      </c>
      <c r="C422" s="53" t="s">
        <v>1889</v>
      </c>
    </row>
    <row r="423">
      <c r="A423" s="34" t="str">
        <f t="shared" si="7"/>
        <v>VENDEDORES INTERNOS</v>
      </c>
      <c r="B423" s="0" t="s">
        <v>3918</v>
      </c>
      <c r="C423" s="53" t="s">
        <v>1898</v>
      </c>
    </row>
    <row r="424">
      <c r="A424" s="34" t="str">
        <f t="shared" si="7"/>
        <v>ADMINISTRATIVOS</v>
      </c>
      <c r="B424" s="0" t="s">
        <v>3919</v>
      </c>
      <c r="C424" s="53" t="s">
        <v>1907</v>
      </c>
    </row>
    <row r="425">
      <c r="A425" s="34" t="str">
        <f t="shared" si="7"/>
        <v>RECEPCIONISTA</v>
      </c>
      <c r="B425" s="0" t="s">
        <v>3920</v>
      </c>
      <c r="C425" s="53" t="s">
        <v>1916</v>
      </c>
    </row>
    <row r="426">
      <c r="A426" s="34" t="str">
        <f t="shared" si="7"/>
        <v>MECANICOS</v>
      </c>
      <c r="B426" s="0" t="s">
        <v>3921</v>
      </c>
      <c r="C426" s="53" t="s">
        <v>1925</v>
      </c>
    </row>
    <row r="427">
      <c r="A427" s="35" t="str">
        <f t="shared" si="7"/>
        <v>TOTAL DE NÚMERO DE FUNCIONÁRIOS</v>
      </c>
      <c r="B427" s="54" t="s">
        <v>1934</v>
      </c>
      <c r="C427" s="54" t="s">
        <v>1934</v>
      </c>
    </row>
    <row r="428">
      <c r="A428" s="37" t="str">
        <f t="shared" si="7"/>
        <v>ÁREAS UTILIZADAS ( M2 )</v>
      </c>
      <c r="B428" s="55" t="s">
        <v>3922</v>
      </c>
      <c r="C428" s="55" t="s">
        <v>1942</v>
      </c>
    </row>
    <row r="429">
      <c r="A429" s="34" t="str">
        <f t="shared" si="7"/>
        <v>ÁREA DE VENDAS</v>
      </c>
      <c r="B429" s="53" t="s">
        <v>3923</v>
      </c>
      <c r="C429" s="53" t="s">
        <v>1944</v>
      </c>
    </row>
    <row r="430">
      <c r="A430" s="34" t="str">
        <f t="shared" si="7"/>
        <v>ÁREA DE OFICINA</v>
      </c>
      <c r="B430" s="53" t="s">
        <v>3924</v>
      </c>
      <c r="C430" s="53" t="s">
        <v>1952</v>
      </c>
    </row>
    <row r="431">
      <c r="A431" s="34" t="str">
        <f ref="A431:A494" t="shared" si="8">IF(LanguageID=1,B431,C431)</f>
        <v>ÁREA DE PEÇAS E ACESSÓRIOS</v>
      </c>
      <c r="B431" s="53" t="s">
        <v>3925</v>
      </c>
      <c r="C431" s="53" t="s">
        <v>1956</v>
      </c>
    </row>
    <row r="432">
      <c r="A432" s="34" t="str">
        <f t="shared" si="8"/>
        <v>ÁREA DE ADMINISTRAÇÃO</v>
      </c>
      <c r="B432" s="53" t="s">
        <v>3926</v>
      </c>
      <c r="C432" s="53" t="s">
        <v>1960</v>
      </c>
    </row>
    <row r="433">
      <c r="A433" s="35" t="str">
        <f t="shared" si="8"/>
        <v>TOTAL DA ÁREAS UTILIZADAS ( M2 )</v>
      </c>
      <c r="B433" s="54" t="s">
        <v>3927</v>
      </c>
      <c r="C433" s="54" t="s">
        <v>1964</v>
      </c>
    </row>
    <row r="434">
      <c r="A434" s="41" t="str">
        <f t="shared" si="8"/>
        <v>Balance Sheet</v>
      </c>
      <c r="B434" s="127" t="s">
        <v>3928</v>
      </c>
      <c r="C434" s="41" t="s">
        <v>1972</v>
      </c>
    </row>
    <row r="435">
      <c r="A435" s="30" t="str">
        <f t="shared" si="8"/>
        <v>ATIVO</v>
      </c>
      <c r="B435" s="129" t="s">
        <v>3929</v>
      </c>
      <c r="C435" s="27" t="s">
        <v>1973</v>
      </c>
    </row>
    <row r="436">
      <c r="A436" s="26" t="str">
        <f t="shared" si="8"/>
        <v>CAIXA</v>
      </c>
      <c r="B436" s="29" t="s">
        <v>3930</v>
      </c>
      <c r="C436" s="29" t="s">
        <v>1975</v>
      </c>
    </row>
    <row r="437">
      <c r="A437" s="26" t="str">
        <f t="shared" si="8"/>
        <v>BANCOS</v>
      </c>
      <c r="B437" s="29" t="s">
        <v>3931</v>
      </c>
      <c r="C437" s="29" t="s">
        <v>1978</v>
      </c>
    </row>
    <row r="438">
      <c r="A438" s="26" t="str">
        <f t="shared" si="8"/>
        <v>CONTA CORRENTE</v>
      </c>
      <c r="B438" s="29" t="s">
        <v>3932</v>
      </c>
      <c r="C438" s="29" t="s">
        <v>1981</v>
      </c>
    </row>
    <row r="439">
      <c r="A439" s="33" t="str">
        <f t="shared" si="8"/>
        <v>INVESTIMENTOS / APLICAÇÕES</v>
      </c>
      <c r="B439" s="138" t="s">
        <v>3933</v>
      </c>
      <c r="C439" s="52" t="s">
        <v>1984</v>
      </c>
    </row>
    <row r="440">
      <c r="A440" s="31" t="str">
        <f t="shared" si="8"/>
        <v>TOTAL DE CAIXA E BANCOS</v>
      </c>
      <c r="B440" s="48" t="s">
        <v>3934</v>
      </c>
      <c r="C440" s="48" t="s">
        <v>1987</v>
      </c>
    </row>
    <row r="441">
      <c r="A441" s="26" t="str">
        <f t="shared" si="8"/>
        <v>DUPLICATAS A RECEBER</v>
      </c>
      <c r="B441" s="29" t="s">
        <v>3935</v>
      </c>
      <c r="C441" s="29" t="s">
        <v>1990</v>
      </c>
    </row>
    <row r="442">
      <c r="A442" s="26" t="str">
        <f t="shared" si="8"/>
        <v>CHEQUES EM COBRANÇA</v>
      </c>
      <c r="B442" s="29" t="s">
        <v>3936</v>
      </c>
      <c r="C442" s="29" t="s">
        <v>1993</v>
      </c>
    </row>
    <row r="443">
      <c r="A443" s="26" t="str">
        <f t="shared" si="8"/>
        <v>CLIENTES DIVERSOS</v>
      </c>
      <c r="B443" s="29" t="s">
        <v>3937</v>
      </c>
      <c r="C443" s="29" t="s">
        <v>1996</v>
      </c>
    </row>
    <row r="444">
      <c r="A444" s="26" t="str">
        <f t="shared" si="8"/>
        <v>CARTÕES DE CRÉDITO</v>
      </c>
      <c r="B444" s="29" t="s">
        <v>3938</v>
      </c>
      <c r="C444" s="29" t="s">
        <v>1999</v>
      </c>
    </row>
    <row r="445">
      <c r="A445" s="26" t="str">
        <f t="shared" si="8"/>
        <v>CHEQUES PRÉ-DATADOS</v>
      </c>
      <c r="B445" s="29" t="s">
        <v>3939</v>
      </c>
      <c r="C445" s="29" t="s">
        <v>2002</v>
      </c>
    </row>
    <row r="446">
      <c r="A446" s="26" t="str">
        <f t="shared" si="8"/>
        <v>PROVISÃO PARA DEVEDORES DUVIDOSOS (-)</v>
      </c>
      <c r="B446" s="29" t="s">
        <v>3940</v>
      </c>
      <c r="C446" s="29" t="s">
        <v>2005</v>
      </c>
    </row>
    <row r="447">
      <c r="A447" s="33" t="str">
        <f t="shared" si="8"/>
        <v>DUPLICATAS / CHEQUES DESCONTADOS (-)</v>
      </c>
      <c r="B447" s="138" t="s">
        <v>3941</v>
      </c>
      <c r="C447" s="52" t="s">
        <v>2008</v>
      </c>
    </row>
    <row r="448">
      <c r="A448" s="31" t="str">
        <f t="shared" si="8"/>
        <v>TOTAL DE CONTAS A RECEBER</v>
      </c>
      <c r="B448" s="48" t="s">
        <v>3942</v>
      </c>
      <c r="C448" s="48" t="s">
        <v>2011</v>
      </c>
    </row>
    <row r="449">
      <c r="A449" s="26" t="str">
        <f t="shared" si="8"/>
        <v>ADIANTAMENTOS A FORNECEDORES</v>
      </c>
      <c r="B449" s="29" t="s">
        <v>3943</v>
      </c>
      <c r="C449" s="29" t="s">
        <v>2014</v>
      </c>
    </row>
    <row r="450">
      <c r="A450" s="26" t="str">
        <f t="shared" si="8"/>
        <v>IMPOSTOS A RECUPERAR</v>
      </c>
      <c r="B450" s="29" t="s">
        <v>3944</v>
      </c>
      <c r="C450" s="29" t="s">
        <v>2017</v>
      </c>
    </row>
    <row r="451">
      <c r="A451" s="26" t="str">
        <f t="shared" si="8"/>
        <v>DESPESAS ANTECIPADAS</v>
      </c>
      <c r="B451" s="29" t="s">
        <v>3945</v>
      </c>
      <c r="C451" s="29" t="s">
        <v>2020</v>
      </c>
    </row>
    <row r="452">
      <c r="A452" s="26" t="str">
        <f t="shared" si="8"/>
        <v>OUTRAS CONTAS A RECEBER</v>
      </c>
      <c r="B452" s="29" t="s">
        <v>3946</v>
      </c>
      <c r="C452" s="29" t="s">
        <v>2023</v>
      </c>
    </row>
    <row r="453">
      <c r="A453" s="31" t="str">
        <f t="shared" si="8"/>
        <v>TOTAL DO ATIVO CIRCULANTE</v>
      </c>
      <c r="B453" s="48" t="s">
        <v>3947</v>
      </c>
      <c r="C453" s="48" t="s">
        <v>2026</v>
      </c>
    </row>
    <row r="454">
      <c r="A454" s="27" t="str">
        <f t="shared" si="8"/>
        <v>ESTOQUES (PRÓPRIOS, NÃO CONSIGNADOS)</v>
      </c>
      <c r="B454" s="129" t="s">
        <v>3948</v>
      </c>
      <c r="C454" s="27" t="s">
        <v>2028</v>
      </c>
    </row>
    <row r="455">
      <c r="A455" s="26" t="str">
        <f t="shared" si="8"/>
        <v>VEÍCULOS NOVOS</v>
      </c>
      <c r="B455" s="29" t="s">
        <v>3949</v>
      </c>
      <c r="C455" s="29" t="s">
        <v>2030</v>
      </c>
    </row>
    <row r="456">
      <c r="A456" s="26" t="str">
        <f t="shared" si="8"/>
        <v>VEÍCULOS USADOS</v>
      </c>
      <c r="B456" s="29" t="s">
        <v>3950</v>
      </c>
      <c r="C456" s="29" t="s">
        <v>2033</v>
      </c>
    </row>
    <row r="457">
      <c r="A457" s="26" t="str">
        <f t="shared" si="8"/>
        <v>PEÇAS E ACESSÓRIOS</v>
      </c>
      <c r="B457" s="29" t="s">
        <v>3828</v>
      </c>
      <c r="C457" s="29" t="s">
        <v>2036</v>
      </c>
    </row>
    <row r="458">
      <c r="A458" s="26" t="str">
        <f t="shared" si="8"/>
        <v>OUTROS ESTOQUES</v>
      </c>
      <c r="B458" s="29" t="s">
        <v>3951</v>
      </c>
      <c r="C458" s="29" t="s">
        <v>2039</v>
      </c>
    </row>
    <row r="459">
      <c r="A459" s="31" t="str">
        <f t="shared" si="8"/>
        <v>TOTAL DO ESTOQUE</v>
      </c>
      <c r="B459" s="48" t="s">
        <v>3952</v>
      </c>
      <c r="C459" s="48" t="s">
        <v>2042</v>
      </c>
    </row>
    <row r="460">
      <c r="A460" s="27" t="str">
        <f t="shared" si="8"/>
        <v>REALIZÁVEL A LONGO PRAZO</v>
      </c>
      <c r="B460" s="129" t="s">
        <v>3953</v>
      </c>
      <c r="C460" s="27" t="s">
        <v>2044</v>
      </c>
    </row>
    <row r="461">
      <c r="A461" s="26" t="str">
        <f t="shared" si="8"/>
        <v>EMPRÉSTIMOS / MÚTUOS COM SÓCIOS</v>
      </c>
      <c r="B461" s="29" t="s">
        <v>3954</v>
      </c>
      <c r="C461" s="29" t="s">
        <v>2046</v>
      </c>
    </row>
    <row r="462">
      <c r="A462" s="26" t="str">
        <f t="shared" si="8"/>
        <v>CONTAS A RECEBER DE COLIGADAS</v>
      </c>
      <c r="B462" s="29" t="s">
        <v>3955</v>
      </c>
      <c r="C462" s="29" t="s">
        <v>2049</v>
      </c>
    </row>
    <row r="463">
      <c r="A463" s="26" t="str">
        <f t="shared" si="8"/>
        <v>DEPÓSITOS JUDICIAIS</v>
      </c>
      <c r="B463" s="29" t="s">
        <v>3956</v>
      </c>
      <c r="C463" s="29" t="s">
        <v>2052</v>
      </c>
    </row>
    <row r="464">
      <c r="A464" s="26" t="str">
        <f t="shared" si="8"/>
        <v>TRANSFERÊNCIAS ENTRE MATRIZ E FILIAIS</v>
      </c>
      <c r="B464" s="29" t="s">
        <v>3957</v>
      </c>
      <c r="C464" s="29" t="s">
        <v>2055</v>
      </c>
    </row>
    <row r="465">
      <c r="A465" s="26" t="str">
        <f t="shared" si="8"/>
        <v>OUTROS VALORES A RECEBER</v>
      </c>
      <c r="B465" s="0" t="s">
        <v>3958</v>
      </c>
      <c r="C465" s="29" t="s">
        <v>2058</v>
      </c>
    </row>
    <row r="466">
      <c r="A466" s="31" t="str">
        <f t="shared" si="8"/>
        <v>TOTAL DO REALIZÁVEL A LONGO PRAZO</v>
      </c>
      <c r="B466" s="48" t="s">
        <v>3959</v>
      </c>
      <c r="C466" s="48" t="s">
        <v>2061</v>
      </c>
    </row>
    <row r="467">
      <c r="A467" s="31" t="str">
        <f t="shared" si="8"/>
        <v>TOTAL DO ATIVO NÃO-CIRCULANTE</v>
      </c>
      <c r="B467" s="48" t="s">
        <v>3960</v>
      </c>
      <c r="C467" s="48" t="s">
        <v>2064</v>
      </c>
    </row>
    <row r="468">
      <c r="A468" s="27" t="str">
        <f t="shared" si="8"/>
        <v>ATIVO PERMANENTE</v>
      </c>
      <c r="B468" s="129" t="s">
        <v>3961</v>
      </c>
      <c r="C468" s="27" t="s">
        <v>2066</v>
      </c>
    </row>
    <row r="469">
      <c r="A469" s="26" t="str">
        <f t="shared" si="8"/>
        <v>PARTIC. EM EMPR. CONTROLADAS E COLIGADAS</v>
      </c>
      <c r="B469" s="29" t="s">
        <v>3962</v>
      </c>
      <c r="C469" s="29" t="s">
        <v>2068</v>
      </c>
    </row>
    <row r="470">
      <c r="A470" s="26" t="str">
        <f t="shared" si="8"/>
        <v>PARTIC. INCENTIVOS FISCAIS E OUTROS</v>
      </c>
      <c r="B470" s="29" t="s">
        <v>3963</v>
      </c>
      <c r="C470" s="29" t="s">
        <v>2071</v>
      </c>
    </row>
    <row r="471">
      <c r="A471" s="31" t="str">
        <f t="shared" si="8"/>
        <v>TOTAL DE INVESTIMENTOS</v>
      </c>
      <c r="B471" s="48" t="s">
        <v>3964</v>
      </c>
      <c r="C471" s="48" t="s">
        <v>2074</v>
      </c>
    </row>
    <row r="472">
      <c r="A472" s="26" t="str">
        <f t="shared" si="8"/>
        <v>IMÓVEIS</v>
      </c>
      <c r="B472" s="0" t="s">
        <v>3965</v>
      </c>
      <c r="C472" s="29" t="s">
        <v>2077</v>
      </c>
    </row>
    <row r="473">
      <c r="A473" s="26" t="str">
        <f t="shared" si="8"/>
        <v>MÓVEIS E UTENSÍLIOS</v>
      </c>
      <c r="B473" s="0" t="s">
        <v>3966</v>
      </c>
      <c r="C473" s="29" t="s">
        <v>2080</v>
      </c>
    </row>
    <row r="474">
      <c r="A474" s="26" t="str">
        <f t="shared" si="8"/>
        <v>INSTALAÇÕES</v>
      </c>
      <c r="B474" s="0" t="s">
        <v>3967</v>
      </c>
      <c r="C474" s="29" t="s">
        <v>2083</v>
      </c>
    </row>
    <row r="475">
      <c r="A475" s="26" t="str">
        <f t="shared" si="8"/>
        <v>MÁQUINAS E EQUIPAMENTOS</v>
      </c>
      <c r="B475" s="0" t="s">
        <v>3968</v>
      </c>
      <c r="C475" s="29" t="s">
        <v>2086</v>
      </c>
    </row>
    <row r="476">
      <c r="A476" s="26" t="str">
        <f t="shared" si="8"/>
        <v>VEÍCULOS DE USO</v>
      </c>
      <c r="B476" s="0" t="s">
        <v>3969</v>
      </c>
      <c r="C476" s="29" t="s">
        <v>2089</v>
      </c>
    </row>
    <row r="477">
      <c r="A477" s="26" t="str">
        <f t="shared" si="8"/>
        <v>VEÍCULOS DE TEST-DRIVE</v>
      </c>
      <c r="B477" s="0" t="s">
        <v>3970</v>
      </c>
      <c r="C477" s="29" t="s">
        <v>2092</v>
      </c>
    </row>
    <row r="478">
      <c r="A478" s="26" t="str">
        <f t="shared" si="8"/>
        <v>OUTROS</v>
      </c>
      <c r="B478" s="0" t="s">
        <v>3971</v>
      </c>
      <c r="C478" s="29" t="s">
        <v>2095</v>
      </c>
    </row>
    <row r="479">
      <c r="A479" s="26" t="str">
        <f t="shared" si="8"/>
        <v>DEPRECIAÇÕES ACUMULADAS (-)</v>
      </c>
      <c r="B479" s="0" t="s">
        <v>3972</v>
      </c>
      <c r="C479" s="29" t="s">
        <v>2098</v>
      </c>
    </row>
    <row r="480">
      <c r="A480" s="31" t="str">
        <f t="shared" si="8"/>
        <v>TOTAL DO IMOBILIZADO</v>
      </c>
      <c r="B480" s="48" t="s">
        <v>3973</v>
      </c>
      <c r="C480" s="48" t="s">
        <v>2101</v>
      </c>
    </row>
    <row r="481">
      <c r="A481" s="26" t="str">
        <f t="shared" si="8"/>
        <v>PROJETOS / AMORTIZAÇÕES (-)</v>
      </c>
      <c r="B481" s="29" t="s">
        <v>3974</v>
      </c>
      <c r="C481" s="29" t="s">
        <v>2104</v>
      </c>
    </row>
    <row r="482">
      <c r="A482" s="31" t="str">
        <f t="shared" si="8"/>
        <v>TOTAL DO DIFERIDO</v>
      </c>
      <c r="B482" s="48" t="s">
        <v>3975</v>
      </c>
      <c r="C482" s="48" t="s">
        <v>2107</v>
      </c>
    </row>
    <row r="483">
      <c r="A483" s="26" t="str">
        <f t="shared" si="8"/>
        <v>INTANGÍVEL</v>
      </c>
      <c r="B483" s="29" t="s">
        <v>3976</v>
      </c>
      <c r="C483" s="29" t="s">
        <v>2110</v>
      </c>
    </row>
    <row r="484">
      <c r="A484" s="31" t="str">
        <f t="shared" si="8"/>
        <v>TOTAL DO ATIVO PERMANENTE</v>
      </c>
      <c r="B484" s="48" t="s">
        <v>3977</v>
      </c>
      <c r="C484" s="48" t="s">
        <v>2113</v>
      </c>
    </row>
    <row r="485">
      <c r="A485" s="31" t="str">
        <f t="shared" si="8"/>
        <v>ATIVO TOTAL</v>
      </c>
      <c r="B485" s="48" t="s">
        <v>3978</v>
      </c>
      <c r="C485" s="48" t="s">
        <v>2116</v>
      </c>
    </row>
    <row r="486">
      <c r="A486" s="27" t="str">
        <f t="shared" si="8"/>
        <v>PASSIVO</v>
      </c>
      <c r="B486" s="129" t="s">
        <v>3979</v>
      </c>
      <c r="C486" s="27" t="s">
        <v>2118</v>
      </c>
    </row>
    <row r="487">
      <c r="A487" s="26" t="str">
        <f t="shared" si="8"/>
        <v>CONTAS A PAGAR</v>
      </c>
      <c r="B487" s="0" t="s">
        <v>3980</v>
      </c>
      <c r="C487" s="29" t="s">
        <v>2120</v>
      </c>
    </row>
    <row r="488">
      <c r="A488" s="26" t="str">
        <f t="shared" si="8"/>
        <v>INSTITUIÇÕES FINANCEIRAS</v>
      </c>
      <c r="B488" s="0" t="s">
        <v>3981</v>
      </c>
      <c r="C488" s="29" t="s">
        <v>2123</v>
      </c>
    </row>
    <row r="489">
      <c r="A489" s="26" t="str">
        <f t="shared" si="8"/>
        <v>FLOOR PLAN</v>
      </c>
      <c r="B489" s="0" t="s">
        <v>735</v>
      </c>
      <c r="C489" s="29" t="s">
        <v>735</v>
      </c>
    </row>
    <row r="490">
      <c r="A490" s="31" t="str">
        <f t="shared" si="8"/>
        <v>TOTAL DO CONTAS A PAGAR</v>
      </c>
      <c r="B490" s="48" t="s">
        <v>3982</v>
      </c>
      <c r="C490" s="48" t="s">
        <v>2128</v>
      </c>
    </row>
    <row r="491">
      <c r="A491" s="26" t="str">
        <f t="shared" si="8"/>
        <v>VEÍCULOS</v>
      </c>
      <c r="B491" s="0" t="s">
        <v>3983</v>
      </c>
      <c r="C491" s="29" t="s">
        <v>2131</v>
      </c>
    </row>
    <row r="492">
      <c r="A492" s="26" t="str">
        <f t="shared" si="8"/>
        <v>PEÇAS E ACESSÓRIOS</v>
      </c>
      <c r="B492" s="0" t="s">
        <v>3984</v>
      </c>
      <c r="C492" s="29" t="s">
        <v>2036</v>
      </c>
    </row>
    <row r="493">
      <c r="A493" s="26" t="str">
        <f t="shared" si="8"/>
        <v>OUTROS</v>
      </c>
      <c r="B493" s="0" t="s">
        <v>3971</v>
      </c>
      <c r="C493" s="29" t="s">
        <v>2095</v>
      </c>
    </row>
    <row r="494">
      <c r="A494" s="31" t="str">
        <f t="shared" si="8"/>
        <v>TOTAL DE FORNECEDORES</v>
      </c>
      <c r="B494" s="48" t="s">
        <v>3985</v>
      </c>
      <c r="C494" s="48" t="s">
        <v>2138</v>
      </c>
    </row>
    <row r="495">
      <c r="A495" s="26" t="str">
        <f ref="A495:A538" t="shared" si="9">IF(LanguageID=1,B495,C495)</f>
        <v>SALÁRIOS E ENCARGOS</v>
      </c>
      <c r="B495" s="0" t="s">
        <v>3986</v>
      </c>
      <c r="C495" s="29" t="s">
        <v>2141</v>
      </c>
    </row>
    <row r="496">
      <c r="A496" s="26" t="str">
        <f t="shared" si="9"/>
        <v>PROVISÕES DE FÉRIAS</v>
      </c>
      <c r="B496" s="0" t="s">
        <v>3987</v>
      </c>
      <c r="C496" s="29" t="s">
        <v>2144</v>
      </c>
    </row>
    <row r="497">
      <c r="A497" s="26" t="str">
        <f t="shared" si="9"/>
        <v>PROVISÕES DE 13º SALÁRIO</v>
      </c>
      <c r="B497" s="0" t="s">
        <v>3988</v>
      </c>
      <c r="C497" s="29" t="s">
        <v>2147</v>
      </c>
    </row>
    <row r="498">
      <c r="A498" s="31" t="str">
        <f t="shared" si="9"/>
        <v>TOTAL DE OBRIGAÇÕES TRABALHISTAS</v>
      </c>
      <c r="B498" s="48" t="s">
        <v>3989</v>
      </c>
      <c r="C498" s="48" t="s">
        <v>2150</v>
      </c>
    </row>
    <row r="499">
      <c r="A499" s="26" t="str">
        <f t="shared" si="9"/>
        <v>ICMS</v>
      </c>
      <c r="B499" s="29" t="s">
        <v>2153</v>
      </c>
      <c r="C499" s="29" t="s">
        <v>2153</v>
      </c>
    </row>
    <row r="500">
      <c r="A500" s="26" t="str">
        <f t="shared" si="9"/>
        <v>ISS</v>
      </c>
      <c r="B500" s="29" t="s">
        <v>2156</v>
      </c>
      <c r="C500" s="29" t="s">
        <v>2156</v>
      </c>
    </row>
    <row r="501">
      <c r="A501" s="26" t="str">
        <f t="shared" si="9"/>
        <v>PIS</v>
      </c>
      <c r="B501" s="29" t="s">
        <v>2159</v>
      </c>
      <c r="C501" s="29" t="s">
        <v>2159</v>
      </c>
    </row>
    <row r="502">
      <c r="A502" s="26" t="str">
        <f t="shared" si="9"/>
        <v>COFINS</v>
      </c>
      <c r="B502" s="29" t="s">
        <v>2162</v>
      </c>
      <c r="C502" s="29" t="s">
        <v>2162</v>
      </c>
    </row>
    <row r="503">
      <c r="A503" s="26" t="str">
        <f t="shared" si="9"/>
        <v>CSLL</v>
      </c>
      <c r="B503" s="29" t="s">
        <v>2165</v>
      </c>
      <c r="C503" s="29" t="s">
        <v>2165</v>
      </c>
    </row>
    <row r="504">
      <c r="A504" s="26" t="str">
        <f t="shared" si="9"/>
        <v>IRPJ</v>
      </c>
      <c r="B504" s="29" t="s">
        <v>2168</v>
      </c>
      <c r="C504" s="29" t="s">
        <v>2168</v>
      </c>
    </row>
    <row r="505">
      <c r="A505" s="26" t="str">
        <f t="shared" si="9"/>
        <v>PARCELAMENTO DE IMPOSTOS</v>
      </c>
      <c r="B505" s="29" t="s">
        <v>3990</v>
      </c>
      <c r="C505" s="29" t="s">
        <v>2171</v>
      </c>
    </row>
    <row r="506">
      <c r="A506" s="26" t="str">
        <f t="shared" si="9"/>
        <v>ADIANTAMENTO DE CLIENTES</v>
      </c>
      <c r="B506" s="0" t="s">
        <v>3991</v>
      </c>
      <c r="C506" s="29" t="s">
        <v>2174</v>
      </c>
    </row>
    <row r="507">
      <c r="A507" s="33" t="str">
        <f t="shared" si="9"/>
        <v>EMPRÉSTIMOS COM SÓCIOS E COLIGADAS</v>
      </c>
      <c r="B507" s="0" t="s">
        <v>3992</v>
      </c>
      <c r="C507" s="52" t="s">
        <v>2177</v>
      </c>
    </row>
    <row r="508">
      <c r="A508" s="26" t="str">
        <f t="shared" si="9"/>
        <v>MULTAS</v>
      </c>
      <c r="B508" s="0" t="s">
        <v>3880</v>
      </c>
      <c r="C508" s="29" t="s">
        <v>1527</v>
      </c>
    </row>
    <row r="509">
      <c r="A509" s="26" t="str">
        <f t="shared" si="9"/>
        <v>OUTROS</v>
      </c>
      <c r="B509" s="0" t="s">
        <v>3971</v>
      </c>
      <c r="C509" s="29" t="s">
        <v>2095</v>
      </c>
    </row>
    <row r="510">
      <c r="A510" s="31" t="str">
        <f t="shared" si="9"/>
        <v>TOTAL DE OBRIGAÇÕES FISCAIS E TRIBUTÁRIAS</v>
      </c>
      <c r="B510" s="48" t="s">
        <v>3993</v>
      </c>
      <c r="C510" s="48" t="s">
        <v>2184</v>
      </c>
    </row>
    <row r="511">
      <c r="A511" s="31" t="str">
        <f t="shared" si="9"/>
        <v>TOTAL DO PASSIVO CIRCULANTE</v>
      </c>
      <c r="B511" s="48" t="s">
        <v>3994</v>
      </c>
      <c r="C511" s="48" t="s">
        <v>2187</v>
      </c>
    </row>
    <row r="512">
      <c r="A512" s="27" t="str">
        <f t="shared" si="9"/>
        <v>PASSIVO NÃO-CIRCULANTE</v>
      </c>
      <c r="B512" s="129" t="s">
        <v>3995</v>
      </c>
      <c r="C512" s="27" t="s">
        <v>2189</v>
      </c>
    </row>
    <row r="513">
      <c r="A513" s="33" t="str">
        <f t="shared" si="9"/>
        <v>EMPRÉSTIMOS COM SÓCIOS E COLIGADAS</v>
      </c>
      <c r="B513" s="0" t="s">
        <v>3992</v>
      </c>
      <c r="C513" s="52" t="s">
        <v>2177</v>
      </c>
    </row>
    <row r="514">
      <c r="A514" s="26" t="str">
        <f t="shared" si="9"/>
        <v>INTITUIÇÕES FINANCEIRAS</v>
      </c>
      <c r="B514" s="0" t="s">
        <v>3996</v>
      </c>
      <c r="C514" s="29" t="s">
        <v>2193</v>
      </c>
    </row>
    <row r="515">
      <c r="A515" s="26" t="str">
        <f t="shared" si="9"/>
        <v>IMPOSTO DE RENDA DIFERIDO</v>
      </c>
      <c r="B515" s="0" t="s">
        <v>3997</v>
      </c>
      <c r="C515" s="29" t="s">
        <v>2196</v>
      </c>
    </row>
    <row r="516">
      <c r="A516" s="33" t="str">
        <f t="shared" si="9"/>
        <v>PROVISÃO PARA IMPOSTOS DIRETOS E INDIRETOS</v>
      </c>
      <c r="B516" s="0" t="s">
        <v>3998</v>
      </c>
      <c r="C516" s="52" t="s">
        <v>2199</v>
      </c>
    </row>
    <row r="517">
      <c r="A517" s="26" t="str">
        <f t="shared" si="9"/>
        <v>PARCELAMENTO DE IMPOSTOS</v>
      </c>
      <c r="B517" s="29" t="s">
        <v>3990</v>
      </c>
      <c r="C517" s="29" t="s">
        <v>2171</v>
      </c>
    </row>
    <row r="518">
      <c r="A518" s="26" t="str">
        <f t="shared" si="9"/>
        <v>OUTROS</v>
      </c>
      <c r="B518" s="0" t="s">
        <v>3971</v>
      </c>
      <c r="C518" s="29" t="s">
        <v>2095</v>
      </c>
    </row>
    <row r="519">
      <c r="A519" s="31" t="str">
        <f t="shared" si="9"/>
        <v>TOTAL DO EXIGÍVEL A LONGO PRAZO</v>
      </c>
      <c r="B519" s="48" t="s">
        <v>3999</v>
      </c>
      <c r="C519" s="48" t="s">
        <v>2206</v>
      </c>
    </row>
    <row r="520">
      <c r="A520" s="26" t="str">
        <f t="shared" si="9"/>
        <v>RESULTADO DE EXERCÍCIOS FUTUROS</v>
      </c>
      <c r="B520" s="0" t="s">
        <v>4000</v>
      </c>
      <c r="C520" s="29" t="s">
        <v>2209</v>
      </c>
    </row>
    <row r="521">
      <c r="A521" s="31" t="str">
        <f t="shared" si="9"/>
        <v>TOTAL DO PASSIVO NÃO-CIRCULANTE</v>
      </c>
      <c r="B521" s="48" t="s">
        <v>4001</v>
      </c>
      <c r="C521" s="48" t="s">
        <v>2212</v>
      </c>
    </row>
    <row r="522">
      <c r="A522" s="27" t="str">
        <f t="shared" si="9"/>
        <v>PATRIMÔNIO LÍQUIDO</v>
      </c>
      <c r="B522" s="129" t="s">
        <v>4002</v>
      </c>
      <c r="C522" s="27" t="s">
        <v>2214</v>
      </c>
    </row>
    <row r="523">
      <c r="A523" s="26" t="str">
        <f t="shared" si="9"/>
        <v>CAPITAL SOCIAL</v>
      </c>
      <c r="B523" s="0" t="s">
        <v>4003</v>
      </c>
      <c r="C523" s="29" t="s">
        <v>2216</v>
      </c>
    </row>
    <row r="524">
      <c r="A524" s="26" t="str">
        <f t="shared" si="9"/>
        <v>CAPITAL A INTEGRALIZAR (-)</v>
      </c>
      <c r="B524" s="0" t="s">
        <v>4004</v>
      </c>
      <c r="C524" s="29" t="s">
        <v>2219</v>
      </c>
    </row>
    <row r="525">
      <c r="A525" s="26" t="str">
        <f t="shared" si="9"/>
        <v>RESERVA DE CAPITAL</v>
      </c>
      <c r="B525" s="0" t="s">
        <v>4005</v>
      </c>
      <c r="C525" s="29" t="s">
        <v>2222</v>
      </c>
    </row>
    <row r="526">
      <c r="A526" s="26" t="str">
        <f t="shared" si="9"/>
        <v>RESERVA DE AVALIAÇÃO</v>
      </c>
      <c r="B526" s="0" t="s">
        <v>4006</v>
      </c>
      <c r="C526" s="29" t="s">
        <v>2225</v>
      </c>
    </row>
    <row r="527">
      <c r="A527" s="26" t="str">
        <f t="shared" si="9"/>
        <v>OUTRAS RESERVAS</v>
      </c>
      <c r="B527" s="0" t="s">
        <v>4007</v>
      </c>
      <c r="C527" s="29" t="s">
        <v>2228</v>
      </c>
    </row>
    <row r="528">
      <c r="A528" s="33" t="str">
        <f t="shared" si="9"/>
        <v>RESULTADO ACUMULADO DE EXERCÍCIOS ANTERIORES</v>
      </c>
      <c r="B528" s="0" t="s">
        <v>4008</v>
      </c>
      <c r="C528" s="52" t="s">
        <v>2231</v>
      </c>
    </row>
    <row r="529">
      <c r="A529" s="26" t="str">
        <f t="shared" si="9"/>
        <v>RESULTADO DO EXERCÍCIO</v>
      </c>
      <c r="B529" s="0" t="s">
        <v>4009</v>
      </c>
      <c r="C529" s="29" t="s">
        <v>2234</v>
      </c>
    </row>
    <row r="530">
      <c r="A530" s="26" t="str">
        <f t="shared" si="9"/>
        <v>DISTRIBUIÇÃO DE LUCROS</v>
      </c>
      <c r="B530" s="0" t="s">
        <v>4010</v>
      </c>
      <c r="C530" s="29" t="s">
        <v>2237</v>
      </c>
    </row>
    <row r="531">
      <c r="A531" s="31" t="str">
        <f t="shared" si="9"/>
        <v>TOTAL DO PATRIMÔNIO LÍQUIDO</v>
      </c>
      <c r="B531" s="48" t="s">
        <v>4011</v>
      </c>
      <c r="C531" s="48" t="s">
        <v>2240</v>
      </c>
    </row>
    <row r="532">
      <c r="A532" s="31" t="str">
        <f t="shared" si="9"/>
        <v>PASSIVO TOTAL</v>
      </c>
      <c r="B532" s="48" t="s">
        <v>4012</v>
      </c>
      <c r="C532" s="48" t="s">
        <v>2243</v>
      </c>
    </row>
    <row r="533">
      <c r="A533" s="27" t="str">
        <f t="shared" si="9"/>
        <v>PARTICIPAÇÃO SOCIETÁRIA</v>
      </c>
      <c r="B533" s="129" t="s">
        <v>4013</v>
      </c>
      <c r="C533" s="27" t="s">
        <v>4014</v>
      </c>
    </row>
    <row r="534">
      <c r="A534" s="33" t="str">
        <f t="shared" si="9"/>
        <v>SÓCIO 1</v>
      </c>
      <c r="B534" s="138" t="s">
        <v>4015</v>
      </c>
      <c r="C534" s="52" t="s">
        <v>4016</v>
      </c>
    </row>
    <row r="535">
      <c r="A535" s="33" t="str">
        <f t="shared" si="9"/>
        <v>SÓCIO 2</v>
      </c>
      <c r="B535" s="138" t="s">
        <v>4017</v>
      </c>
      <c r="C535" s="52" t="s">
        <v>4018</v>
      </c>
    </row>
    <row r="536">
      <c r="A536" s="33" t="str">
        <f t="shared" si="9"/>
        <v>SÓCIO 3</v>
      </c>
      <c r="B536" s="138" t="s">
        <v>4019</v>
      </c>
      <c r="C536" s="52" t="s">
        <v>4020</v>
      </c>
    </row>
    <row r="537">
      <c r="A537" s="33" t="str">
        <f t="shared" si="9"/>
        <v>SÓCIO MINORITÁRIOS</v>
      </c>
      <c r="B537" s="138" t="s">
        <v>4021</v>
      </c>
      <c r="C537" s="52" t="s">
        <v>4022</v>
      </c>
    </row>
    <row r="538">
      <c r="A538" s="31" t="str">
        <f t="shared" si="9"/>
        <v>TOTAL</v>
      </c>
      <c r="B538" s="48" t="s">
        <v>3732</v>
      </c>
      <c r="C538" s="48" t="s">
        <v>3732</v>
      </c>
    </row>
    <row r="539">
      <c r="A539" s="33" t="str">
        <f ref="A539:A540" t="shared" si="10">IF(LanguageID=1,B539,C539)</f>
        <v>TOTAL OUTROS</v>
      </c>
      <c r="B539" s="138" t="s">
        <v>3761</v>
      </c>
      <c r="C539" s="52" t="s">
        <v>1115</v>
      </c>
    </row>
    <row r="540">
      <c r="A540" s="33" t="str">
        <f t="shared" si="10"/>
        <v>TOTAL OUTROS</v>
      </c>
      <c r="B540" s="138" t="s">
        <v>3761</v>
      </c>
      <c r="C540" s="52" t="s">
        <v>1115</v>
      </c>
    </row>
  </sheetData>
  <pageMargins left="0.7" right="0.7" top="0.75" bottom="0.75" header="0.3" footer="0.3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5B58F7841FCE4DBAD5EC86589FECC8" ma:contentTypeVersion="11" ma:contentTypeDescription="Create a new document." ma:contentTypeScope="" ma:versionID="3e191642d5e6e036556857a7fef1e892">
  <xsd:schema xmlns:xsd="http://www.w3.org/2001/XMLSchema" xmlns:xs="http://www.w3.org/2001/XMLSchema" xmlns:p="http://schemas.microsoft.com/office/2006/metadata/properties" xmlns:ns3="831ebf2f-a664-4481-aa32-06c14411670e" xmlns:ns4="c25c4f8c-4852-4ff0-9a33-529e4a0d62fd" targetNamespace="http://schemas.microsoft.com/office/2006/metadata/properties" ma:root="true" ma:fieldsID="b8d0ad33a6c2516054ea651f9be6a0a3" ns3:_="" ns4:_="">
    <xsd:import namespace="831ebf2f-a664-4481-aa32-06c14411670e"/>
    <xsd:import namespace="c25c4f8c-4852-4ff0-9a33-529e4a0d62f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1ebf2f-a664-4481-aa32-06c1441167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5c4f8c-4852-4ff0-9a33-529e4a0d62f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EBDEAB-0F0A-48BC-992A-F2BF98024E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66BA995-594B-4B92-A2D2-4D2E378393A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B975AE9-3131-457C-A231-B2DE00D0E5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1ebf2f-a664-4481-aa32-06c14411670e"/>
    <ds:schemaRef ds:uri="c25c4f8c-4852-4ff0-9a33-529e4a0d62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DRE Acumulado</vt:lpstr>
      <vt:lpstr>DRE Mês</vt:lpstr>
      <vt:lpstr>Data</vt:lpstr>
      <vt:lpstr>Translation</vt:lpstr>
      <vt:lpstr>LanguageID</vt:lpstr>
      <vt:lpstr>'DRE Acumulado'!Print_Area</vt:lpstr>
      <vt:lpstr>'DRE Mês'!Print_Area</vt:lpstr>
      <vt:lpstr>'DRE Acumulado'!Print_Titles</vt:lpstr>
      <vt:lpstr>'DRE Mês'!Print_Titles</vt:lpstr>
      <vt:lpstr>TranslationHeaders</vt:lpstr>
    </vt:vector>
  </TitlesOfParts>
  <Company>USAI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mgoatman</dc:creator>
  <cp:lastModifiedBy>Correa, Victor M.</cp:lastModifiedBy>
  <cp:lastPrinted>2009-12-30T13:49:02Z</cp:lastPrinted>
  <dcterms:created xsi:type="dcterms:W3CDTF">2009-09-24T18:57:38Z</dcterms:created>
  <dcterms:modified xsi:type="dcterms:W3CDTF">2025-11-13T14:06:57Z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6.5.3.0333 (http://officewriter.softartisans.com)</vt:lpwstr>
  </property>
  <property fmtid="{D5CDD505-2E9C-101B-9397-08002B2CF9AE}" pid="3" name="ContentTypeId">
    <vt:lpwstr>0x010100525B58F7841FCE4DBAD5EC86589FECC8</vt:lpwstr>
  </property>
</Properties>
</file>